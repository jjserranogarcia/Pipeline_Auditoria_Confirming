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" sheetId="1" state="visible" r:id="rId1"/>
    <sheet name="Imprimir" sheetId="2" state="visible" r:id="rId2"/>
  </sheets>
  <definedNames>
    <definedName name="_xlnm.Print_Titles" localSheetId="0">'Detalle'!$1:$1</definedName>
    <definedName name="_xlnm.Print_Titles" localSheetId="1">'Imprimir'!$1:$1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"/>
  </numFmts>
  <fonts count="3">
    <font>
      <name val="Calibri"/>
      <family val="2"/>
      <color theme="1"/>
      <sz val="11"/>
      <scheme val="minor"/>
    </font>
    <font>
      <sz val="8"/>
    </font>
    <font>
      <b val="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 vertical="center" wrapText="1"/>
    </xf>
    <xf numFmtId="0" fontId="1" fillId="0" borderId="0" applyAlignment="1" pivotButton="0" quotePrefix="0" xfId="0">
      <alignment horizontal="center" vertical="center"/>
    </xf>
    <xf numFmtId="165" fontId="1" fillId="0" borderId="0" applyAlignment="1" pivotButton="0" quotePrefix="0" xfId="0">
      <alignment horizontal="center" vertical="center"/>
    </xf>
    <xf numFmtId="4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4" fontId="2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Detalle" displayName="TablaDetalle" ref="A1:T482" headerRowCount="1" totalsRowCount="1">
  <tableColumns count="20">
    <tableColumn id="1" name="Banco" totalsRowLabel="Total"/>
    <tableColumn id="2" name="Sociedad"/>
    <tableColumn id="3" name="Fecha Documento"/>
    <tableColumn id="4" name="CIF"/>
    <tableColumn id="5" name="Proveedor"/>
    <tableColumn id="6" name="Nº Factura"/>
    <tableColumn id="7" name="Importe" totalsRowFunction="sum"/>
    <tableColumn id="8" name="F. Anticipo"/>
    <tableColumn id="9" name="F. Vencimiento"/>
    <tableColumn id="10" name="Días"/>
    <tableColumn id="11" name="% Interés"/>
    <tableColumn id="12" name="% Comisión"/>
    <tableColumn id="13" name="Total Comisión" totalsRowFunction="sum"/>
    <tableColumn id="14" name="Total Interés" totalsRowFunction="sum"/>
    <tableColumn id="15" name="% Reparto"/>
    <tableColumn id="16" name="Comisión Prisma" totalsRowFunction="sum"/>
    <tableColumn id="17" name="Interés Prisma" totalsRowFunction="sum"/>
    <tableColumn id="18" name="Calculo_x000a_com Prisma" totalsRowFunction="sum"/>
    <tableColumn id="19" name="Calculo_x000a_int prisma" totalsRowFunction="sum"/>
    <tableColumn id="20" name="Total_x000a_diferencia" totalsRowFunction="sum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TablaImprimir" displayName="TablaImprimir" ref="A1:O482" headerRowCount="1" totalsRowCount="1">
  <tableColumns count="15">
    <tableColumn id="1" name="CIF" totalsRowLabel="Total"/>
    <tableColumn id="2" name="Importe" totalsRowFunction="sum"/>
    <tableColumn id="3" name="F. Anticipo"/>
    <tableColumn id="4" name="F. Vencimiento"/>
    <tableColumn id="5" name="Días"/>
    <tableColumn id="6" name="% Interés"/>
    <tableColumn id="7" name="% Comisión"/>
    <tableColumn id="8" name="Total Comisión" totalsRowFunction="sum"/>
    <tableColumn id="9" name="Total Interés" totalsRowFunction="sum"/>
    <tableColumn id="10" name="% Reparto"/>
    <tableColumn id="11" name="Comisión Prisma" totalsRowFunction="sum"/>
    <tableColumn id="12" name="Interés Prisma" totalsRowFunction="sum"/>
    <tableColumn id="13" name="Calculo_x000a_com Prisma" totalsRowFunction="sum"/>
    <tableColumn id="14" name="Calculo_x000a_int prisma" totalsRowFunction="sum"/>
    <tableColumn id="15" name="Total_x000a_diferencia" totalsRowFunction="sum"/>
  </tableColumns>
  <tableStyleInfo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82"/>
  <sheetViews>
    <sheetView workbookViewId="0">
      <selection activeCell="A1" sqref="A1"/>
    </sheetView>
  </sheetViews>
  <sheetFormatPr baseColWidth="8" defaultRowHeight="15"/>
  <cols>
    <col width="6" customWidth="1" min="1" max="1"/>
    <col width="9" customWidth="1" min="2" max="2"/>
    <col width="10" customWidth="1" min="3" max="3"/>
    <col width="10" customWidth="1" min="4" max="4"/>
    <col width="14" customWidth="1" min="5" max="5"/>
    <col width="13" customWidth="1" min="6" max="6"/>
    <col width="9" customWidth="1" min="7" max="7"/>
    <col width="9" customWidth="1" min="8" max="8"/>
    <col width="12" customWidth="1" min="9" max="9"/>
    <col width="6" customWidth="1" min="10" max="10"/>
    <col width="8" customWidth="1" min="11" max="11"/>
    <col width="9" customWidth="1" min="12" max="12"/>
    <col width="9" customWidth="1" min="13" max="13"/>
    <col width="8" customWidth="1" min="14" max="14"/>
    <col width="8" customWidth="1" min="15" max="15"/>
    <col width="9" customWidth="1" min="16" max="16"/>
    <col width="8" customWidth="1" min="17" max="17"/>
    <col width="11" customWidth="1" min="18" max="18"/>
    <col width="11" customWidth="1" min="19" max="19"/>
    <col width="11" customWidth="1" min="20" max="20"/>
  </cols>
  <sheetData>
    <row r="1" ht="26" customHeight="1">
      <c r="A1" s="1" t="inlineStr">
        <is>
          <t>Banco</t>
        </is>
      </c>
      <c r="B1" s="1" t="inlineStr">
        <is>
          <t>Sociedad</t>
        </is>
      </c>
      <c r="C1" s="1" t="inlineStr">
        <is>
          <t>Fecha Documento</t>
        </is>
      </c>
      <c r="D1" s="1" t="inlineStr">
        <is>
          <t>CIF</t>
        </is>
      </c>
      <c r="E1" s="1" t="inlineStr">
        <is>
          <t>Proveedor</t>
        </is>
      </c>
      <c r="F1" s="1" t="inlineStr">
        <is>
          <t>Nº Factura</t>
        </is>
      </c>
      <c r="G1" s="1" t="inlineStr">
        <is>
          <t>Importe</t>
        </is>
      </c>
      <c r="H1" s="1" t="inlineStr">
        <is>
          <t>F. Anticipo</t>
        </is>
      </c>
      <c r="I1" s="1" t="inlineStr">
        <is>
          <t>F. Vencimiento</t>
        </is>
      </c>
      <c r="J1" s="1" t="inlineStr">
        <is>
          <t>Días</t>
        </is>
      </c>
      <c r="K1" s="1" t="inlineStr">
        <is>
          <t>% Interés</t>
        </is>
      </c>
      <c r="L1" s="1" t="inlineStr">
        <is>
          <t>% Comisión</t>
        </is>
      </c>
      <c r="M1" s="1" t="inlineStr">
        <is>
          <t>Total Comisión</t>
        </is>
      </c>
      <c r="N1" s="1" t="inlineStr">
        <is>
          <t>Total Interés</t>
        </is>
      </c>
      <c r="O1" s="1" t="inlineStr">
        <is>
          <t>% Reparto</t>
        </is>
      </c>
      <c r="P1" s="1" t="inlineStr">
        <is>
          <t>Comisión Prisma</t>
        </is>
      </c>
      <c r="Q1" s="1" t="inlineStr">
        <is>
          <t>Interés Prisma</t>
        </is>
      </c>
      <c r="R1" s="1" t="inlineStr">
        <is>
          <t>Calculo
com Prisma</t>
        </is>
      </c>
      <c r="S1" s="1" t="inlineStr">
        <is>
          <t>Calculo
int prisma</t>
        </is>
      </c>
      <c r="T1" s="1" t="inlineStr">
        <is>
          <t>Total
diferencia</t>
        </is>
      </c>
    </row>
    <row r="2">
      <c r="A2" s="2" t="inlineStr">
        <is>
          <t>Oro</t>
        </is>
      </c>
      <c r="B2" s="2" t="inlineStr">
        <is>
          <t>Amarillo</t>
        </is>
      </c>
      <c r="C2" s="3" t="n">
        <v>46027</v>
      </c>
      <c r="D2" s="2" t="inlineStr">
        <is>
          <t>B11174044</t>
        </is>
      </c>
      <c r="E2" s="2" t="inlineStr">
        <is>
          <t>Ladrillos G…</t>
        </is>
      </c>
      <c r="F2" s="2" t="n">
        <v>1497585</v>
      </c>
      <c r="G2" s="4" t="n">
        <v>479.17</v>
      </c>
      <c r="H2" s="3" t="n">
        <v>46007</v>
      </c>
      <c r="I2" s="3" t="n">
        <v>46066</v>
      </c>
      <c r="J2" s="2" t="n">
        <v>63</v>
      </c>
      <c r="K2" s="2" t="n">
        <v>25.9</v>
      </c>
      <c r="L2" s="2" t="n">
        <v>1.62</v>
      </c>
      <c r="M2" s="4" t="n">
        <v>7.76</v>
      </c>
      <c r="N2" s="4" t="n">
        <v>21.72</v>
      </c>
      <c r="O2" s="2" t="n">
        <v>40</v>
      </c>
      <c r="P2" s="4" t="n">
        <v>3.09</v>
      </c>
      <c r="Q2" s="4" t="n">
        <v>8.390000000000001</v>
      </c>
      <c r="R2" s="4">
        <f>G2*(L2/100)*(O2/100)</f>
        <v/>
      </c>
      <c r="S2" s="4">
        <f>G2*(K2/360/100)*J2*(O2/100)</f>
        <v/>
      </c>
      <c r="T2" s="4">
        <f>P2-R2+Q2-S2</f>
        <v/>
      </c>
    </row>
    <row r="3">
      <c r="A3" s="2" t="inlineStr">
        <is>
          <t>Oro</t>
        </is>
      </c>
      <c r="B3" s="2" t="inlineStr">
        <is>
          <t>Amarillo</t>
        </is>
      </c>
      <c r="C3" s="3" t="n">
        <v>46027</v>
      </c>
      <c r="D3" s="2" t="inlineStr">
        <is>
          <t>B97292368</t>
        </is>
      </c>
      <c r="E3" s="2" t="inlineStr">
        <is>
          <t>Tinturas Co…</t>
        </is>
      </c>
      <c r="F3" s="2" t="n">
        <v>1640286</v>
      </c>
      <c r="G3" s="4" t="n">
        <v>737.38</v>
      </c>
      <c r="H3" s="3" t="n">
        <v>46000</v>
      </c>
      <c r="I3" s="3" t="n">
        <v>46180</v>
      </c>
      <c r="J3" s="2" t="n">
        <v>22</v>
      </c>
      <c r="K3" s="2" t="n">
        <v>13.36</v>
      </c>
      <c r="L3" s="2" t="n">
        <v>1.72</v>
      </c>
      <c r="M3" s="4" t="n">
        <v>12.68</v>
      </c>
      <c r="N3" s="4" t="n">
        <v>6.02</v>
      </c>
      <c r="O3" s="2" t="n">
        <v>50</v>
      </c>
      <c r="P3" s="4" t="n">
        <v>6.55</v>
      </c>
      <c r="Q3" s="4" t="n">
        <v>2.81</v>
      </c>
      <c r="R3" s="4">
        <f>G3*(L3/100)*(O3/100)</f>
        <v/>
      </c>
      <c r="S3" s="4">
        <f>G3*(K3/360/100)*J3*(O3/100)</f>
        <v/>
      </c>
      <c r="T3" s="4">
        <f>P3-R3+Q3-S3</f>
        <v/>
      </c>
    </row>
    <row r="4">
      <c r="A4" s="2" t="inlineStr">
        <is>
          <t>Oro</t>
        </is>
      </c>
      <c r="B4" s="2" t="inlineStr">
        <is>
          <t>Amarillo</t>
        </is>
      </c>
      <c r="C4" s="3" t="n">
        <v>46027</v>
      </c>
      <c r="D4" s="2" t="inlineStr">
        <is>
          <t>B35087532</t>
        </is>
      </c>
      <c r="E4" s="2" t="inlineStr">
        <is>
          <t>Cableados…</t>
        </is>
      </c>
      <c r="F4" s="2" t="n">
        <v>1563807</v>
      </c>
      <c r="G4" s="4" t="n">
        <v>911.02</v>
      </c>
      <c r="H4" s="3" t="n">
        <v>45999</v>
      </c>
      <c r="I4" s="3" t="n">
        <v>46079</v>
      </c>
      <c r="J4" s="2" t="n">
        <v>51</v>
      </c>
      <c r="K4" s="2" t="n">
        <v>14</v>
      </c>
      <c r="L4" s="2" t="n">
        <v>2.75</v>
      </c>
      <c r="M4" s="4" t="n">
        <v>25.05</v>
      </c>
      <c r="N4" s="4" t="n">
        <v>18.07</v>
      </c>
      <c r="O4" s="2" t="n">
        <v>70</v>
      </c>
      <c r="P4" s="4" t="n">
        <v>17.62</v>
      </c>
      <c r="Q4" s="4" t="n">
        <v>12.73</v>
      </c>
      <c r="R4" s="4">
        <f>G4*(L4/100)*(O4/100)</f>
        <v/>
      </c>
      <c r="S4" s="4">
        <f>G4*(K4/360/100)*J4*(O4/100)</f>
        <v/>
      </c>
      <c r="T4" s="4">
        <f>P4-R4+Q4-S4</f>
        <v/>
      </c>
    </row>
    <row r="5">
      <c r="A5" s="2" t="inlineStr">
        <is>
          <t>Oro</t>
        </is>
      </c>
      <c r="B5" s="2" t="inlineStr">
        <is>
          <t>Amarillo</t>
        </is>
      </c>
      <c r="C5" s="3" t="n">
        <v>46027</v>
      </c>
      <c r="D5" s="2" t="inlineStr">
        <is>
          <t>B89397053</t>
        </is>
      </c>
      <c r="E5" s="2" t="inlineStr">
        <is>
          <t>Niquelados…</t>
        </is>
      </c>
      <c r="F5" s="2" t="n">
        <v>2397904</v>
      </c>
      <c r="G5" s="4" t="n">
        <v>182.93</v>
      </c>
      <c r="H5" s="3" t="n">
        <v>46014</v>
      </c>
      <c r="I5" s="3" t="n">
        <v>46144</v>
      </c>
      <c r="J5" s="2" t="n">
        <v>72</v>
      </c>
      <c r="K5" s="2" t="n">
        <v>19.81</v>
      </c>
      <c r="L5" s="2" t="n">
        <v>1.88</v>
      </c>
      <c r="M5" s="4" t="n">
        <v>3.44</v>
      </c>
      <c r="N5" s="4" t="n">
        <v>7.25</v>
      </c>
      <c r="O5" s="2" t="n">
        <v>30</v>
      </c>
      <c r="P5" s="4" t="n">
        <v>1.29</v>
      </c>
      <c r="Q5" s="4" t="n">
        <v>2.02</v>
      </c>
      <c r="R5" s="4">
        <f>G5*(L5/100)*(O5/100)</f>
        <v/>
      </c>
      <c r="S5" s="4">
        <f>G5*(K5/360/100)*J5*(O5/100)</f>
        <v/>
      </c>
      <c r="T5" s="4">
        <f>P5-R5+Q5-S5</f>
        <v/>
      </c>
    </row>
    <row r="6">
      <c r="A6" s="2" t="inlineStr">
        <is>
          <t>Oro</t>
        </is>
      </c>
      <c r="B6" s="2" t="inlineStr">
        <is>
          <t>Amarillo</t>
        </is>
      </c>
      <c r="C6" s="3" t="n">
        <v>46027</v>
      </c>
      <c r="D6" s="2" t="inlineStr">
        <is>
          <t>B66887650</t>
        </is>
      </c>
      <c r="E6" s="2" t="inlineStr">
        <is>
          <t>Fletes Mold…</t>
        </is>
      </c>
      <c r="F6" s="2" t="n">
        <v>4278656</v>
      </c>
      <c r="G6" s="4" t="n">
        <v>7107.31</v>
      </c>
      <c r="H6" s="3" t="n">
        <v>46008</v>
      </c>
      <c r="I6" s="3" t="n">
        <v>46079</v>
      </c>
      <c r="J6" s="2" t="n">
        <v>50</v>
      </c>
      <c r="K6" s="2" t="n">
        <v>17.65</v>
      </c>
      <c r="L6" s="2" t="n">
        <v>0.98</v>
      </c>
      <c r="M6" s="4" t="n">
        <v>69.65000000000001</v>
      </c>
      <c r="N6" s="4" t="n">
        <v>174.23</v>
      </c>
      <c r="O6" s="2" t="n">
        <v>40</v>
      </c>
      <c r="P6" s="4" t="n">
        <v>28.05</v>
      </c>
      <c r="Q6" s="4" t="n">
        <v>69.84999999999999</v>
      </c>
      <c r="R6" s="4">
        <f>G6*(L6/100)*(O6/100)</f>
        <v/>
      </c>
      <c r="S6" s="4">
        <f>G6*(K6/360/100)*J6*(O6/100)</f>
        <v/>
      </c>
      <c r="T6" s="4">
        <f>P6-R6+Q6-S6</f>
        <v/>
      </c>
    </row>
    <row r="7">
      <c r="A7" s="2" t="inlineStr">
        <is>
          <t>Oro</t>
        </is>
      </c>
      <c r="B7" s="2" t="inlineStr">
        <is>
          <t>Amarillo</t>
        </is>
      </c>
      <c r="C7" s="3" t="n">
        <v>46027</v>
      </c>
      <c r="D7" s="2" t="inlineStr">
        <is>
          <t>B72294548</t>
        </is>
      </c>
      <c r="E7" s="2" t="inlineStr">
        <is>
          <t>Cables Ágil…</t>
        </is>
      </c>
      <c r="F7" s="2" t="n">
        <v>3205263</v>
      </c>
      <c r="G7" s="4" t="n">
        <v>190.8</v>
      </c>
      <c r="H7" s="3" t="n">
        <v>45997</v>
      </c>
      <c r="I7" s="3" t="n">
        <v>46146</v>
      </c>
      <c r="J7" s="2" t="n">
        <v>66</v>
      </c>
      <c r="K7" s="2" t="n">
        <v>29.08</v>
      </c>
      <c r="L7" s="2" t="n">
        <v>1.35</v>
      </c>
      <c r="M7" s="4" t="n">
        <v>2.58</v>
      </c>
      <c r="N7" s="4" t="n">
        <v>10.17</v>
      </c>
      <c r="O7" s="2" t="n">
        <v>60</v>
      </c>
      <c r="P7" s="4" t="n">
        <v>1.79</v>
      </c>
      <c r="Q7" s="4" t="n">
        <v>5.97</v>
      </c>
      <c r="R7" s="4">
        <f>G7*(L7/100)*(O7/100)</f>
        <v/>
      </c>
      <c r="S7" s="4">
        <f>G7*(K7/360/100)*J7*(O7/100)</f>
        <v/>
      </c>
      <c r="T7" s="4">
        <f>P7-R7+Q7-S7</f>
        <v/>
      </c>
    </row>
    <row r="8">
      <c r="A8" s="2" t="inlineStr">
        <is>
          <t>Oro</t>
        </is>
      </c>
      <c r="B8" s="2" t="inlineStr">
        <is>
          <t>Amarillo</t>
        </is>
      </c>
      <c r="C8" s="3" t="n">
        <v>46027</v>
      </c>
      <c r="D8" s="2" t="inlineStr">
        <is>
          <t>A38674534</t>
        </is>
      </c>
      <c r="E8" s="2" t="inlineStr">
        <is>
          <t>Cápsulas E…</t>
        </is>
      </c>
      <c r="F8" s="2" t="n">
        <v>3717114</v>
      </c>
      <c r="G8" s="4" t="n">
        <v>6500.61</v>
      </c>
      <c r="H8" s="3" t="n">
        <v>46012</v>
      </c>
      <c r="I8" s="3" t="n">
        <v>46035</v>
      </c>
      <c r="J8" s="2" t="n">
        <v>87</v>
      </c>
      <c r="K8" s="2" t="n">
        <v>40.41</v>
      </c>
      <c r="L8" s="2" t="n">
        <v>2.7</v>
      </c>
      <c r="M8" s="4" t="n">
        <v>175.52</v>
      </c>
      <c r="N8" s="4" t="n">
        <v>634.83</v>
      </c>
      <c r="O8" s="2" t="n">
        <v>40</v>
      </c>
      <c r="P8" s="4" t="n">
        <v>70.28</v>
      </c>
      <c r="Q8" s="4" t="n">
        <v>254.17</v>
      </c>
      <c r="R8" s="4">
        <f>G8*(L8/100)*(O8/100)</f>
        <v/>
      </c>
      <c r="S8" s="4">
        <f>G8*(K8/360/100)*J8*(O8/100)</f>
        <v/>
      </c>
      <c r="T8" s="4">
        <f>P8-R8+Q8-S8</f>
        <v/>
      </c>
    </row>
    <row r="9">
      <c r="A9" s="2" t="inlineStr">
        <is>
          <t>Oro</t>
        </is>
      </c>
      <c r="B9" s="2" t="inlineStr">
        <is>
          <t>Amarillo</t>
        </is>
      </c>
      <c r="C9" s="3" t="n">
        <v>46027</v>
      </c>
      <c r="D9" s="2" t="inlineStr">
        <is>
          <t>B53896459</t>
        </is>
      </c>
      <c r="E9" s="2" t="inlineStr">
        <is>
          <t>Proyectos…</t>
        </is>
      </c>
      <c r="F9" s="2" t="n">
        <v>3925646</v>
      </c>
      <c r="G9" s="4" t="n">
        <v>876.35</v>
      </c>
      <c r="H9" s="3" t="n">
        <v>46012</v>
      </c>
      <c r="I9" s="3" t="n">
        <v>46056</v>
      </c>
      <c r="J9" s="2" t="n">
        <v>52</v>
      </c>
      <c r="K9" s="2" t="n">
        <v>37.47</v>
      </c>
      <c r="L9" s="2" t="n">
        <v>2.48</v>
      </c>
      <c r="M9" s="4" t="n">
        <v>21.73</v>
      </c>
      <c r="N9" s="4" t="n">
        <v>47.43</v>
      </c>
      <c r="O9" s="2" t="n">
        <v>30</v>
      </c>
      <c r="P9" s="4" t="n">
        <v>6.77</v>
      </c>
      <c r="Q9" s="4" t="n">
        <v>14.34</v>
      </c>
      <c r="R9" s="4">
        <f>G9*(L9/100)*(O9/100)</f>
        <v/>
      </c>
      <c r="S9" s="4">
        <f>G9*(K9/360/100)*J9*(O9/100)</f>
        <v/>
      </c>
      <c r="T9" s="4">
        <f>P9-R9+Q9-S9</f>
        <v/>
      </c>
    </row>
    <row r="10">
      <c r="A10" s="2" t="inlineStr">
        <is>
          <t>Oro</t>
        </is>
      </c>
      <c r="B10" s="2" t="inlineStr">
        <is>
          <t>Amarillo</t>
        </is>
      </c>
      <c r="C10" s="3" t="n">
        <v>46027</v>
      </c>
      <c r="D10" s="2" t="inlineStr">
        <is>
          <t>B71207632</t>
        </is>
      </c>
      <c r="E10" s="2" t="inlineStr">
        <is>
          <t>Geles Livia…</t>
        </is>
      </c>
      <c r="F10" s="2" t="n">
        <v>2189294</v>
      </c>
      <c r="G10" s="4" t="n">
        <v>8962.98</v>
      </c>
      <c r="H10" s="3" t="n">
        <v>46017</v>
      </c>
      <c r="I10" s="3" t="n">
        <v>46196</v>
      </c>
      <c r="J10" s="2" t="n">
        <v>54</v>
      </c>
      <c r="K10" s="2" t="n">
        <v>38.09</v>
      </c>
      <c r="L10" s="2" t="n">
        <v>1.99</v>
      </c>
      <c r="M10" s="4" t="n">
        <v>178.36</v>
      </c>
      <c r="N10" s="4" t="n">
        <v>512.1</v>
      </c>
      <c r="O10" s="2" t="n">
        <v>70</v>
      </c>
      <c r="P10" s="4" t="n">
        <v>124.62</v>
      </c>
      <c r="Q10" s="4" t="n">
        <v>358.46</v>
      </c>
      <c r="R10" s="4">
        <f>G10*(L10/100)*(O10/100)</f>
        <v/>
      </c>
      <c r="S10" s="4">
        <f>G10*(K10/360/100)*J10*(O10/100)</f>
        <v/>
      </c>
      <c r="T10" s="4">
        <f>P10-R10+Q10-S10</f>
        <v/>
      </c>
    </row>
    <row r="11">
      <c r="A11" s="2" t="inlineStr">
        <is>
          <t>Oro</t>
        </is>
      </c>
      <c r="B11" s="2" t="inlineStr">
        <is>
          <t>Amarillo</t>
        </is>
      </c>
      <c r="C11" s="3" t="n">
        <v>46027</v>
      </c>
      <c r="D11" s="2" t="inlineStr">
        <is>
          <t>B86895555</t>
        </is>
      </c>
      <c r="E11" s="2" t="inlineStr">
        <is>
          <t>Celulosas…</t>
        </is>
      </c>
      <c r="F11" s="2" t="n">
        <v>2388829</v>
      </c>
      <c r="G11" s="4" t="n">
        <v>7780.55</v>
      </c>
      <c r="H11" s="3" t="n">
        <v>46014</v>
      </c>
      <c r="I11" s="3" t="n">
        <v>46109</v>
      </c>
      <c r="J11" s="2" t="n">
        <v>79</v>
      </c>
      <c r="K11" s="2" t="n">
        <v>38.01</v>
      </c>
      <c r="L11" s="2" t="n">
        <v>1.03</v>
      </c>
      <c r="M11" s="4" t="n">
        <v>80.14</v>
      </c>
      <c r="N11" s="4" t="n">
        <v>648.98</v>
      </c>
      <c r="O11" s="2" t="n">
        <v>60</v>
      </c>
      <c r="P11" s="4" t="n">
        <v>47.84</v>
      </c>
      <c r="Q11" s="4" t="n">
        <v>389.54</v>
      </c>
      <c r="R11" s="4">
        <f>G11*(L11/100)*(O11/100)</f>
        <v/>
      </c>
      <c r="S11" s="4">
        <f>G11*(K11/360/100)*J11*(O11/100)</f>
        <v/>
      </c>
      <c r="T11" s="4">
        <f>P11-R11+Q11-S11</f>
        <v/>
      </c>
    </row>
    <row r="12">
      <c r="A12" s="2" t="inlineStr">
        <is>
          <t>Oro</t>
        </is>
      </c>
      <c r="B12" s="2" t="inlineStr">
        <is>
          <t>Amarillo</t>
        </is>
      </c>
      <c r="C12" s="3" t="n">
        <v>46027</v>
      </c>
      <c r="D12" s="2" t="inlineStr">
        <is>
          <t>B60487844</t>
        </is>
      </c>
      <c r="E12" s="2" t="inlineStr">
        <is>
          <t>Vigas Acla…</t>
        </is>
      </c>
      <c r="F12" s="2" t="n">
        <v>3315275</v>
      </c>
      <c r="G12" s="4" t="n">
        <v>836.4299999999999</v>
      </c>
      <c r="H12" s="3" t="n">
        <v>46001</v>
      </c>
      <c r="I12" s="3" t="n">
        <v>46024</v>
      </c>
      <c r="J12" s="2" t="n">
        <v>77</v>
      </c>
      <c r="K12" s="2" t="n">
        <v>17.94</v>
      </c>
      <c r="L12" s="2" t="n">
        <v>2.67</v>
      </c>
      <c r="M12" s="4" t="n">
        <v>22.33</v>
      </c>
      <c r="N12" s="4" t="n">
        <v>32.1</v>
      </c>
      <c r="O12" s="2" t="n">
        <v>30</v>
      </c>
      <c r="P12" s="4" t="n">
        <v>6.96</v>
      </c>
      <c r="Q12" s="4" t="n">
        <v>9.84</v>
      </c>
      <c r="R12" s="4">
        <f>G12*(L12/100)*(O12/100)</f>
        <v/>
      </c>
      <c r="S12" s="4">
        <f>G12*(K12/360/100)*J12*(O12/100)</f>
        <v/>
      </c>
      <c r="T12" s="4">
        <f>P12-R12+Q12-S12</f>
        <v/>
      </c>
    </row>
    <row r="13">
      <c r="A13" s="2" t="inlineStr">
        <is>
          <t>Oro</t>
        </is>
      </c>
      <c r="B13" s="2" t="inlineStr">
        <is>
          <t>Amarillo</t>
        </is>
      </c>
      <c r="C13" s="3" t="n">
        <v>46027</v>
      </c>
      <c r="D13" s="2" t="inlineStr">
        <is>
          <t>B73902506</t>
        </is>
      </c>
      <c r="E13" s="2" t="inlineStr">
        <is>
          <t>Licores Sist…</t>
        </is>
      </c>
      <c r="F13" s="2" t="n">
        <v>4320530</v>
      </c>
      <c r="G13" s="4" t="n">
        <v>319.31</v>
      </c>
      <c r="H13" s="3" t="n">
        <v>46011</v>
      </c>
      <c r="I13" s="3" t="n">
        <v>46176</v>
      </c>
      <c r="J13" s="2" t="n">
        <v>37</v>
      </c>
      <c r="K13" s="2" t="n">
        <v>40.92</v>
      </c>
      <c r="L13" s="2" t="n">
        <v>2.52</v>
      </c>
      <c r="M13" s="4" t="n">
        <v>8.050000000000001</v>
      </c>
      <c r="N13" s="4" t="n">
        <v>13.43</v>
      </c>
      <c r="O13" s="2" t="n">
        <v>70</v>
      </c>
      <c r="P13" s="4" t="n">
        <v>5.53</v>
      </c>
      <c r="Q13" s="4" t="n">
        <v>9.18</v>
      </c>
      <c r="R13" s="4">
        <f>G13*(L13/100)*(O13/100)</f>
        <v/>
      </c>
      <c r="S13" s="4">
        <f>G13*(K13/360/100)*J13*(O13/100)</f>
        <v/>
      </c>
      <c r="T13" s="4">
        <f>P13-R13+Q13-S13</f>
        <v/>
      </c>
    </row>
    <row r="14">
      <c r="A14" s="2" t="inlineStr">
        <is>
          <t>Oro</t>
        </is>
      </c>
      <c r="B14" s="2" t="inlineStr">
        <is>
          <t>Amarillo</t>
        </is>
      </c>
      <c r="C14" s="3" t="n">
        <v>46027</v>
      </c>
      <c r="D14" s="2" t="inlineStr">
        <is>
          <t>A88441953</t>
        </is>
      </c>
      <c r="E14" s="2" t="inlineStr">
        <is>
          <t>Chapas Ma…</t>
        </is>
      </c>
      <c r="F14" s="2" t="n">
        <v>2936951</v>
      </c>
      <c r="G14" s="4" t="n">
        <v>691.7</v>
      </c>
      <c r="H14" s="3" t="n">
        <v>46019</v>
      </c>
      <c r="I14" s="3" t="n">
        <v>46054</v>
      </c>
      <c r="J14" s="2" t="n">
        <v>22</v>
      </c>
      <c r="K14" s="2" t="n">
        <v>49.36</v>
      </c>
      <c r="L14" s="2" t="n">
        <v>1.09</v>
      </c>
      <c r="M14" s="4" t="n">
        <v>7.54</v>
      </c>
      <c r="N14" s="4" t="n">
        <v>20.86</v>
      </c>
      <c r="O14" s="2" t="n">
        <v>50</v>
      </c>
      <c r="P14" s="4" t="n">
        <v>3.99</v>
      </c>
      <c r="Q14" s="4" t="n">
        <v>10.6</v>
      </c>
      <c r="R14" s="4">
        <f>G14*(L14/100)*(O14/100)</f>
        <v/>
      </c>
      <c r="S14" s="4">
        <f>G14*(K14/360/100)*J14*(O14/100)</f>
        <v/>
      </c>
      <c r="T14" s="4">
        <f>P14-R14+Q14-S14</f>
        <v/>
      </c>
    </row>
    <row r="15">
      <c r="A15" s="2" t="inlineStr">
        <is>
          <t>Oro</t>
        </is>
      </c>
      <c r="B15" s="2" t="inlineStr">
        <is>
          <t>Amarillo</t>
        </is>
      </c>
      <c r="C15" s="3" t="n">
        <v>46027</v>
      </c>
      <c r="D15" s="2" t="inlineStr">
        <is>
          <t>B25207343</t>
        </is>
      </c>
      <c r="E15" s="2" t="inlineStr">
        <is>
          <t>Vinos Oper…</t>
        </is>
      </c>
      <c r="F15" s="2" t="n">
        <v>1896690</v>
      </c>
      <c r="G15" s="4" t="n">
        <v>226.59</v>
      </c>
      <c r="H15" s="3" t="n">
        <v>46006</v>
      </c>
      <c r="I15" s="3" t="n">
        <v>46144</v>
      </c>
      <c r="J15" s="2" t="n">
        <v>21</v>
      </c>
      <c r="K15" s="2" t="n">
        <v>36.86</v>
      </c>
      <c r="L15" s="2" t="n">
        <v>1.56</v>
      </c>
      <c r="M15" s="4" t="n">
        <v>3.53</v>
      </c>
      <c r="N15" s="4" t="n">
        <v>4.87</v>
      </c>
      <c r="O15" s="2" t="n">
        <v>30</v>
      </c>
      <c r="P15" s="4" t="n">
        <v>0.98</v>
      </c>
      <c r="Q15" s="4" t="n">
        <v>1.62</v>
      </c>
      <c r="R15" s="4">
        <f>G15*(L15/100)*(O15/100)</f>
        <v/>
      </c>
      <c r="S15" s="4">
        <f>G15*(K15/360/100)*J15*(O15/100)</f>
        <v/>
      </c>
      <c r="T15" s="4">
        <f>P15-R15+Q15-S15</f>
        <v/>
      </c>
    </row>
    <row r="16">
      <c r="A16" s="2" t="inlineStr">
        <is>
          <t>Oro</t>
        </is>
      </c>
      <c r="B16" s="2" t="inlineStr">
        <is>
          <t>Amarillo</t>
        </is>
      </c>
      <c r="C16" s="3" t="n">
        <v>46027</v>
      </c>
      <c r="D16" s="2" t="inlineStr">
        <is>
          <t>B10393105</t>
        </is>
      </c>
      <c r="E16" s="2" t="inlineStr">
        <is>
          <t>Aparejos S…</t>
        </is>
      </c>
      <c r="F16" s="2" t="n">
        <v>3937910</v>
      </c>
      <c r="G16" s="4" t="n">
        <v>9726.66</v>
      </c>
      <c r="H16" s="3" t="n">
        <v>46012</v>
      </c>
      <c r="I16" s="3" t="n">
        <v>46060</v>
      </c>
      <c r="J16" s="2" t="n">
        <v>46</v>
      </c>
      <c r="K16" s="2" t="n">
        <v>25.44</v>
      </c>
      <c r="L16" s="2" t="n">
        <v>1.5</v>
      </c>
      <c r="M16" s="4" t="n">
        <v>145.9</v>
      </c>
      <c r="N16" s="4" t="n">
        <v>316.18</v>
      </c>
      <c r="O16" s="2" t="n">
        <v>50</v>
      </c>
      <c r="P16" s="4" t="n">
        <v>72.77</v>
      </c>
      <c r="Q16" s="4" t="n">
        <v>158.07</v>
      </c>
      <c r="R16" s="4">
        <f>G16*(L16/100)*(O16/100)</f>
        <v/>
      </c>
      <c r="S16" s="4">
        <f>G16*(K16/360/100)*J16*(O16/100)</f>
        <v/>
      </c>
      <c r="T16" s="4">
        <f>P16-R16+Q16-S16</f>
        <v/>
      </c>
    </row>
    <row r="17">
      <c r="A17" s="2" t="inlineStr">
        <is>
          <t>Oro</t>
        </is>
      </c>
      <c r="B17" s="2" t="inlineStr">
        <is>
          <t>Amarillo</t>
        </is>
      </c>
      <c r="C17" s="3" t="n">
        <v>46027</v>
      </c>
      <c r="D17" s="2" t="inlineStr">
        <is>
          <t>B57580049</t>
        </is>
      </c>
      <c r="E17" s="2" t="inlineStr">
        <is>
          <t>Ferrosos U…</t>
        </is>
      </c>
      <c r="F17" s="2" t="n">
        <v>4347775</v>
      </c>
      <c r="G17" s="4" t="n">
        <v>5770.24</v>
      </c>
      <c r="H17" s="3" t="n">
        <v>46000</v>
      </c>
      <c r="I17" s="3" t="n">
        <v>46065</v>
      </c>
      <c r="J17" s="2" t="n">
        <v>37</v>
      </c>
      <c r="K17" s="2" t="n">
        <v>32</v>
      </c>
      <c r="L17" s="2" t="n">
        <v>2.14</v>
      </c>
      <c r="M17" s="4" t="n">
        <v>123.48</v>
      </c>
      <c r="N17" s="4" t="n">
        <v>189.78</v>
      </c>
      <c r="O17" s="2" t="n">
        <v>50</v>
      </c>
      <c r="P17" s="4" t="n">
        <v>61.82</v>
      </c>
      <c r="Q17" s="4" t="n">
        <v>95.01000000000001</v>
      </c>
      <c r="R17" s="4">
        <f>G17*(L17/100)*(O17/100)</f>
        <v/>
      </c>
      <c r="S17" s="4">
        <f>G17*(K17/360/100)*J17*(O17/100)</f>
        <v/>
      </c>
      <c r="T17" s="4">
        <f>P17-R17+Q17-S17</f>
        <v/>
      </c>
    </row>
    <row r="18">
      <c r="A18" s="2" t="inlineStr">
        <is>
          <t>Oro</t>
        </is>
      </c>
      <c r="B18" s="2" t="inlineStr">
        <is>
          <t>Amarillo</t>
        </is>
      </c>
      <c r="C18" s="3" t="n">
        <v>46027</v>
      </c>
      <c r="D18" s="2" t="inlineStr">
        <is>
          <t>A10220438</t>
        </is>
      </c>
      <c r="E18" s="2" t="inlineStr">
        <is>
          <t>Tubulares I…</t>
        </is>
      </c>
      <c r="F18" s="2" t="n">
        <v>4288280</v>
      </c>
      <c r="G18" s="4" t="n">
        <v>799.65</v>
      </c>
      <c r="H18" s="3" t="n">
        <v>46001</v>
      </c>
      <c r="I18" s="3" t="n">
        <v>46104</v>
      </c>
      <c r="J18" s="2" t="n">
        <v>18</v>
      </c>
      <c r="K18" s="2" t="n">
        <v>10.3</v>
      </c>
      <c r="L18" s="2" t="n">
        <v>1.61</v>
      </c>
      <c r="M18" s="4" t="n">
        <v>12.87</v>
      </c>
      <c r="N18" s="4" t="n">
        <v>4.12</v>
      </c>
      <c r="O18" s="2" t="n">
        <v>70</v>
      </c>
      <c r="P18" s="4" t="n">
        <v>8.73</v>
      </c>
      <c r="Q18" s="4" t="n">
        <v>3.12</v>
      </c>
      <c r="R18" s="4">
        <f>G18*(L18/100)*(O18/100)</f>
        <v/>
      </c>
      <c r="S18" s="4">
        <f>G18*(K18/360/100)*J18*(O18/100)</f>
        <v/>
      </c>
      <c r="T18" s="4">
        <f>P18-R18+Q18-S18</f>
        <v/>
      </c>
    </row>
    <row r="19">
      <c r="A19" s="2" t="inlineStr">
        <is>
          <t>Oro</t>
        </is>
      </c>
      <c r="B19" s="2" t="inlineStr">
        <is>
          <t>Amarillo</t>
        </is>
      </c>
      <c r="C19" s="3" t="n">
        <v>46027</v>
      </c>
      <c r="D19" s="2" t="inlineStr">
        <is>
          <t>B80162714</t>
        </is>
      </c>
      <c r="E19" s="2" t="inlineStr">
        <is>
          <t>Vinos Estra…</t>
        </is>
      </c>
      <c r="F19" s="2" t="n">
        <v>3775546</v>
      </c>
      <c r="G19" s="4" t="n">
        <v>6017.42</v>
      </c>
      <c r="H19" s="3" t="n">
        <v>46000</v>
      </c>
      <c r="I19" s="3" t="n">
        <v>46193</v>
      </c>
      <c r="J19" s="2" t="n">
        <v>54</v>
      </c>
      <c r="K19" s="2" t="n">
        <v>13.83</v>
      </c>
      <c r="L19" s="2" t="n">
        <v>0.67</v>
      </c>
      <c r="M19" s="4" t="n">
        <v>40.32</v>
      </c>
      <c r="N19" s="4" t="n">
        <v>124.83</v>
      </c>
      <c r="O19" s="2" t="n">
        <v>70</v>
      </c>
      <c r="P19" s="4" t="n">
        <v>28.26</v>
      </c>
      <c r="Q19" s="4" t="n">
        <v>87.20999999999999</v>
      </c>
      <c r="R19" s="4">
        <f>G19*(L19/100)*(O19/100)</f>
        <v/>
      </c>
      <c r="S19" s="4">
        <f>G19*(K19/360/100)*J19*(O19/100)</f>
        <v/>
      </c>
      <c r="T19" s="4">
        <f>P19-R19+Q19-S19</f>
        <v/>
      </c>
    </row>
    <row r="20">
      <c r="A20" s="2" t="inlineStr">
        <is>
          <t>Oro</t>
        </is>
      </c>
      <c r="B20" s="2" t="inlineStr">
        <is>
          <t>Amarillo</t>
        </is>
      </c>
      <c r="C20" s="3" t="n">
        <v>46027</v>
      </c>
      <c r="D20" s="2" t="inlineStr">
        <is>
          <t>B06548308</t>
        </is>
      </c>
      <c r="E20" s="2" t="inlineStr">
        <is>
          <t>Mieles Iridi…</t>
        </is>
      </c>
      <c r="F20" s="2" t="n">
        <v>2519486</v>
      </c>
      <c r="G20" s="4" t="n">
        <v>458.96</v>
      </c>
      <c r="H20" s="3" t="n">
        <v>45995</v>
      </c>
      <c r="I20" s="3" t="n">
        <v>46102</v>
      </c>
      <c r="J20" s="2" t="n">
        <v>87</v>
      </c>
      <c r="K20" s="2" t="n">
        <v>40.51</v>
      </c>
      <c r="L20" s="2" t="n">
        <v>2.06</v>
      </c>
      <c r="M20" s="4" t="n">
        <v>9.449999999999999</v>
      </c>
      <c r="N20" s="4" t="n">
        <v>44.93</v>
      </c>
      <c r="O20" s="2" t="n">
        <v>20</v>
      </c>
      <c r="P20" s="4" t="n">
        <v>1.67</v>
      </c>
      <c r="Q20" s="4" t="n">
        <v>8.960000000000001</v>
      </c>
      <c r="R20" s="4">
        <f>G20*(L20/100)*(O20/100)</f>
        <v/>
      </c>
      <c r="S20" s="4">
        <f>G20*(K20/360/100)*J20*(O20/100)</f>
        <v/>
      </c>
      <c r="T20" s="4">
        <f>P20-R20+Q20-S20</f>
        <v/>
      </c>
    </row>
    <row r="21">
      <c r="A21" s="2" t="inlineStr">
        <is>
          <t>Oro</t>
        </is>
      </c>
      <c r="B21" s="2" t="inlineStr">
        <is>
          <t>Amarillo</t>
        </is>
      </c>
      <c r="C21" s="3" t="n">
        <v>46027</v>
      </c>
      <c r="D21" s="2" t="inlineStr">
        <is>
          <t>A12635750</t>
        </is>
      </c>
      <c r="E21" s="2" t="inlineStr">
        <is>
          <t>Baterías Su…</t>
        </is>
      </c>
      <c r="F21" s="2" t="n">
        <v>4884252</v>
      </c>
      <c r="G21" s="4" t="n">
        <v>865.74</v>
      </c>
      <c r="H21" s="3" t="n">
        <v>45995</v>
      </c>
      <c r="I21" s="3" t="n">
        <v>46080</v>
      </c>
      <c r="J21" s="2" t="n">
        <v>28</v>
      </c>
      <c r="K21" s="2" t="n">
        <v>34.17</v>
      </c>
      <c r="L21" s="2" t="n">
        <v>2.99</v>
      </c>
      <c r="M21" s="4" t="n">
        <v>25.89</v>
      </c>
      <c r="N21" s="4" t="n">
        <v>23.01</v>
      </c>
      <c r="O21" s="2" t="n">
        <v>40</v>
      </c>
      <c r="P21" s="4" t="n">
        <v>10.6</v>
      </c>
      <c r="Q21" s="4" t="n">
        <v>9.4</v>
      </c>
      <c r="R21" s="4">
        <f>G21*(L21/100)*(O21/100)</f>
        <v/>
      </c>
      <c r="S21" s="4">
        <f>G21*(K21/360/100)*J21*(O21/100)</f>
        <v/>
      </c>
      <c r="T21" s="4">
        <f>P21-R21+Q21-S21</f>
        <v/>
      </c>
    </row>
    <row r="22">
      <c r="A22" s="2" t="inlineStr">
        <is>
          <t>Oro</t>
        </is>
      </c>
      <c r="B22" s="2" t="inlineStr">
        <is>
          <t>Amarillo</t>
        </is>
      </c>
      <c r="C22" s="3" t="n">
        <v>46027</v>
      </c>
      <c r="D22" s="2" t="inlineStr">
        <is>
          <t>B65907829</t>
        </is>
      </c>
      <c r="E22" s="2" t="inlineStr">
        <is>
          <t>Papeles Se…</t>
        </is>
      </c>
      <c r="F22" s="2" t="n">
        <v>3994938</v>
      </c>
      <c r="G22" s="4" t="n">
        <v>411.81</v>
      </c>
      <c r="H22" s="3" t="n">
        <v>45993</v>
      </c>
      <c r="I22" s="3" t="n">
        <v>46109</v>
      </c>
      <c r="J22" s="2" t="n">
        <v>33</v>
      </c>
      <c r="K22" s="2" t="n">
        <v>39.06</v>
      </c>
      <c r="L22" s="2" t="n">
        <v>1.93</v>
      </c>
      <c r="M22" s="4" t="n">
        <v>7.95</v>
      </c>
      <c r="N22" s="4" t="n">
        <v>14.74</v>
      </c>
      <c r="O22" s="2" t="n">
        <v>50</v>
      </c>
      <c r="P22" s="4" t="n">
        <v>3.74</v>
      </c>
      <c r="Q22" s="4" t="n">
        <v>7.49</v>
      </c>
      <c r="R22" s="4">
        <f>G22*(L22/100)*(O22/100)</f>
        <v/>
      </c>
      <c r="S22" s="4">
        <f>G22*(K22/360/100)*J22*(O22/100)</f>
        <v/>
      </c>
      <c r="T22" s="4">
        <f>P22-R22+Q22-S22</f>
        <v/>
      </c>
    </row>
    <row r="23">
      <c r="A23" s="2" t="inlineStr">
        <is>
          <t>Oro</t>
        </is>
      </c>
      <c r="B23" s="2" t="inlineStr">
        <is>
          <t>Amarillo</t>
        </is>
      </c>
      <c r="C23" s="3" t="n">
        <v>46027</v>
      </c>
      <c r="D23" s="2" t="inlineStr">
        <is>
          <t>B21017189</t>
        </is>
      </c>
      <c r="E23" s="2" t="inlineStr">
        <is>
          <t>Colas Fund…</t>
        </is>
      </c>
      <c r="F23" s="2" t="n">
        <v>2021687</v>
      </c>
      <c r="G23" s="4" t="n">
        <v>9871.790000000001</v>
      </c>
      <c r="H23" s="3" t="n">
        <v>46015</v>
      </c>
      <c r="I23" s="3" t="n">
        <v>46109</v>
      </c>
      <c r="J23" s="2" t="n">
        <v>57</v>
      </c>
      <c r="K23" s="2" t="n">
        <v>17.05</v>
      </c>
      <c r="L23" s="2" t="n">
        <v>1.87</v>
      </c>
      <c r="M23" s="4" t="n">
        <v>184.6</v>
      </c>
      <c r="N23" s="4" t="n">
        <v>266.5</v>
      </c>
      <c r="O23" s="2" t="n">
        <v>40</v>
      </c>
      <c r="P23" s="4" t="n">
        <v>74.09</v>
      </c>
      <c r="Q23" s="4" t="n">
        <v>106.42</v>
      </c>
      <c r="R23" s="4">
        <f>G23*(L23/100)*(O23/100)</f>
        <v/>
      </c>
      <c r="S23" s="4">
        <f>G23*(K23/360/100)*J23*(O23/100)</f>
        <v/>
      </c>
      <c r="T23" s="4">
        <f>P23-R23+Q23-S23</f>
        <v/>
      </c>
    </row>
    <row r="24">
      <c r="A24" s="2" t="inlineStr">
        <is>
          <t>Oro</t>
        </is>
      </c>
      <c r="B24" s="2" t="inlineStr">
        <is>
          <t>Amarillo</t>
        </is>
      </c>
      <c r="C24" s="3" t="n">
        <v>46027</v>
      </c>
      <c r="D24" s="2" t="inlineStr">
        <is>
          <t>B04054411</t>
        </is>
      </c>
      <c r="E24" s="2" t="inlineStr">
        <is>
          <t>Titanios Mo…</t>
        </is>
      </c>
      <c r="F24" s="2" t="n">
        <v>2986255</v>
      </c>
      <c r="G24" s="4" t="n">
        <v>674.72</v>
      </c>
      <c r="H24" s="3" t="n">
        <v>45993</v>
      </c>
      <c r="I24" s="3" t="n">
        <v>46087</v>
      </c>
      <c r="J24" s="2" t="n">
        <v>11</v>
      </c>
      <c r="K24" s="2" t="n">
        <v>30</v>
      </c>
      <c r="L24" s="2" t="n">
        <v>1.01</v>
      </c>
      <c r="M24" s="4" t="n">
        <v>6.81</v>
      </c>
      <c r="N24" s="4" t="n">
        <v>6.18</v>
      </c>
      <c r="O24" s="2" t="n">
        <v>40</v>
      </c>
      <c r="P24" s="4" t="n">
        <v>2.56</v>
      </c>
      <c r="Q24" s="4" t="n">
        <v>2.69</v>
      </c>
      <c r="R24" s="4">
        <f>G24*(L24/100)*(O24/100)</f>
        <v/>
      </c>
      <c r="S24" s="4">
        <f>G24*(K24/360/100)*J24*(O24/100)</f>
        <v/>
      </c>
      <c r="T24" s="4">
        <f>P24-R24+Q24-S24</f>
        <v/>
      </c>
    </row>
    <row r="25">
      <c r="A25" s="2" t="inlineStr">
        <is>
          <t>Oro</t>
        </is>
      </c>
      <c r="B25" s="2" t="inlineStr">
        <is>
          <t>Amarillo</t>
        </is>
      </c>
      <c r="C25" s="3" t="n">
        <v>46027</v>
      </c>
      <c r="D25" s="2" t="inlineStr">
        <is>
          <t>A35184746</t>
        </is>
      </c>
      <c r="E25" s="2" t="inlineStr">
        <is>
          <t>Transmisio…</t>
        </is>
      </c>
      <c r="F25" s="2" t="n">
        <v>2925560</v>
      </c>
      <c r="G25" s="4" t="n">
        <v>8216.559999999999</v>
      </c>
      <c r="H25" s="3" t="n">
        <v>46014</v>
      </c>
      <c r="I25" s="3" t="n">
        <v>46075</v>
      </c>
      <c r="J25" s="2" t="n">
        <v>78</v>
      </c>
      <c r="K25" s="2" t="n">
        <v>36.52</v>
      </c>
      <c r="L25" s="2" t="n">
        <v>2.15</v>
      </c>
      <c r="M25" s="4" t="n">
        <v>176.66</v>
      </c>
      <c r="N25" s="4" t="n">
        <v>650.15</v>
      </c>
      <c r="O25" s="2" t="n">
        <v>20</v>
      </c>
      <c r="P25" s="4" t="n">
        <v>35.6</v>
      </c>
      <c r="Q25" s="4" t="n">
        <v>130.12</v>
      </c>
      <c r="R25" s="4">
        <f>G25*(L25/100)*(O25/100)</f>
        <v/>
      </c>
      <c r="S25" s="4">
        <f>G25*(K25/360/100)*J25*(O25/100)</f>
        <v/>
      </c>
      <c r="T25" s="4">
        <f>P25-R25+Q25-S25</f>
        <v/>
      </c>
    </row>
    <row r="26">
      <c r="A26" s="2" t="inlineStr">
        <is>
          <t>Oro</t>
        </is>
      </c>
      <c r="B26" s="2" t="inlineStr">
        <is>
          <t>Amarillo</t>
        </is>
      </c>
      <c r="C26" s="3" t="n">
        <v>46027</v>
      </c>
      <c r="D26" s="2" t="inlineStr">
        <is>
          <t>A81058085</t>
        </is>
      </c>
      <c r="E26" s="2" t="inlineStr">
        <is>
          <t>Cárnicos Pr…</t>
        </is>
      </c>
      <c r="F26" s="2" t="n">
        <v>3819612</v>
      </c>
      <c r="G26" s="4" t="n">
        <v>7308.35</v>
      </c>
      <c r="H26" s="3" t="n">
        <v>45997</v>
      </c>
      <c r="I26" s="3" t="n">
        <v>46086</v>
      </c>
      <c r="J26" s="2" t="n">
        <v>28</v>
      </c>
      <c r="K26" s="2" t="n">
        <v>19.34</v>
      </c>
      <c r="L26" s="2" t="n">
        <v>2.93</v>
      </c>
      <c r="M26" s="4" t="n">
        <v>214.13</v>
      </c>
      <c r="N26" s="4" t="n">
        <v>109.93</v>
      </c>
      <c r="O26" s="2" t="n">
        <v>20</v>
      </c>
      <c r="P26" s="4" t="n">
        <v>42.8</v>
      </c>
      <c r="Q26" s="4" t="n">
        <v>21.81</v>
      </c>
      <c r="R26" s="4">
        <f>G26*(L26/100)*(O26/100)</f>
        <v/>
      </c>
      <c r="S26" s="4">
        <f>G26*(K26/360/100)*J26*(O26/100)</f>
        <v/>
      </c>
      <c r="T26" s="4">
        <f>P26-R26+Q26-S26</f>
        <v/>
      </c>
    </row>
    <row r="27">
      <c r="A27" s="2" t="inlineStr">
        <is>
          <t>Oro</t>
        </is>
      </c>
      <c r="B27" s="2" t="inlineStr">
        <is>
          <t>Amarillo</t>
        </is>
      </c>
      <c r="C27" s="3" t="n">
        <v>46027</v>
      </c>
      <c r="D27" s="2" t="inlineStr">
        <is>
          <t>A56635820</t>
        </is>
      </c>
      <c r="E27" s="2" t="inlineStr">
        <is>
          <t>Cuarzos M…</t>
        </is>
      </c>
      <c r="F27" s="2" t="n">
        <v>4274997</v>
      </c>
      <c r="G27" s="4" t="n">
        <v>5189.31</v>
      </c>
      <c r="H27" s="3" t="n">
        <v>46018</v>
      </c>
      <c r="I27" s="3" t="n">
        <v>46035</v>
      </c>
      <c r="J27" s="2" t="n">
        <v>85</v>
      </c>
      <c r="K27" s="2" t="n">
        <v>27.04</v>
      </c>
      <c r="L27" s="2" t="n">
        <v>2.65</v>
      </c>
      <c r="M27" s="4" t="n">
        <v>137.52</v>
      </c>
      <c r="N27" s="4" t="n">
        <v>331.31</v>
      </c>
      <c r="O27" s="2" t="n">
        <v>20</v>
      </c>
      <c r="P27" s="4" t="n">
        <v>27.69</v>
      </c>
      <c r="Q27" s="4" t="n">
        <v>66.03</v>
      </c>
      <c r="R27" s="4">
        <f>G27*(L27/100)*(O27/100)</f>
        <v/>
      </c>
      <c r="S27" s="4">
        <f>G27*(K27/360/100)*J27*(O27/100)</f>
        <v/>
      </c>
      <c r="T27" s="4">
        <f>P27-R27+Q27-S27</f>
        <v/>
      </c>
    </row>
    <row r="28">
      <c r="A28" s="2" t="inlineStr">
        <is>
          <t>Oro</t>
        </is>
      </c>
      <c r="B28" s="2" t="inlineStr">
        <is>
          <t>Amarillo</t>
        </is>
      </c>
      <c r="C28" s="3" t="n">
        <v>46027</v>
      </c>
      <c r="D28" s="2" t="inlineStr">
        <is>
          <t>B73452158</t>
        </is>
      </c>
      <c r="E28" s="2" t="inlineStr">
        <is>
          <t>Pizarras Ca…</t>
        </is>
      </c>
      <c r="F28" s="2" t="n">
        <v>1801664</v>
      </c>
      <c r="G28" s="4" t="n">
        <v>733.5599999999999</v>
      </c>
      <c r="H28" s="3" t="n">
        <v>46014</v>
      </c>
      <c r="I28" s="3" t="n">
        <v>46066</v>
      </c>
      <c r="J28" s="2" t="n">
        <v>58</v>
      </c>
      <c r="K28" s="2" t="n">
        <v>25.27</v>
      </c>
      <c r="L28" s="2" t="n">
        <v>1.53</v>
      </c>
      <c r="M28" s="4" t="n">
        <v>11.22</v>
      </c>
      <c r="N28" s="4" t="n">
        <v>29.87</v>
      </c>
      <c r="O28" s="2" t="n">
        <v>30</v>
      </c>
      <c r="P28" s="4" t="n">
        <v>3.52</v>
      </c>
      <c r="Q28" s="4" t="n">
        <v>8.73</v>
      </c>
      <c r="R28" s="4">
        <f>G28*(L28/100)*(O28/100)</f>
        <v/>
      </c>
      <c r="S28" s="4">
        <f>G28*(K28/360/100)*J28*(O28/100)</f>
        <v/>
      </c>
      <c r="T28" s="4">
        <f>P28-R28+Q28-S28</f>
        <v/>
      </c>
    </row>
    <row r="29">
      <c r="A29" s="2" t="inlineStr">
        <is>
          <t>Oro</t>
        </is>
      </c>
      <c r="B29" s="2" t="inlineStr">
        <is>
          <t>Amarillo</t>
        </is>
      </c>
      <c r="C29" s="3" t="n">
        <v>46027</v>
      </c>
      <c r="D29" s="2" t="inlineStr">
        <is>
          <t>B67884399</t>
        </is>
      </c>
      <c r="E29" s="2" t="inlineStr">
        <is>
          <t>Metales La…</t>
        </is>
      </c>
      <c r="F29" s="2" t="n">
        <v>4768866</v>
      </c>
      <c r="G29" s="4" t="n">
        <v>246.38</v>
      </c>
      <c r="H29" s="3" t="n">
        <v>46014</v>
      </c>
      <c r="I29" s="3" t="n">
        <v>46164</v>
      </c>
      <c r="J29" s="2" t="n">
        <v>52</v>
      </c>
      <c r="K29" s="2" t="n">
        <v>27.12</v>
      </c>
      <c r="L29" s="2" t="n">
        <v>2.88</v>
      </c>
      <c r="M29" s="4" t="n">
        <v>7.1</v>
      </c>
      <c r="N29" s="4" t="n">
        <v>9.65</v>
      </c>
      <c r="O29" s="2" t="n">
        <v>40</v>
      </c>
      <c r="P29" s="4" t="n">
        <v>2.64</v>
      </c>
      <c r="Q29" s="4" t="n">
        <v>3.77</v>
      </c>
      <c r="R29" s="4">
        <f>G29*(L29/100)*(O29/100)</f>
        <v/>
      </c>
      <c r="S29" s="4">
        <f>G29*(K29/360/100)*J29*(O29/100)</f>
        <v/>
      </c>
      <c r="T29" s="4">
        <f>P29-R29+Q29-S29</f>
        <v/>
      </c>
    </row>
    <row r="30">
      <c r="A30" s="2" t="inlineStr">
        <is>
          <t>Oro</t>
        </is>
      </c>
      <c r="B30" s="2" t="inlineStr">
        <is>
          <t>Amarillo</t>
        </is>
      </c>
      <c r="C30" s="3" t="n">
        <v>46027</v>
      </c>
      <c r="D30" s="2" t="inlineStr">
        <is>
          <t>B27785166</t>
        </is>
      </c>
      <c r="E30" s="2" t="inlineStr">
        <is>
          <t>Tarimas M…</t>
        </is>
      </c>
      <c r="F30" s="2" t="n">
        <v>2021635</v>
      </c>
      <c r="G30" s="4" t="n">
        <v>174.82</v>
      </c>
      <c r="H30" s="3" t="n">
        <v>46004</v>
      </c>
      <c r="I30" s="3" t="n">
        <v>46031</v>
      </c>
      <c r="J30" s="2" t="n">
        <v>26</v>
      </c>
      <c r="K30" s="2" t="n">
        <v>25.36</v>
      </c>
      <c r="L30" s="2" t="n">
        <v>2.33</v>
      </c>
      <c r="M30" s="4" t="n">
        <v>4.07</v>
      </c>
      <c r="N30" s="4" t="n">
        <v>3.2</v>
      </c>
      <c r="O30" s="2" t="n">
        <v>50</v>
      </c>
      <c r="P30" s="4" t="n">
        <v>1.96</v>
      </c>
      <c r="Q30" s="4" t="n">
        <v>1.72</v>
      </c>
      <c r="R30" s="4">
        <f>G30*(L30/100)*(O30/100)</f>
        <v/>
      </c>
      <c r="S30" s="4">
        <f>G30*(K30/360/100)*J30*(O30/100)</f>
        <v/>
      </c>
      <c r="T30" s="4">
        <f>P30-R30+Q30-S30</f>
        <v/>
      </c>
    </row>
    <row r="31">
      <c r="A31" s="2" t="inlineStr">
        <is>
          <t>Oro</t>
        </is>
      </c>
      <c r="B31" s="2" t="inlineStr">
        <is>
          <t>Amarillo</t>
        </is>
      </c>
      <c r="C31" s="3" t="n">
        <v>46027</v>
      </c>
      <c r="D31" s="2" t="inlineStr">
        <is>
          <t>B99167751</t>
        </is>
      </c>
      <c r="E31" s="2" t="inlineStr">
        <is>
          <t>Procesos E…</t>
        </is>
      </c>
      <c r="F31" s="2" t="n">
        <v>1635956</v>
      </c>
      <c r="G31" s="4" t="n">
        <v>3962.63</v>
      </c>
      <c r="H31" s="3" t="n">
        <v>45999</v>
      </c>
      <c r="I31" s="3" t="n">
        <v>46081</v>
      </c>
      <c r="J31" s="2" t="n">
        <v>63</v>
      </c>
      <c r="K31" s="2" t="n">
        <v>44.18</v>
      </c>
      <c r="L31" s="2" t="n">
        <v>1.44</v>
      </c>
      <c r="M31" s="4" t="n">
        <v>57.06</v>
      </c>
      <c r="N31" s="4" t="n">
        <v>306.37</v>
      </c>
      <c r="O31" s="2" t="n">
        <v>30</v>
      </c>
      <c r="P31" s="4" t="n">
        <v>17.35</v>
      </c>
      <c r="Q31" s="4" t="n">
        <v>92</v>
      </c>
      <c r="R31" s="4">
        <f>G31*(L31/100)*(O31/100)</f>
        <v/>
      </c>
      <c r="S31" s="4">
        <f>G31*(K31/360/100)*J31*(O31/100)</f>
        <v/>
      </c>
      <c r="T31" s="4">
        <f>P31-R31+Q31-S31</f>
        <v/>
      </c>
    </row>
    <row r="32">
      <c r="A32" s="2" t="inlineStr">
        <is>
          <t>Oro</t>
        </is>
      </c>
      <c r="B32" s="2" t="inlineStr">
        <is>
          <t>Amarillo</t>
        </is>
      </c>
      <c r="C32" s="3" t="n">
        <v>46027</v>
      </c>
      <c r="D32" s="2" t="inlineStr">
        <is>
          <t>B16297723</t>
        </is>
      </c>
      <c r="E32" s="2" t="inlineStr">
        <is>
          <t>Morteros A…</t>
        </is>
      </c>
      <c r="F32" s="2" t="n">
        <v>3143484</v>
      </c>
      <c r="G32" s="4" t="n">
        <v>134.89</v>
      </c>
      <c r="H32" s="3" t="n">
        <v>46000</v>
      </c>
      <c r="I32" s="3" t="n">
        <v>46109</v>
      </c>
      <c r="J32" s="2" t="n">
        <v>25</v>
      </c>
      <c r="K32" s="2" t="n">
        <v>10.72</v>
      </c>
      <c r="L32" s="2" t="n">
        <v>1.33</v>
      </c>
      <c r="M32" s="4" t="n">
        <v>1.79</v>
      </c>
      <c r="N32" s="4" t="n">
        <v>1</v>
      </c>
      <c r="O32" s="2" t="n">
        <v>40</v>
      </c>
      <c r="P32" s="4" t="n">
        <v>0.9399999999999999</v>
      </c>
      <c r="Q32" s="4" t="n">
        <v>0.36</v>
      </c>
      <c r="R32" s="4">
        <f>G32*(L32/100)*(O32/100)</f>
        <v/>
      </c>
      <c r="S32" s="4">
        <f>G32*(K32/360/100)*J32*(O32/100)</f>
        <v/>
      </c>
      <c r="T32" s="4">
        <f>P32-R32+Q32-S32</f>
        <v/>
      </c>
    </row>
    <row r="33">
      <c r="A33" s="2" t="inlineStr">
        <is>
          <t>Oro</t>
        </is>
      </c>
      <c r="B33" s="2" t="inlineStr">
        <is>
          <t>Amarillo</t>
        </is>
      </c>
      <c r="C33" s="3" t="n">
        <v>46027</v>
      </c>
      <c r="D33" s="2" t="inlineStr">
        <is>
          <t>B91196412</t>
        </is>
      </c>
      <c r="E33" s="2" t="inlineStr">
        <is>
          <t>Azulejos Li…</t>
        </is>
      </c>
      <c r="F33" s="2" t="n">
        <v>1331193</v>
      </c>
      <c r="G33" s="4" t="n">
        <v>729.38</v>
      </c>
      <c r="H33" s="3" t="n">
        <v>45995</v>
      </c>
      <c r="I33" s="3" t="n">
        <v>46081</v>
      </c>
      <c r="J33" s="2" t="n">
        <v>34</v>
      </c>
      <c r="K33" s="2" t="n">
        <v>12.62</v>
      </c>
      <c r="L33" s="2" t="n">
        <v>2.03</v>
      </c>
      <c r="M33" s="4" t="n">
        <v>14.81</v>
      </c>
      <c r="N33" s="4" t="n">
        <v>8.69</v>
      </c>
      <c r="O33" s="2" t="n">
        <v>50</v>
      </c>
      <c r="P33" s="4" t="n">
        <v>7.38</v>
      </c>
      <c r="Q33" s="4" t="n">
        <v>4.19</v>
      </c>
      <c r="R33" s="4">
        <f>G33*(L33/100)*(O33/100)</f>
        <v/>
      </c>
      <c r="S33" s="4">
        <f>G33*(K33/360/100)*J33*(O33/100)</f>
        <v/>
      </c>
      <c r="T33" s="4">
        <f>P33-R33+Q33-S33</f>
        <v/>
      </c>
    </row>
    <row r="34">
      <c r="A34" s="2" t="inlineStr">
        <is>
          <t>Oro</t>
        </is>
      </c>
      <c r="B34" s="2" t="inlineStr">
        <is>
          <t>Amarillo</t>
        </is>
      </c>
      <c r="C34" s="3" t="n">
        <v>46027</v>
      </c>
      <c r="D34" s="2" t="inlineStr">
        <is>
          <t>A90636169</t>
        </is>
      </c>
      <c r="E34" s="2" t="inlineStr">
        <is>
          <t>Actuadores…</t>
        </is>
      </c>
      <c r="F34" s="2" t="n">
        <v>3602457</v>
      </c>
      <c r="G34" s="4" t="n">
        <v>119.2</v>
      </c>
      <c r="H34" s="3" t="n">
        <v>45998</v>
      </c>
      <c r="I34" s="3" t="n">
        <v>46193</v>
      </c>
      <c r="J34" s="2" t="n">
        <v>27</v>
      </c>
      <c r="K34" s="2" t="n">
        <v>19.07</v>
      </c>
      <c r="L34" s="2" t="n">
        <v>0.88</v>
      </c>
      <c r="M34" s="4" t="n">
        <v>1.05</v>
      </c>
      <c r="N34" s="4" t="n">
        <v>1.7</v>
      </c>
      <c r="O34" s="2" t="n">
        <v>40</v>
      </c>
      <c r="P34" s="4" t="n">
        <v>0.44</v>
      </c>
      <c r="Q34" s="4" t="n">
        <v>0.43</v>
      </c>
      <c r="R34" s="4">
        <f>G34*(L34/100)*(O34/100)</f>
        <v/>
      </c>
      <c r="S34" s="4">
        <f>G34*(K34/360/100)*J34*(O34/100)</f>
        <v/>
      </c>
      <c r="T34" s="4">
        <f>P34-R34+Q34-S34</f>
        <v/>
      </c>
    </row>
    <row r="35">
      <c r="A35" s="2" t="inlineStr">
        <is>
          <t>Oro</t>
        </is>
      </c>
      <c r="B35" s="2" t="inlineStr">
        <is>
          <t>Amarillo</t>
        </is>
      </c>
      <c r="C35" s="3" t="n">
        <v>46027</v>
      </c>
      <c r="D35" s="2" t="inlineStr">
        <is>
          <t>A03634312</t>
        </is>
      </c>
      <c r="E35" s="2" t="inlineStr">
        <is>
          <t>Pavimentos…</t>
        </is>
      </c>
      <c r="F35" s="2" t="n">
        <v>3608307</v>
      </c>
      <c r="G35" s="4" t="n">
        <v>374.09</v>
      </c>
      <c r="H35" s="3" t="n">
        <v>46004</v>
      </c>
      <c r="I35" s="3" t="n">
        <v>46139</v>
      </c>
      <c r="J35" s="2" t="n">
        <v>16</v>
      </c>
      <c r="K35" s="2" t="n">
        <v>26.94</v>
      </c>
      <c r="L35" s="2" t="n">
        <v>0.88</v>
      </c>
      <c r="M35" s="4" t="n">
        <v>3.29</v>
      </c>
      <c r="N35" s="4" t="n">
        <v>4.48</v>
      </c>
      <c r="O35" s="2" t="n">
        <v>60</v>
      </c>
      <c r="P35" s="4" t="n">
        <v>2.12</v>
      </c>
      <c r="Q35" s="4" t="n">
        <v>2.44</v>
      </c>
      <c r="R35" s="4">
        <f>G35*(L35/100)*(O35/100)</f>
        <v/>
      </c>
      <c r="S35" s="4">
        <f>G35*(K35/360/100)*J35*(O35/100)</f>
        <v/>
      </c>
      <c r="T35" s="4">
        <f>P35-R35+Q35-S35</f>
        <v/>
      </c>
    </row>
    <row r="36">
      <c r="A36" s="2" t="inlineStr">
        <is>
          <t>Oro</t>
        </is>
      </c>
      <c r="B36" s="2" t="inlineStr">
        <is>
          <t>Amarillo</t>
        </is>
      </c>
      <c r="C36" s="3" t="n">
        <v>46027</v>
      </c>
      <c r="D36" s="2" t="inlineStr">
        <is>
          <t>A39076864</t>
        </is>
      </c>
      <c r="E36" s="2" t="inlineStr">
        <is>
          <t>Contrachap…</t>
        </is>
      </c>
      <c r="F36" s="2" t="n">
        <v>3446391</v>
      </c>
      <c r="G36" s="4" t="n">
        <v>146.21</v>
      </c>
      <c r="H36" s="3" t="n">
        <v>46006</v>
      </c>
      <c r="I36" s="3" t="n">
        <v>46055</v>
      </c>
      <c r="J36" s="2" t="n">
        <v>78</v>
      </c>
      <c r="K36" s="2" t="n">
        <v>12.08</v>
      </c>
      <c r="L36" s="2" t="n">
        <v>1.73</v>
      </c>
      <c r="M36" s="4" t="n">
        <v>2.53</v>
      </c>
      <c r="N36" s="4" t="n">
        <v>3.83</v>
      </c>
      <c r="O36" s="2" t="n">
        <v>40</v>
      </c>
      <c r="P36" s="4" t="n">
        <v>1.09</v>
      </c>
      <c r="Q36" s="4" t="n">
        <v>1.3</v>
      </c>
      <c r="R36" s="4">
        <f>G36*(L36/100)*(O36/100)</f>
        <v/>
      </c>
      <c r="S36" s="4">
        <f>G36*(K36/360/100)*J36*(O36/100)</f>
        <v/>
      </c>
      <c r="T36" s="4">
        <f>P36-R36+Q36-S36</f>
        <v/>
      </c>
    </row>
    <row r="37">
      <c r="A37" s="2" t="inlineStr">
        <is>
          <t>Oro</t>
        </is>
      </c>
      <c r="B37" s="2" t="inlineStr">
        <is>
          <t>Amarillo</t>
        </is>
      </c>
      <c r="C37" s="3" t="n">
        <v>46027</v>
      </c>
      <c r="D37" s="2" t="inlineStr">
        <is>
          <t>B98336942</t>
        </is>
      </c>
      <c r="E37" s="2" t="inlineStr">
        <is>
          <t>Azúcares G…</t>
        </is>
      </c>
      <c r="F37" s="2" t="n">
        <v>2224512</v>
      </c>
      <c r="G37" s="4" t="n">
        <v>226.41</v>
      </c>
      <c r="H37" s="3" t="n">
        <v>46015</v>
      </c>
      <c r="I37" s="3" t="n">
        <v>46186</v>
      </c>
      <c r="J37" s="2" t="n">
        <v>39</v>
      </c>
      <c r="K37" s="2" t="n">
        <v>45.78</v>
      </c>
      <c r="L37" s="2" t="n">
        <v>2.29</v>
      </c>
      <c r="M37" s="4" t="n">
        <v>5.18</v>
      </c>
      <c r="N37" s="4" t="n">
        <v>11.23</v>
      </c>
      <c r="O37" s="2" t="n">
        <v>60</v>
      </c>
      <c r="P37" s="4" t="n">
        <v>3.35</v>
      </c>
      <c r="Q37" s="4" t="n">
        <v>6.68</v>
      </c>
      <c r="R37" s="4">
        <f>G37*(L37/100)*(O37/100)</f>
        <v/>
      </c>
      <c r="S37" s="4">
        <f>G37*(K37/360/100)*J37*(O37/100)</f>
        <v/>
      </c>
      <c r="T37" s="4">
        <f>P37-R37+Q37-S37</f>
        <v/>
      </c>
    </row>
    <row r="38">
      <c r="A38" s="2" t="inlineStr">
        <is>
          <t>Oro</t>
        </is>
      </c>
      <c r="B38" s="2" t="inlineStr">
        <is>
          <t>Amarillo</t>
        </is>
      </c>
      <c r="C38" s="3" t="n">
        <v>46027</v>
      </c>
      <c r="D38" s="2" t="inlineStr">
        <is>
          <t>A91129710</t>
        </is>
      </c>
      <c r="E38" s="2" t="inlineStr">
        <is>
          <t>Electrodos…</t>
        </is>
      </c>
      <c r="F38" s="2" t="n">
        <v>1031842</v>
      </c>
      <c r="G38" s="4" t="n">
        <v>9942.200000000001</v>
      </c>
      <c r="H38" s="3" t="n">
        <v>45996</v>
      </c>
      <c r="I38" s="3" t="n">
        <v>46073</v>
      </c>
      <c r="J38" s="2" t="n">
        <v>81</v>
      </c>
      <c r="K38" s="2" t="n">
        <v>33.13</v>
      </c>
      <c r="L38" s="2" t="n">
        <v>0.65</v>
      </c>
      <c r="M38" s="4" t="n">
        <v>64.62</v>
      </c>
      <c r="N38" s="4" t="n">
        <v>741.12</v>
      </c>
      <c r="O38" s="2" t="n">
        <v>50</v>
      </c>
      <c r="P38" s="4" t="n">
        <v>32.01</v>
      </c>
      <c r="Q38" s="4" t="n">
        <v>370.62</v>
      </c>
      <c r="R38" s="4">
        <f>G38*(L38/100)*(O38/100)</f>
        <v/>
      </c>
      <c r="S38" s="4">
        <f>G38*(K38/360/100)*J38*(O38/100)</f>
        <v/>
      </c>
      <c r="T38" s="4">
        <f>P38-R38+Q38-S38</f>
        <v/>
      </c>
    </row>
    <row r="39">
      <c r="A39" s="2" t="inlineStr">
        <is>
          <t>Oro</t>
        </is>
      </c>
      <c r="B39" s="2" t="inlineStr">
        <is>
          <t>Amarillo</t>
        </is>
      </c>
      <c r="C39" s="3" t="n">
        <v>46027</v>
      </c>
      <c r="D39" s="2" t="inlineStr">
        <is>
          <t>A12267650</t>
        </is>
      </c>
      <c r="E39" s="2" t="inlineStr">
        <is>
          <t>Rectificado…</t>
        </is>
      </c>
      <c r="F39" s="2" t="n">
        <v>1040842</v>
      </c>
      <c r="G39" s="4" t="n">
        <v>328.43</v>
      </c>
      <c r="H39" s="3" t="n">
        <v>45993</v>
      </c>
      <c r="I39" s="3" t="n">
        <v>46085</v>
      </c>
      <c r="J39" s="2" t="n">
        <v>55</v>
      </c>
      <c r="K39" s="2" t="n">
        <v>12.32</v>
      </c>
      <c r="L39" s="2" t="n">
        <v>2.4</v>
      </c>
      <c r="M39" s="4" t="n">
        <v>7.88</v>
      </c>
      <c r="N39" s="4" t="n">
        <v>6.18</v>
      </c>
      <c r="O39" s="2" t="n">
        <v>60</v>
      </c>
      <c r="P39" s="4" t="n">
        <v>4.45</v>
      </c>
      <c r="Q39" s="4" t="n">
        <v>3.5</v>
      </c>
      <c r="R39" s="4">
        <f>G39*(L39/100)*(O39/100)</f>
        <v/>
      </c>
      <c r="S39" s="4">
        <f>G39*(K39/360/100)*J39*(O39/100)</f>
        <v/>
      </c>
      <c r="T39" s="4">
        <f>P39-R39+Q39-S39</f>
        <v/>
      </c>
    </row>
    <row r="40">
      <c r="A40" s="2" t="inlineStr">
        <is>
          <t>Oro</t>
        </is>
      </c>
      <c r="B40" s="2" t="inlineStr">
        <is>
          <t>Amarillo</t>
        </is>
      </c>
      <c r="C40" s="3" t="n">
        <v>46027</v>
      </c>
      <c r="D40" s="2" t="inlineStr">
        <is>
          <t>B66083614</t>
        </is>
      </c>
      <c r="E40" s="2" t="inlineStr">
        <is>
          <t>Silicatos Im…</t>
        </is>
      </c>
      <c r="F40" s="2" t="n">
        <v>4097731</v>
      </c>
      <c r="G40" s="4" t="n">
        <v>463.18</v>
      </c>
      <c r="H40" s="3" t="n">
        <v>45999</v>
      </c>
      <c r="I40" s="3" t="n">
        <v>46067</v>
      </c>
      <c r="J40" s="2" t="n">
        <v>31</v>
      </c>
      <c r="K40" s="2" t="n">
        <v>23.87</v>
      </c>
      <c r="L40" s="2" t="n">
        <v>2.37</v>
      </c>
      <c r="M40" s="4" t="n">
        <v>10.98</v>
      </c>
      <c r="N40" s="4" t="n">
        <v>9.52</v>
      </c>
      <c r="O40" s="2" t="n">
        <v>50</v>
      </c>
      <c r="P40" s="4" t="n">
        <v>5.51</v>
      </c>
      <c r="Q40" s="4" t="n">
        <v>4.94</v>
      </c>
      <c r="R40" s="4">
        <f>G40*(L40/100)*(O40/100)</f>
        <v/>
      </c>
      <c r="S40" s="4">
        <f>G40*(K40/360/100)*J40*(O40/100)</f>
        <v/>
      </c>
      <c r="T40" s="4">
        <f>P40-R40+Q40-S40</f>
        <v/>
      </c>
    </row>
    <row r="41">
      <c r="A41" s="2" t="inlineStr">
        <is>
          <t>Oro</t>
        </is>
      </c>
      <c r="B41" s="2" t="inlineStr">
        <is>
          <t>Amarillo</t>
        </is>
      </c>
      <c r="C41" s="3" t="n">
        <v>46027</v>
      </c>
      <c r="D41" s="2" t="inlineStr">
        <is>
          <t>B98336942</t>
        </is>
      </c>
      <c r="E41" s="2" t="inlineStr">
        <is>
          <t>Azúcares G…</t>
        </is>
      </c>
      <c r="F41" s="2" t="n">
        <v>1816049</v>
      </c>
      <c r="G41" s="4" t="n">
        <v>209.95</v>
      </c>
      <c r="H41" s="3" t="n">
        <v>46013</v>
      </c>
      <c r="I41" s="3" t="n">
        <v>46140</v>
      </c>
      <c r="J41" s="2" t="n">
        <v>10</v>
      </c>
      <c r="K41" s="2" t="n">
        <v>41.24</v>
      </c>
      <c r="L41" s="2" t="n">
        <v>1.56</v>
      </c>
      <c r="M41" s="4" t="n">
        <v>3.28</v>
      </c>
      <c r="N41" s="4" t="n">
        <v>2.41</v>
      </c>
      <c r="O41" s="2" t="n">
        <v>30</v>
      </c>
      <c r="P41" s="4" t="n">
        <v>0.93</v>
      </c>
      <c r="Q41" s="4" t="n">
        <v>0.67</v>
      </c>
      <c r="R41" s="4">
        <f>G41*(L41/100)*(O41/100)</f>
        <v/>
      </c>
      <c r="S41" s="4">
        <f>G41*(K41/360/100)*J41*(O41/100)</f>
        <v/>
      </c>
      <c r="T41" s="4">
        <f>P41-R41+Q41-S41</f>
        <v/>
      </c>
    </row>
    <row r="42">
      <c r="A42" s="2" t="inlineStr">
        <is>
          <t>Oro</t>
        </is>
      </c>
      <c r="B42" s="2" t="inlineStr">
        <is>
          <t>Amarillo</t>
        </is>
      </c>
      <c r="C42" s="3" t="n">
        <v>46027</v>
      </c>
      <c r="D42" s="2" t="inlineStr">
        <is>
          <t>A90754893</t>
        </is>
      </c>
      <c r="E42" s="2" t="inlineStr">
        <is>
          <t>Cables Es…</t>
        </is>
      </c>
      <c r="F42" s="2" t="n">
        <v>4479931</v>
      </c>
      <c r="G42" s="4" t="n">
        <v>6883.07</v>
      </c>
      <c r="H42" s="3" t="n">
        <v>45996</v>
      </c>
      <c r="I42" s="3" t="n">
        <v>46170</v>
      </c>
      <c r="J42" s="2" t="n">
        <v>47</v>
      </c>
      <c r="K42" s="2" t="n">
        <v>24.26</v>
      </c>
      <c r="L42" s="2" t="n">
        <v>2.23</v>
      </c>
      <c r="M42" s="4" t="n">
        <v>153.49</v>
      </c>
      <c r="N42" s="4" t="n">
        <v>218.01</v>
      </c>
      <c r="O42" s="2" t="n">
        <v>50</v>
      </c>
      <c r="P42" s="4" t="n">
        <v>76.7</v>
      </c>
      <c r="Q42" s="4" t="n">
        <v>108.83</v>
      </c>
      <c r="R42" s="4">
        <f>G42*(L42/100)*(O42/100)</f>
        <v/>
      </c>
      <c r="S42" s="4">
        <f>G42*(K42/360/100)*J42*(O42/100)</f>
        <v/>
      </c>
      <c r="T42" s="4">
        <f>P42-R42+Q42-S42</f>
        <v/>
      </c>
    </row>
    <row r="43">
      <c r="A43" s="2" t="inlineStr">
        <is>
          <t>Oro</t>
        </is>
      </c>
      <c r="B43" s="2" t="inlineStr">
        <is>
          <t>Amarillo</t>
        </is>
      </c>
      <c r="C43" s="3" t="n">
        <v>46027</v>
      </c>
      <c r="D43" s="2" t="inlineStr">
        <is>
          <t>A03470483</t>
        </is>
      </c>
      <c r="E43" s="2" t="inlineStr">
        <is>
          <t>Lacas Auto…</t>
        </is>
      </c>
      <c r="F43" s="2" t="n">
        <v>1948463</v>
      </c>
      <c r="G43" s="4" t="n">
        <v>990.41</v>
      </c>
      <c r="H43" s="3" t="n">
        <v>46017</v>
      </c>
      <c r="I43" s="3" t="n">
        <v>46076</v>
      </c>
      <c r="J43" s="2" t="n">
        <v>74</v>
      </c>
      <c r="K43" s="2" t="n">
        <v>25.73</v>
      </c>
      <c r="L43" s="2" t="n">
        <v>2.94</v>
      </c>
      <c r="M43" s="4" t="n">
        <v>29.12</v>
      </c>
      <c r="N43" s="4" t="n">
        <v>52.38</v>
      </c>
      <c r="O43" s="2" t="n">
        <v>30</v>
      </c>
      <c r="P43" s="4" t="n">
        <v>8.789999999999999</v>
      </c>
      <c r="Q43" s="4" t="n">
        <v>15.67</v>
      </c>
      <c r="R43" s="4">
        <f>G43*(L43/100)*(O43/100)</f>
        <v/>
      </c>
      <c r="S43" s="4">
        <f>G43*(K43/360/100)*J43*(O43/100)</f>
        <v/>
      </c>
      <c r="T43" s="4">
        <f>P43-R43+Q43-S43</f>
        <v/>
      </c>
    </row>
    <row r="44">
      <c r="A44" s="2" t="inlineStr">
        <is>
          <t>Oro</t>
        </is>
      </c>
      <c r="B44" s="2" t="inlineStr">
        <is>
          <t>Amarillo</t>
        </is>
      </c>
      <c r="C44" s="3" t="n">
        <v>46027</v>
      </c>
      <c r="D44" s="2" t="inlineStr">
        <is>
          <t>A90940290</t>
        </is>
      </c>
      <c r="E44" s="2" t="inlineStr">
        <is>
          <t>Ferrosos A…</t>
        </is>
      </c>
      <c r="F44" s="2" t="n">
        <v>4145277</v>
      </c>
      <c r="G44" s="4" t="n">
        <v>821.04</v>
      </c>
      <c r="H44" s="3" t="n">
        <v>46010</v>
      </c>
      <c r="I44" s="3" t="n">
        <v>46107</v>
      </c>
      <c r="J44" s="2" t="n">
        <v>58</v>
      </c>
      <c r="K44" s="2" t="n">
        <v>39.81</v>
      </c>
      <c r="L44" s="2" t="n">
        <v>2.96</v>
      </c>
      <c r="M44" s="4" t="n">
        <v>24.3</v>
      </c>
      <c r="N44" s="4" t="n">
        <v>52.66</v>
      </c>
      <c r="O44" s="2" t="n">
        <v>70</v>
      </c>
      <c r="P44" s="4" t="n">
        <v>16.91</v>
      </c>
      <c r="Q44" s="4" t="n">
        <v>36.59</v>
      </c>
      <c r="R44" s="4">
        <f>G44*(L44/100)*(O44/100)</f>
        <v/>
      </c>
      <c r="S44" s="4">
        <f>G44*(K44/360/100)*J44*(O44/100)</f>
        <v/>
      </c>
      <c r="T44" s="4">
        <f>P44-R44+Q44-S44</f>
        <v/>
      </c>
    </row>
    <row r="45">
      <c r="A45" s="2" t="inlineStr">
        <is>
          <t>Oro</t>
        </is>
      </c>
      <c r="B45" s="2" t="inlineStr">
        <is>
          <t>Amarillo</t>
        </is>
      </c>
      <c r="C45" s="3" t="n">
        <v>46027</v>
      </c>
      <c r="D45" s="2" t="inlineStr">
        <is>
          <t>B09636380</t>
        </is>
      </c>
      <c r="E45" s="2" t="inlineStr">
        <is>
          <t>Aerogenera…</t>
        </is>
      </c>
      <c r="F45" s="2" t="n">
        <v>3308054</v>
      </c>
      <c r="G45" s="4" t="n">
        <v>196.77</v>
      </c>
      <c r="H45" s="3" t="n">
        <v>45997</v>
      </c>
      <c r="I45" s="3" t="n">
        <v>46033</v>
      </c>
      <c r="J45" s="2" t="n">
        <v>12</v>
      </c>
      <c r="K45" s="2" t="n">
        <v>10.16</v>
      </c>
      <c r="L45" s="2" t="n">
        <v>1.74</v>
      </c>
      <c r="M45" s="4" t="n">
        <v>3.42</v>
      </c>
      <c r="N45" s="4" t="n">
        <v>0.67</v>
      </c>
      <c r="O45" s="2" t="n">
        <v>70</v>
      </c>
      <c r="P45" s="4" t="n">
        <v>2.59</v>
      </c>
      <c r="Q45" s="4" t="n">
        <v>0.52</v>
      </c>
      <c r="R45" s="4">
        <f>G45*(L45/100)*(O45/100)</f>
        <v/>
      </c>
      <c r="S45" s="4">
        <f>G45*(K45/360/100)*J45*(O45/100)</f>
        <v/>
      </c>
      <c r="T45" s="4">
        <f>P45-R45+Q45-S45</f>
        <v/>
      </c>
    </row>
    <row r="46">
      <c r="A46" s="2" t="inlineStr">
        <is>
          <t>Oro</t>
        </is>
      </c>
      <c r="B46" s="2" t="inlineStr">
        <is>
          <t>Amarillo</t>
        </is>
      </c>
      <c r="C46" s="3" t="n">
        <v>46027</v>
      </c>
      <c r="D46" s="2" t="inlineStr">
        <is>
          <t>B92659959</t>
        </is>
      </c>
      <c r="E46" s="2" t="inlineStr">
        <is>
          <t>Azúcares N…</t>
        </is>
      </c>
      <c r="F46" s="2" t="n">
        <v>3332512</v>
      </c>
      <c r="G46" s="4" t="n">
        <v>614.24</v>
      </c>
      <c r="H46" s="3" t="n">
        <v>46014</v>
      </c>
      <c r="I46" s="3" t="n">
        <v>46061</v>
      </c>
      <c r="J46" s="2" t="n">
        <v>61</v>
      </c>
      <c r="K46" s="2" t="n">
        <v>31.77</v>
      </c>
      <c r="L46" s="2" t="n">
        <v>1.23</v>
      </c>
      <c r="M46" s="4" t="n">
        <v>7.56</v>
      </c>
      <c r="N46" s="4" t="n">
        <v>33.07</v>
      </c>
      <c r="O46" s="2" t="n">
        <v>40</v>
      </c>
      <c r="P46" s="4" t="n">
        <v>3.18</v>
      </c>
      <c r="Q46" s="4" t="n">
        <v>12.93</v>
      </c>
      <c r="R46" s="4">
        <f>G46*(L46/100)*(O46/100)</f>
        <v/>
      </c>
      <c r="S46" s="4">
        <f>G46*(K46/360/100)*J46*(O46/100)</f>
        <v/>
      </c>
      <c r="T46" s="4">
        <f>P46-R46+Q46-S46</f>
        <v/>
      </c>
    </row>
    <row r="47">
      <c r="A47" s="2" t="inlineStr">
        <is>
          <t>Oro</t>
        </is>
      </c>
      <c r="B47" s="2" t="inlineStr">
        <is>
          <t>Amarillo</t>
        </is>
      </c>
      <c r="C47" s="3" t="n">
        <v>46027</v>
      </c>
      <c r="D47" s="2" t="inlineStr">
        <is>
          <t>A71708856</t>
        </is>
      </c>
      <c r="E47" s="2" t="inlineStr">
        <is>
          <t>Fondeos C…</t>
        </is>
      </c>
      <c r="F47" s="2" t="n">
        <v>4074232</v>
      </c>
      <c r="G47" s="4" t="n">
        <v>420.45</v>
      </c>
      <c r="H47" s="3" t="n">
        <v>46013</v>
      </c>
      <c r="I47" s="3" t="n">
        <v>46148</v>
      </c>
      <c r="J47" s="2" t="n">
        <v>88</v>
      </c>
      <c r="K47" s="2" t="n">
        <v>33.85</v>
      </c>
      <c r="L47" s="2" t="n">
        <v>1.2</v>
      </c>
      <c r="M47" s="4" t="n">
        <v>5.05</v>
      </c>
      <c r="N47" s="4" t="n">
        <v>34.79</v>
      </c>
      <c r="O47" s="2" t="n">
        <v>40</v>
      </c>
      <c r="P47" s="4" t="n">
        <v>2.11</v>
      </c>
      <c r="Q47" s="4" t="n">
        <v>14.17</v>
      </c>
      <c r="R47" s="4">
        <f>G47*(L47/100)*(O47/100)</f>
        <v/>
      </c>
      <c r="S47" s="4">
        <f>G47*(K47/360/100)*J47*(O47/100)</f>
        <v/>
      </c>
      <c r="T47" s="4">
        <f>P47-R47+Q47-S47</f>
        <v/>
      </c>
    </row>
    <row r="48">
      <c r="A48" s="2" t="inlineStr">
        <is>
          <t>Oro</t>
        </is>
      </c>
      <c r="B48" s="2" t="inlineStr">
        <is>
          <t>Amarillo</t>
        </is>
      </c>
      <c r="C48" s="3" t="n">
        <v>46027</v>
      </c>
      <c r="D48" s="2" t="inlineStr">
        <is>
          <t>B99167751</t>
        </is>
      </c>
      <c r="E48" s="2" t="inlineStr">
        <is>
          <t>Procesos E…</t>
        </is>
      </c>
      <c r="F48" s="2" t="n">
        <v>4453097</v>
      </c>
      <c r="G48" s="4" t="n">
        <v>220.2</v>
      </c>
      <c r="H48" s="3" t="n">
        <v>45996</v>
      </c>
      <c r="I48" s="3" t="n">
        <v>46195</v>
      </c>
      <c r="J48" s="2" t="n">
        <v>18</v>
      </c>
      <c r="K48" s="2" t="n">
        <v>32.95</v>
      </c>
      <c r="L48" s="2" t="n">
        <v>2.27</v>
      </c>
      <c r="M48" s="4" t="n">
        <v>5</v>
      </c>
      <c r="N48" s="4" t="n">
        <v>3.63</v>
      </c>
      <c r="O48" s="2" t="n">
        <v>20</v>
      </c>
      <c r="P48" s="4" t="n">
        <v>1.23</v>
      </c>
      <c r="Q48" s="4" t="n">
        <v>0.82</v>
      </c>
      <c r="R48" s="4">
        <f>G48*(L48/100)*(O48/100)</f>
        <v/>
      </c>
      <c r="S48" s="4">
        <f>G48*(K48/360/100)*J48*(O48/100)</f>
        <v/>
      </c>
      <c r="T48" s="4">
        <f>P48-R48+Q48-S48</f>
        <v/>
      </c>
    </row>
    <row r="49">
      <c r="A49" s="2" t="inlineStr">
        <is>
          <t>Oro</t>
        </is>
      </c>
      <c r="B49" s="2" t="inlineStr">
        <is>
          <t>Amarillo</t>
        </is>
      </c>
      <c r="C49" s="3" t="n">
        <v>46027</v>
      </c>
      <c r="D49" s="2" t="inlineStr">
        <is>
          <t>A23266897</t>
        </is>
      </c>
      <c r="E49" s="2" t="inlineStr">
        <is>
          <t>Fletes Ener…</t>
        </is>
      </c>
      <c r="F49" s="2" t="n">
        <v>3927749</v>
      </c>
      <c r="G49" s="4" t="n">
        <v>801.92</v>
      </c>
      <c r="H49" s="3" t="n">
        <v>46018</v>
      </c>
      <c r="I49" s="3" t="n">
        <v>46071</v>
      </c>
      <c r="J49" s="2" t="n">
        <v>89</v>
      </c>
      <c r="K49" s="2" t="n">
        <v>44.84</v>
      </c>
      <c r="L49" s="2" t="n">
        <v>2.87</v>
      </c>
      <c r="M49" s="4" t="n">
        <v>23.02</v>
      </c>
      <c r="N49" s="4" t="n">
        <v>88.90000000000001</v>
      </c>
      <c r="O49" s="2" t="n">
        <v>70</v>
      </c>
      <c r="P49" s="4" t="n">
        <v>16.17</v>
      </c>
      <c r="Q49" s="4" t="n">
        <v>62.51</v>
      </c>
      <c r="R49" s="4">
        <f>G49*(L49/100)*(O49/100)</f>
        <v/>
      </c>
      <c r="S49" s="4">
        <f>G49*(K49/360/100)*J49*(O49/100)</f>
        <v/>
      </c>
      <c r="T49" s="4">
        <f>P49-R49+Q49-S49</f>
        <v/>
      </c>
    </row>
    <row r="50">
      <c r="A50" s="2" t="inlineStr">
        <is>
          <t>Oro</t>
        </is>
      </c>
      <c r="B50" s="2" t="inlineStr">
        <is>
          <t>Amarillo</t>
        </is>
      </c>
      <c r="C50" s="3" t="n">
        <v>46027</v>
      </c>
      <c r="D50" s="2" t="inlineStr">
        <is>
          <t>B92502906</t>
        </is>
      </c>
      <c r="E50" s="2" t="inlineStr">
        <is>
          <t>Inversores…</t>
        </is>
      </c>
      <c r="F50" s="2" t="n">
        <v>3198170</v>
      </c>
      <c r="G50" s="4" t="n">
        <v>429.73</v>
      </c>
      <c r="H50" s="3" t="n">
        <v>45999</v>
      </c>
      <c r="I50" s="3" t="n">
        <v>46198</v>
      </c>
      <c r="J50" s="2" t="n">
        <v>63</v>
      </c>
      <c r="K50" s="2" t="n">
        <v>46.38</v>
      </c>
      <c r="L50" s="2" t="n">
        <v>0.68</v>
      </c>
      <c r="M50" s="4" t="n">
        <v>2.92</v>
      </c>
      <c r="N50" s="4" t="n">
        <v>34.88</v>
      </c>
      <c r="O50" s="2" t="n">
        <v>60</v>
      </c>
      <c r="P50" s="4" t="n">
        <v>1.99</v>
      </c>
      <c r="Q50" s="4" t="n">
        <v>20.63</v>
      </c>
      <c r="R50" s="4">
        <f>G50*(L50/100)*(O50/100)</f>
        <v/>
      </c>
      <c r="S50" s="4">
        <f>G50*(K50/360/100)*J50*(O50/100)</f>
        <v/>
      </c>
      <c r="T50" s="4">
        <f>P50-R50+Q50-S50</f>
        <v/>
      </c>
    </row>
    <row r="51">
      <c r="A51" s="2" t="inlineStr">
        <is>
          <t>Oro</t>
        </is>
      </c>
      <c r="B51" s="2" t="inlineStr">
        <is>
          <t>Amarillo</t>
        </is>
      </c>
      <c r="C51" s="3" t="n">
        <v>46027</v>
      </c>
      <c r="D51" s="2" t="inlineStr">
        <is>
          <t>A20181491</t>
        </is>
      </c>
      <c r="E51" s="2" t="inlineStr">
        <is>
          <t>Fitosanitari…</t>
        </is>
      </c>
      <c r="F51" s="2" t="n">
        <v>2331622</v>
      </c>
      <c r="G51" s="4" t="n">
        <v>332.44</v>
      </c>
      <c r="H51" s="3" t="n">
        <v>46011</v>
      </c>
      <c r="I51" s="3" t="n">
        <v>46089</v>
      </c>
      <c r="J51" s="2" t="n">
        <v>73</v>
      </c>
      <c r="K51" s="2" t="n">
        <v>39.57</v>
      </c>
      <c r="L51" s="2" t="n">
        <v>2.64</v>
      </c>
      <c r="M51" s="4" t="n">
        <v>8.779999999999999</v>
      </c>
      <c r="N51" s="4" t="n">
        <v>26.67</v>
      </c>
      <c r="O51" s="2" t="n">
        <v>70</v>
      </c>
      <c r="P51" s="4" t="n">
        <v>6.32</v>
      </c>
      <c r="Q51" s="4" t="n">
        <v>18.73</v>
      </c>
      <c r="R51" s="4">
        <f>G51*(L51/100)*(O51/100)</f>
        <v/>
      </c>
      <c r="S51" s="4">
        <f>G51*(K51/360/100)*J51*(O51/100)</f>
        <v/>
      </c>
      <c r="T51" s="4">
        <f>P51-R51+Q51-S51</f>
        <v/>
      </c>
    </row>
    <row r="52">
      <c r="A52" s="2" t="inlineStr">
        <is>
          <t>Oro</t>
        </is>
      </c>
      <c r="B52" s="2" t="inlineStr">
        <is>
          <t>Amarillo</t>
        </is>
      </c>
      <c r="C52" s="3" t="n">
        <v>46027</v>
      </c>
      <c r="D52" s="2" t="inlineStr">
        <is>
          <t>A26986823</t>
        </is>
      </c>
      <c r="E52" s="2" t="inlineStr">
        <is>
          <t>Sedas Giga…</t>
        </is>
      </c>
      <c r="F52" s="2" t="n">
        <v>2848298</v>
      </c>
      <c r="G52" s="4" t="n">
        <v>6774.85</v>
      </c>
      <c r="H52" s="3" t="n">
        <v>46019</v>
      </c>
      <c r="I52" s="3" t="n">
        <v>46069</v>
      </c>
      <c r="J52" s="2" t="n">
        <v>19</v>
      </c>
      <c r="K52" s="2" t="n">
        <v>22.73</v>
      </c>
      <c r="L52" s="2" t="n">
        <v>0.65</v>
      </c>
      <c r="M52" s="4" t="n">
        <v>44.04</v>
      </c>
      <c r="N52" s="4" t="n">
        <v>81.27</v>
      </c>
      <c r="O52" s="2" t="n">
        <v>70</v>
      </c>
      <c r="P52" s="4" t="n">
        <v>30.65</v>
      </c>
      <c r="Q52" s="4" t="n">
        <v>56.84</v>
      </c>
      <c r="R52" s="4">
        <f>G52*(L52/100)*(O52/100)</f>
        <v/>
      </c>
      <c r="S52" s="4">
        <f>G52*(K52/360/100)*J52*(O52/100)</f>
        <v/>
      </c>
      <c r="T52" s="4">
        <f>P52-R52+Q52-S52</f>
        <v/>
      </c>
    </row>
    <row r="53">
      <c r="A53" s="2" t="inlineStr">
        <is>
          <t>Oro</t>
        </is>
      </c>
      <c r="B53" s="2" t="inlineStr">
        <is>
          <t>Amarillo</t>
        </is>
      </c>
      <c r="C53" s="3" t="n">
        <v>46027</v>
      </c>
      <c r="D53" s="2" t="inlineStr">
        <is>
          <t>B05467051</t>
        </is>
      </c>
      <c r="E53" s="2" t="inlineStr">
        <is>
          <t>Tintes Bajo…</t>
        </is>
      </c>
      <c r="F53" s="2" t="n">
        <v>3863132</v>
      </c>
      <c r="G53" s="4" t="n">
        <v>895.52</v>
      </c>
      <c r="H53" s="3" t="n">
        <v>46010</v>
      </c>
      <c r="I53" s="3" t="n">
        <v>46165</v>
      </c>
      <c r="J53" s="2" t="n">
        <v>88</v>
      </c>
      <c r="K53" s="2" t="n">
        <v>35.48</v>
      </c>
      <c r="L53" s="2" t="n">
        <v>0.5600000000000001</v>
      </c>
      <c r="M53" s="4" t="n">
        <v>5.01</v>
      </c>
      <c r="N53" s="4" t="n">
        <v>77.67</v>
      </c>
      <c r="O53" s="2" t="n">
        <v>60</v>
      </c>
      <c r="P53" s="4" t="n">
        <v>2.96</v>
      </c>
      <c r="Q53" s="4" t="n">
        <v>46.56</v>
      </c>
      <c r="R53" s="4">
        <f>G53*(L53/100)*(O53/100)</f>
        <v/>
      </c>
      <c r="S53" s="4">
        <f>G53*(K53/360/100)*J53*(O53/100)</f>
        <v/>
      </c>
      <c r="T53" s="4">
        <f>P53-R53+Q53-S53</f>
        <v/>
      </c>
    </row>
    <row r="54">
      <c r="A54" s="2" t="inlineStr">
        <is>
          <t>Oro</t>
        </is>
      </c>
      <c r="B54" s="2" t="inlineStr">
        <is>
          <t>Amarillo</t>
        </is>
      </c>
      <c r="C54" s="3" t="n">
        <v>46027</v>
      </c>
      <c r="D54" s="2" t="inlineStr">
        <is>
          <t>A10265313</t>
        </is>
      </c>
      <c r="E54" s="2" t="inlineStr">
        <is>
          <t>Catalizador…</t>
        </is>
      </c>
      <c r="F54" s="2" t="n">
        <v>1755291</v>
      </c>
      <c r="G54" s="4" t="n">
        <v>2638.52</v>
      </c>
      <c r="H54" s="3" t="n">
        <v>46016</v>
      </c>
      <c r="I54" s="3" t="n">
        <v>46130</v>
      </c>
      <c r="J54" s="2" t="n">
        <v>89</v>
      </c>
      <c r="K54" s="2" t="n">
        <v>22.44</v>
      </c>
      <c r="L54" s="2" t="n">
        <v>0.75</v>
      </c>
      <c r="M54" s="4" t="n">
        <v>19.79</v>
      </c>
      <c r="N54" s="4" t="n">
        <v>146.38</v>
      </c>
      <c r="O54" s="2" t="n">
        <v>60</v>
      </c>
      <c r="P54" s="4" t="n">
        <v>11.89</v>
      </c>
      <c r="Q54" s="4" t="n">
        <v>88.01000000000001</v>
      </c>
      <c r="R54" s="4">
        <f>G54*(L54/100)*(O54/100)</f>
        <v/>
      </c>
      <c r="S54" s="4">
        <f>G54*(K54/360/100)*J54*(O54/100)</f>
        <v/>
      </c>
      <c r="T54" s="4">
        <f>P54-R54+Q54-S54</f>
        <v/>
      </c>
    </row>
    <row r="55">
      <c r="A55" s="2" t="inlineStr">
        <is>
          <t>Oro</t>
        </is>
      </c>
      <c r="B55" s="2" t="inlineStr">
        <is>
          <t>Amarillo</t>
        </is>
      </c>
      <c r="C55" s="3" t="n">
        <v>46027</v>
      </c>
      <c r="D55" s="2" t="inlineStr">
        <is>
          <t>A11647340</t>
        </is>
      </c>
      <c r="E55" s="2" t="inlineStr">
        <is>
          <t>Component…</t>
        </is>
      </c>
      <c r="F55" s="2" t="n">
        <v>1002883</v>
      </c>
      <c r="G55" s="4" t="n">
        <v>529.54</v>
      </c>
      <c r="H55" s="3" t="n">
        <v>46002</v>
      </c>
      <c r="I55" s="3" t="n">
        <v>46138</v>
      </c>
      <c r="J55" s="2" t="n">
        <v>88</v>
      </c>
      <c r="K55" s="2" t="n">
        <v>32.12</v>
      </c>
      <c r="L55" s="2" t="n">
        <v>2.36</v>
      </c>
      <c r="M55" s="4" t="n">
        <v>12.5</v>
      </c>
      <c r="N55" s="4" t="n">
        <v>41.58</v>
      </c>
      <c r="O55" s="2" t="n">
        <v>70</v>
      </c>
      <c r="P55" s="4" t="n">
        <v>9</v>
      </c>
      <c r="Q55" s="4" t="n">
        <v>29.07</v>
      </c>
      <c r="R55" s="4">
        <f>G55*(L55/100)*(O55/100)</f>
        <v/>
      </c>
      <c r="S55" s="4">
        <f>G55*(K55/360/100)*J55*(O55/100)</f>
        <v/>
      </c>
      <c r="T55" s="4">
        <f>P55-R55+Q55-S55</f>
        <v/>
      </c>
    </row>
    <row r="56">
      <c r="A56" s="2" t="inlineStr">
        <is>
          <t>Oro</t>
        </is>
      </c>
      <c r="B56" s="2" t="inlineStr">
        <is>
          <t>Amarillo</t>
        </is>
      </c>
      <c r="C56" s="3" t="n">
        <v>46027</v>
      </c>
      <c r="D56" s="2" t="inlineStr">
        <is>
          <t>A53673252</t>
        </is>
      </c>
      <c r="E56" s="2" t="inlineStr">
        <is>
          <t>Geles Calc…</t>
        </is>
      </c>
      <c r="F56" s="2" t="n">
        <v>1053903</v>
      </c>
      <c r="G56" s="4" t="n">
        <v>681.16</v>
      </c>
      <c r="H56" s="3" t="n">
        <v>46013</v>
      </c>
      <c r="I56" s="3" t="n">
        <v>46181</v>
      </c>
      <c r="J56" s="2" t="n">
        <v>17</v>
      </c>
      <c r="K56" s="2" t="n">
        <v>34.89</v>
      </c>
      <c r="L56" s="2" t="n">
        <v>0.57</v>
      </c>
      <c r="M56" s="4" t="n">
        <v>3.88</v>
      </c>
      <c r="N56" s="4" t="n">
        <v>11.22</v>
      </c>
      <c r="O56" s="2" t="n">
        <v>50</v>
      </c>
      <c r="P56" s="4" t="n">
        <v>2.07</v>
      </c>
      <c r="Q56" s="4" t="n">
        <v>5.32</v>
      </c>
      <c r="R56" s="4">
        <f>G56*(L56/100)*(O56/100)</f>
        <v/>
      </c>
      <c r="S56" s="4">
        <f>G56*(K56/360/100)*J56*(O56/100)</f>
        <v/>
      </c>
      <c r="T56" s="4">
        <f>P56-R56+Q56-S56</f>
        <v/>
      </c>
    </row>
    <row r="57">
      <c r="A57" s="2" t="inlineStr">
        <is>
          <t>Oro</t>
        </is>
      </c>
      <c r="B57" s="2" t="inlineStr">
        <is>
          <t>Amarillo</t>
        </is>
      </c>
      <c r="C57" s="3" t="n">
        <v>46027</v>
      </c>
      <c r="D57" s="2" t="inlineStr">
        <is>
          <t>A53391396</t>
        </is>
      </c>
      <c r="E57" s="2" t="inlineStr">
        <is>
          <t>Almidones…</t>
        </is>
      </c>
      <c r="F57" s="2" t="n">
        <v>2912872</v>
      </c>
      <c r="G57" s="4" t="n">
        <v>9451.959999999999</v>
      </c>
      <c r="H57" s="3" t="n">
        <v>46014</v>
      </c>
      <c r="I57" s="3" t="n">
        <v>46032</v>
      </c>
      <c r="J57" s="2" t="n">
        <v>21</v>
      </c>
      <c r="K57" s="2" t="n">
        <v>34.31</v>
      </c>
      <c r="L57" s="2" t="n">
        <v>3</v>
      </c>
      <c r="M57" s="4" t="n">
        <v>283.56</v>
      </c>
      <c r="N57" s="4" t="n">
        <v>189.17</v>
      </c>
      <c r="O57" s="2" t="n">
        <v>70</v>
      </c>
      <c r="P57" s="4" t="n">
        <v>198.31</v>
      </c>
      <c r="Q57" s="4" t="n">
        <v>132.2</v>
      </c>
      <c r="R57" s="4">
        <f>G57*(L57/100)*(O57/100)</f>
        <v/>
      </c>
      <c r="S57" s="4">
        <f>G57*(K57/360/100)*J57*(O57/100)</f>
        <v/>
      </c>
      <c r="T57" s="4">
        <f>P57-R57+Q57-S57</f>
        <v/>
      </c>
    </row>
    <row r="58">
      <c r="A58" s="2" t="inlineStr">
        <is>
          <t>Oro</t>
        </is>
      </c>
      <c r="B58" s="2" t="inlineStr">
        <is>
          <t>Amarillo</t>
        </is>
      </c>
      <c r="C58" s="3" t="n">
        <v>46027</v>
      </c>
      <c r="D58" s="2" t="inlineStr">
        <is>
          <t>B91460171</t>
        </is>
      </c>
      <c r="E58" s="2" t="inlineStr">
        <is>
          <t>Reactivos…</t>
        </is>
      </c>
      <c r="F58" s="2" t="n">
        <v>1313983</v>
      </c>
      <c r="G58" s="4" t="n">
        <v>922.1</v>
      </c>
      <c r="H58" s="3" t="n">
        <v>45999</v>
      </c>
      <c r="I58" s="3" t="n">
        <v>46028</v>
      </c>
      <c r="J58" s="2" t="n">
        <v>77</v>
      </c>
      <c r="K58" s="2" t="n">
        <v>32.75</v>
      </c>
      <c r="L58" s="2" t="n">
        <v>1.64</v>
      </c>
      <c r="M58" s="4" t="n">
        <v>15.12</v>
      </c>
      <c r="N58" s="4" t="n">
        <v>64.59</v>
      </c>
      <c r="O58" s="2" t="n">
        <v>40</v>
      </c>
      <c r="P58" s="4" t="n">
        <v>6.18</v>
      </c>
      <c r="Q58" s="4" t="n">
        <v>25.65</v>
      </c>
      <c r="R58" s="4">
        <f>G58*(L58/100)*(O58/100)</f>
        <v/>
      </c>
      <c r="S58" s="4">
        <f>G58*(K58/360/100)*J58*(O58/100)</f>
        <v/>
      </c>
      <c r="T58" s="4">
        <f>P58-R58+Q58-S58</f>
        <v/>
      </c>
    </row>
    <row r="59">
      <c r="A59" s="2" t="inlineStr">
        <is>
          <t>Oro</t>
        </is>
      </c>
      <c r="B59" s="2" t="inlineStr">
        <is>
          <t>Amarillo</t>
        </is>
      </c>
      <c r="C59" s="3" t="n">
        <v>46027</v>
      </c>
      <c r="D59" s="2" t="inlineStr">
        <is>
          <t>A51769846</t>
        </is>
      </c>
      <c r="E59" s="2" t="inlineStr">
        <is>
          <t>Cadenas Vi…</t>
        </is>
      </c>
      <c r="F59" s="2" t="n">
        <v>3498270</v>
      </c>
      <c r="G59" s="4" t="n">
        <v>108.4</v>
      </c>
      <c r="H59" s="3" t="n">
        <v>46011</v>
      </c>
      <c r="I59" s="3" t="n">
        <v>46167</v>
      </c>
      <c r="J59" s="2" t="n">
        <v>53</v>
      </c>
      <c r="K59" s="2" t="n">
        <v>14.51</v>
      </c>
      <c r="L59" s="2" t="n">
        <v>2.99</v>
      </c>
      <c r="M59" s="4" t="n">
        <v>3.24</v>
      </c>
      <c r="N59" s="4" t="n">
        <v>2.32</v>
      </c>
      <c r="O59" s="2" t="n">
        <v>20</v>
      </c>
      <c r="P59" s="4" t="n">
        <v>0.78</v>
      </c>
      <c r="Q59" s="4" t="n">
        <v>0.22</v>
      </c>
      <c r="R59" s="4">
        <f>G59*(L59/100)*(O59/100)</f>
        <v/>
      </c>
      <c r="S59" s="4">
        <f>G59*(K59/360/100)*J59*(O59/100)</f>
        <v/>
      </c>
      <c r="T59" s="4">
        <f>P59-R59+Q59-S59</f>
        <v/>
      </c>
    </row>
    <row r="60">
      <c r="A60" s="2" t="inlineStr">
        <is>
          <t>Oro</t>
        </is>
      </c>
      <c r="B60" s="2" t="inlineStr">
        <is>
          <t>Amarillo</t>
        </is>
      </c>
      <c r="C60" s="3" t="n">
        <v>46027</v>
      </c>
      <c r="D60" s="2" t="inlineStr">
        <is>
          <t>B89654455</t>
        </is>
      </c>
      <c r="E60" s="2" t="inlineStr">
        <is>
          <t>Generador…</t>
        </is>
      </c>
      <c r="F60" s="2" t="n">
        <v>1922522</v>
      </c>
      <c r="G60" s="4" t="n">
        <v>313.08</v>
      </c>
      <c r="H60" s="3" t="n">
        <v>45998</v>
      </c>
      <c r="I60" s="3" t="n">
        <v>46025</v>
      </c>
      <c r="J60" s="2" t="n">
        <v>56</v>
      </c>
      <c r="K60" s="2" t="n">
        <v>35.82</v>
      </c>
      <c r="L60" s="2" t="n">
        <v>2.53</v>
      </c>
      <c r="M60" s="4" t="n">
        <v>7.92</v>
      </c>
      <c r="N60" s="4" t="n">
        <v>17.44</v>
      </c>
      <c r="O60" s="2" t="n">
        <v>30</v>
      </c>
      <c r="P60" s="4" t="n">
        <v>2.08</v>
      </c>
      <c r="Q60" s="4" t="n">
        <v>4.98</v>
      </c>
      <c r="R60" s="4">
        <f>G60*(L60/100)*(O60/100)</f>
        <v/>
      </c>
      <c r="S60" s="4">
        <f>G60*(K60/360/100)*J60*(O60/100)</f>
        <v/>
      </c>
      <c r="T60" s="4">
        <f>P60-R60+Q60-S60</f>
        <v/>
      </c>
    </row>
    <row r="61">
      <c r="A61" s="2" t="inlineStr">
        <is>
          <t>Oro</t>
        </is>
      </c>
      <c r="B61" s="2" t="inlineStr">
        <is>
          <t>Amarillo</t>
        </is>
      </c>
      <c r="C61" s="3" t="n">
        <v>46027</v>
      </c>
      <c r="D61" s="2" t="inlineStr">
        <is>
          <t>B56764875</t>
        </is>
      </c>
      <c r="E61" s="2" t="inlineStr">
        <is>
          <t>Vellones A…</t>
        </is>
      </c>
      <c r="F61" s="2" t="n">
        <v>2098036</v>
      </c>
      <c r="G61" s="4" t="n">
        <v>5065.28</v>
      </c>
      <c r="H61" s="3" t="n">
        <v>46008</v>
      </c>
      <c r="I61" s="3" t="n">
        <v>46106</v>
      </c>
      <c r="J61" s="2" t="n">
        <v>67</v>
      </c>
      <c r="K61" s="2" t="n">
        <v>25.52</v>
      </c>
      <c r="L61" s="2" t="n">
        <v>2.13</v>
      </c>
      <c r="M61" s="4" t="n">
        <v>107.89</v>
      </c>
      <c r="N61" s="4" t="n">
        <v>240.58</v>
      </c>
      <c r="O61" s="2" t="n">
        <v>60</v>
      </c>
      <c r="P61" s="4" t="n">
        <v>64.97</v>
      </c>
      <c r="Q61" s="4" t="n">
        <v>144.24</v>
      </c>
      <c r="R61" s="4">
        <f>G61*(L61/100)*(O61/100)</f>
        <v/>
      </c>
      <c r="S61" s="4">
        <f>G61*(K61/360/100)*J61*(O61/100)</f>
        <v/>
      </c>
      <c r="T61" s="4">
        <f>P61-R61+Q61-S61</f>
        <v/>
      </c>
    </row>
    <row r="62">
      <c r="A62" s="2" t="inlineStr">
        <is>
          <t>Oro</t>
        </is>
      </c>
      <c r="B62" s="2" t="inlineStr">
        <is>
          <t>Amarillo</t>
        </is>
      </c>
      <c r="C62" s="3" t="n">
        <v>46027</v>
      </c>
      <c r="D62" s="2" t="inlineStr">
        <is>
          <t>B41164557</t>
        </is>
      </c>
      <c r="E62" s="2" t="inlineStr">
        <is>
          <t>Transporte…</t>
        </is>
      </c>
      <c r="F62" s="2" t="n">
        <v>1367215</v>
      </c>
      <c r="G62" s="4" t="n">
        <v>607.77</v>
      </c>
      <c r="H62" s="3" t="n">
        <v>46014</v>
      </c>
      <c r="I62" s="3" t="n">
        <v>46128</v>
      </c>
      <c r="J62" s="2" t="n">
        <v>40</v>
      </c>
      <c r="K62" s="2" t="n">
        <v>38.96</v>
      </c>
      <c r="L62" s="2" t="n">
        <v>1.62</v>
      </c>
      <c r="M62" s="4" t="n">
        <v>9.85</v>
      </c>
      <c r="N62" s="4" t="n">
        <v>26.31</v>
      </c>
      <c r="O62" s="2" t="n">
        <v>40</v>
      </c>
      <c r="P62" s="4" t="n">
        <v>3.74</v>
      </c>
      <c r="Q62" s="4" t="n">
        <v>10.43</v>
      </c>
      <c r="R62" s="4">
        <f>G62*(L62/100)*(O62/100)</f>
        <v/>
      </c>
      <c r="S62" s="4">
        <f>G62*(K62/360/100)*J62*(O62/100)</f>
        <v/>
      </c>
      <c r="T62" s="4">
        <f>P62-R62+Q62-S62</f>
        <v/>
      </c>
    </row>
    <row r="63">
      <c r="A63" s="2" t="inlineStr">
        <is>
          <t>Oro</t>
        </is>
      </c>
      <c r="B63" s="2" t="inlineStr">
        <is>
          <t>Amarillo</t>
        </is>
      </c>
      <c r="C63" s="3" t="n">
        <v>46027</v>
      </c>
      <c r="D63" s="2" t="inlineStr">
        <is>
          <t>A27111077</t>
        </is>
      </c>
      <c r="E63" s="2" t="inlineStr">
        <is>
          <t>Lonas Verif…</t>
        </is>
      </c>
      <c r="F63" s="2" t="n">
        <v>2055768</v>
      </c>
      <c r="G63" s="4" t="n">
        <v>305.66</v>
      </c>
      <c r="H63" s="3" t="n">
        <v>46002</v>
      </c>
      <c r="I63" s="3" t="n">
        <v>46144</v>
      </c>
      <c r="J63" s="2" t="n">
        <v>39</v>
      </c>
      <c r="K63" s="2" t="n">
        <v>41.85</v>
      </c>
      <c r="L63" s="2" t="n">
        <v>2.51</v>
      </c>
      <c r="M63" s="4" t="n">
        <v>7.67</v>
      </c>
      <c r="N63" s="4" t="n">
        <v>13.86</v>
      </c>
      <c r="O63" s="2" t="n">
        <v>70</v>
      </c>
      <c r="P63" s="4" t="n">
        <v>5.08</v>
      </c>
      <c r="Q63" s="4" t="n">
        <v>9.51</v>
      </c>
      <c r="R63" s="4">
        <f>G63*(L63/100)*(O63/100)</f>
        <v/>
      </c>
      <c r="S63" s="4">
        <f>G63*(K63/360/100)*J63*(O63/100)</f>
        <v/>
      </c>
      <c r="T63" s="4">
        <f>P63-R63+Q63-S63</f>
        <v/>
      </c>
    </row>
    <row r="64">
      <c r="A64" s="2" t="inlineStr">
        <is>
          <t>Oro</t>
        </is>
      </c>
      <c r="B64" s="2" t="inlineStr">
        <is>
          <t>Amarillo</t>
        </is>
      </c>
      <c r="C64" s="3" t="n">
        <v>46027</v>
      </c>
      <c r="D64" s="2" t="inlineStr">
        <is>
          <t>B81967876</t>
        </is>
      </c>
      <c r="E64" s="2" t="inlineStr">
        <is>
          <t>Barnices Di…</t>
        </is>
      </c>
      <c r="F64" s="2" t="n">
        <v>2927542</v>
      </c>
      <c r="G64" s="4" t="n">
        <v>262.18</v>
      </c>
      <c r="H64" s="3" t="n">
        <v>46019</v>
      </c>
      <c r="I64" s="3" t="n">
        <v>46081</v>
      </c>
      <c r="J64" s="2" t="n">
        <v>65</v>
      </c>
      <c r="K64" s="2" t="n">
        <v>38.83</v>
      </c>
      <c r="L64" s="2" t="n">
        <v>2.25</v>
      </c>
      <c r="M64" s="4" t="n">
        <v>5.9</v>
      </c>
      <c r="N64" s="4" t="n">
        <v>18.38</v>
      </c>
      <c r="O64" s="2" t="n">
        <v>40</v>
      </c>
      <c r="P64" s="4" t="n">
        <v>2.15</v>
      </c>
      <c r="Q64" s="4" t="n">
        <v>7.57</v>
      </c>
      <c r="R64" s="4">
        <f>G64*(L64/100)*(O64/100)</f>
        <v/>
      </c>
      <c r="S64" s="4">
        <f>G64*(K64/360/100)*J64*(O64/100)</f>
        <v/>
      </c>
      <c r="T64" s="4">
        <f>P64-R64+Q64-S64</f>
        <v/>
      </c>
    </row>
    <row r="65">
      <c r="A65" s="2" t="inlineStr">
        <is>
          <t>Oro</t>
        </is>
      </c>
      <c r="B65" s="2" t="inlineStr">
        <is>
          <t>Amarillo</t>
        </is>
      </c>
      <c r="C65" s="3" t="n">
        <v>46027</v>
      </c>
      <c r="D65" s="2" t="inlineStr">
        <is>
          <t>A17459958</t>
        </is>
      </c>
      <c r="E65" s="2" t="inlineStr">
        <is>
          <t>Fletes Mod…</t>
        </is>
      </c>
      <c r="F65" s="2" t="n">
        <v>4016650</v>
      </c>
      <c r="G65" s="4" t="n">
        <v>494.99</v>
      </c>
      <c r="H65" s="3" t="n">
        <v>45994</v>
      </c>
      <c r="I65" s="3" t="n">
        <v>46069</v>
      </c>
      <c r="J65" s="2" t="n">
        <v>80</v>
      </c>
      <c r="K65" s="2" t="n">
        <v>32.7</v>
      </c>
      <c r="L65" s="2" t="n">
        <v>2.86</v>
      </c>
      <c r="M65" s="4" t="n">
        <v>14.16</v>
      </c>
      <c r="N65" s="4" t="n">
        <v>35.97</v>
      </c>
      <c r="O65" s="2" t="n">
        <v>30</v>
      </c>
      <c r="P65" s="4" t="n">
        <v>3.96</v>
      </c>
      <c r="Q65" s="4" t="n">
        <v>10.51</v>
      </c>
      <c r="R65" s="4">
        <f>G65*(L65/100)*(O65/100)</f>
        <v/>
      </c>
      <c r="S65" s="4">
        <f>G65*(K65/360/100)*J65*(O65/100)</f>
        <v/>
      </c>
      <c r="T65" s="4">
        <f>P65-R65+Q65-S65</f>
        <v/>
      </c>
    </row>
    <row r="66">
      <c r="A66" s="2" t="inlineStr">
        <is>
          <t>Oro</t>
        </is>
      </c>
      <c r="B66" s="2" t="inlineStr">
        <is>
          <t>Amarillo</t>
        </is>
      </c>
      <c r="C66" s="3" t="n">
        <v>46027</v>
      </c>
      <c r="D66" s="2" t="inlineStr">
        <is>
          <t>B21485191</t>
        </is>
      </c>
      <c r="E66" s="2" t="inlineStr">
        <is>
          <t>Tanques Ig…</t>
        </is>
      </c>
      <c r="F66" s="2" t="n">
        <v>3087421</v>
      </c>
      <c r="G66" s="4" t="n">
        <v>2704.09</v>
      </c>
      <c r="H66" s="3" t="n">
        <v>46010</v>
      </c>
      <c r="I66" s="3" t="n">
        <v>46137</v>
      </c>
      <c r="J66" s="2" t="n">
        <v>17</v>
      </c>
      <c r="K66" s="2" t="n">
        <v>41.98</v>
      </c>
      <c r="L66" s="2" t="n">
        <v>1.62</v>
      </c>
      <c r="M66" s="4" t="n">
        <v>43.81</v>
      </c>
      <c r="N66" s="4" t="n">
        <v>53.61</v>
      </c>
      <c r="O66" s="2" t="n">
        <v>70</v>
      </c>
      <c r="P66" s="4" t="n">
        <v>30.52</v>
      </c>
      <c r="Q66" s="4" t="n">
        <v>37.78</v>
      </c>
      <c r="R66" s="4">
        <f>G66*(L66/100)*(O66/100)</f>
        <v/>
      </c>
      <c r="S66" s="4">
        <f>G66*(K66/360/100)*J66*(O66/100)</f>
        <v/>
      </c>
      <c r="T66" s="4">
        <f>P66-R66+Q66-S66</f>
        <v/>
      </c>
    </row>
    <row r="67">
      <c r="A67" s="2" t="inlineStr">
        <is>
          <t>Oro</t>
        </is>
      </c>
      <c r="B67" s="2" t="inlineStr">
        <is>
          <t>Amarillo</t>
        </is>
      </c>
      <c r="C67" s="3" t="n">
        <v>46027</v>
      </c>
      <c r="D67" s="2" t="inlineStr">
        <is>
          <t>A04550291</t>
        </is>
      </c>
      <c r="E67" s="2" t="inlineStr">
        <is>
          <t>Proteínas V…</t>
        </is>
      </c>
      <c r="F67" s="2" t="n">
        <v>4110038</v>
      </c>
      <c r="G67" s="4" t="n">
        <v>499.04</v>
      </c>
      <c r="H67" s="3" t="n">
        <v>46007</v>
      </c>
      <c r="I67" s="3" t="n">
        <v>46113</v>
      </c>
      <c r="J67" s="2" t="n">
        <v>77</v>
      </c>
      <c r="K67" s="2" t="n">
        <v>39.74</v>
      </c>
      <c r="L67" s="2" t="n">
        <v>2.73</v>
      </c>
      <c r="M67" s="4" t="n">
        <v>13.62</v>
      </c>
      <c r="N67" s="4" t="n">
        <v>42.42</v>
      </c>
      <c r="O67" s="2" t="n">
        <v>70</v>
      </c>
      <c r="P67" s="4" t="n">
        <v>9.779999999999999</v>
      </c>
      <c r="Q67" s="4" t="n">
        <v>29.66</v>
      </c>
      <c r="R67" s="4">
        <f>G67*(L67/100)*(O67/100)</f>
        <v/>
      </c>
      <c r="S67" s="4">
        <f>G67*(K67/360/100)*J67*(O67/100)</f>
        <v/>
      </c>
      <c r="T67" s="4">
        <f>P67-R67+Q67-S67</f>
        <v/>
      </c>
    </row>
    <row r="68">
      <c r="A68" s="2" t="inlineStr">
        <is>
          <t>Oro</t>
        </is>
      </c>
      <c r="B68" s="2" t="inlineStr">
        <is>
          <t>Amarillo</t>
        </is>
      </c>
      <c r="C68" s="3" t="n">
        <v>46027</v>
      </c>
      <c r="D68" s="2" t="inlineStr">
        <is>
          <t>B73452158</t>
        </is>
      </c>
      <c r="E68" s="2" t="inlineStr">
        <is>
          <t>Pizarras Ca…</t>
        </is>
      </c>
      <c r="F68" s="2" t="n">
        <v>3001138</v>
      </c>
      <c r="G68" s="4" t="n">
        <v>9585.67</v>
      </c>
      <c r="H68" s="3" t="n">
        <v>46001</v>
      </c>
      <c r="I68" s="3" t="n">
        <v>46050</v>
      </c>
      <c r="J68" s="2" t="n">
        <v>45</v>
      </c>
      <c r="K68" s="2" t="n">
        <v>41.86</v>
      </c>
      <c r="L68" s="2" t="n">
        <v>2.07</v>
      </c>
      <c r="M68" s="4" t="n">
        <v>198.42</v>
      </c>
      <c r="N68" s="4" t="n">
        <v>501.57</v>
      </c>
      <c r="O68" s="2" t="n">
        <v>40</v>
      </c>
      <c r="P68" s="4" t="n">
        <v>79.39</v>
      </c>
      <c r="Q68" s="4" t="n">
        <v>200.53</v>
      </c>
      <c r="R68" s="4">
        <f>G68*(L68/100)*(O68/100)</f>
        <v/>
      </c>
      <c r="S68" s="4">
        <f>G68*(K68/360/100)*J68*(O68/100)</f>
        <v/>
      </c>
      <c r="T68" s="4">
        <f>P68-R68+Q68-S68</f>
        <v/>
      </c>
    </row>
    <row r="69">
      <c r="A69" s="2" t="inlineStr">
        <is>
          <t>Oro</t>
        </is>
      </c>
      <c r="B69" s="2" t="inlineStr">
        <is>
          <t>Amarillo</t>
        </is>
      </c>
      <c r="C69" s="3" t="n">
        <v>46027</v>
      </c>
      <c r="D69" s="2" t="inlineStr">
        <is>
          <t>B63033707</t>
        </is>
      </c>
      <c r="E69" s="2" t="inlineStr">
        <is>
          <t>Embutidos…</t>
        </is>
      </c>
      <c r="F69" s="2" t="n">
        <v>4805924</v>
      </c>
      <c r="G69" s="4" t="n">
        <v>852.5700000000001</v>
      </c>
      <c r="H69" s="3" t="n">
        <v>45998</v>
      </c>
      <c r="I69" s="3" t="n">
        <v>46091</v>
      </c>
      <c r="J69" s="2" t="n">
        <v>45</v>
      </c>
      <c r="K69" s="2" t="n">
        <v>32.49</v>
      </c>
      <c r="L69" s="2" t="n">
        <v>2.2</v>
      </c>
      <c r="M69" s="4" t="n">
        <v>18.76</v>
      </c>
      <c r="N69" s="4" t="n">
        <v>34.62</v>
      </c>
      <c r="O69" s="2" t="n">
        <v>20</v>
      </c>
      <c r="P69" s="4" t="n">
        <v>3.51</v>
      </c>
      <c r="Q69" s="4" t="n">
        <v>7.05</v>
      </c>
      <c r="R69" s="4">
        <f>G69*(L69/100)*(O69/100)</f>
        <v/>
      </c>
      <c r="S69" s="4">
        <f>G69*(K69/360/100)*J69*(O69/100)</f>
        <v/>
      </c>
      <c r="T69" s="4">
        <f>P69-R69+Q69-S69</f>
        <v/>
      </c>
    </row>
    <row r="70">
      <c r="A70" s="2" t="inlineStr">
        <is>
          <t>Oro</t>
        </is>
      </c>
      <c r="B70" s="2" t="inlineStr">
        <is>
          <t>Amarillo</t>
        </is>
      </c>
      <c r="C70" s="3" t="n">
        <v>46027</v>
      </c>
      <c r="D70" s="2" t="inlineStr">
        <is>
          <t>B50281288</t>
        </is>
      </c>
      <c r="E70" s="2" t="inlineStr">
        <is>
          <t>Cables Elé…</t>
        </is>
      </c>
      <c r="F70" s="2" t="n">
        <v>2178356</v>
      </c>
      <c r="G70" s="4" t="n">
        <v>862.4400000000001</v>
      </c>
      <c r="H70" s="3" t="n">
        <v>46012</v>
      </c>
      <c r="I70" s="3" t="n">
        <v>46049</v>
      </c>
      <c r="J70" s="2" t="n">
        <v>27</v>
      </c>
      <c r="K70" s="2" t="n">
        <v>44.33</v>
      </c>
      <c r="L70" s="2" t="n">
        <v>2.59</v>
      </c>
      <c r="M70" s="4" t="n">
        <v>22.34</v>
      </c>
      <c r="N70" s="4" t="n">
        <v>28.67</v>
      </c>
      <c r="O70" s="2" t="n">
        <v>20</v>
      </c>
      <c r="P70" s="4" t="n">
        <v>4.41</v>
      </c>
      <c r="Q70" s="4" t="n">
        <v>5.45</v>
      </c>
      <c r="R70" s="4">
        <f>G70*(L70/100)*(O70/100)</f>
        <v/>
      </c>
      <c r="S70" s="4">
        <f>G70*(K70/360/100)*J70*(O70/100)</f>
        <v/>
      </c>
      <c r="T70" s="4">
        <f>P70-R70+Q70-S70</f>
        <v/>
      </c>
    </row>
    <row r="71">
      <c r="A71" s="2" t="inlineStr">
        <is>
          <t>Oro</t>
        </is>
      </c>
      <c r="B71" s="2" t="inlineStr">
        <is>
          <t>Amarillo</t>
        </is>
      </c>
      <c r="C71" s="3" t="n">
        <v>46027</v>
      </c>
      <c r="D71" s="2" t="inlineStr">
        <is>
          <t>A03854874</t>
        </is>
      </c>
      <c r="E71" s="2" t="inlineStr">
        <is>
          <t>Variadores…</t>
        </is>
      </c>
      <c r="F71" s="2" t="n">
        <v>3984416</v>
      </c>
      <c r="G71" s="4" t="n">
        <v>990.13</v>
      </c>
      <c r="H71" s="3" t="n">
        <v>46009</v>
      </c>
      <c r="I71" s="3" t="n">
        <v>46169</v>
      </c>
      <c r="J71" s="2" t="n">
        <v>80</v>
      </c>
      <c r="K71" s="2" t="n">
        <v>36.64</v>
      </c>
      <c r="L71" s="2" t="n">
        <v>2.32</v>
      </c>
      <c r="M71" s="4" t="n">
        <v>22.97</v>
      </c>
      <c r="N71" s="4" t="n">
        <v>80.62</v>
      </c>
      <c r="O71" s="2" t="n">
        <v>60</v>
      </c>
      <c r="P71" s="4" t="n">
        <v>13.55</v>
      </c>
      <c r="Q71" s="4" t="n">
        <v>48.51</v>
      </c>
      <c r="R71" s="4">
        <f>G71*(L71/100)*(O71/100)</f>
        <v/>
      </c>
      <c r="S71" s="4">
        <f>G71*(K71/360/100)*J71*(O71/100)</f>
        <v/>
      </c>
      <c r="T71" s="4">
        <f>P71-R71+Q71-S71</f>
        <v/>
      </c>
    </row>
    <row r="72">
      <c r="A72" s="2" t="inlineStr">
        <is>
          <t>Oro</t>
        </is>
      </c>
      <c r="B72" s="2" t="inlineStr">
        <is>
          <t>Amarillo</t>
        </is>
      </c>
      <c r="C72" s="3" t="n">
        <v>46027</v>
      </c>
      <c r="D72" s="2" t="inlineStr">
        <is>
          <t>B44621054</t>
        </is>
      </c>
      <c r="E72" s="2" t="inlineStr">
        <is>
          <t>Tableros V…</t>
        </is>
      </c>
      <c r="F72" s="2" t="n">
        <v>2085994</v>
      </c>
      <c r="G72" s="4" t="n">
        <v>904.67</v>
      </c>
      <c r="H72" s="3" t="n">
        <v>46004</v>
      </c>
      <c r="I72" s="3" t="n">
        <v>46071</v>
      </c>
      <c r="J72" s="2" t="n">
        <v>24</v>
      </c>
      <c r="K72" s="2" t="n">
        <v>33.26</v>
      </c>
      <c r="L72" s="2" t="n">
        <v>2.29</v>
      </c>
      <c r="M72" s="4" t="n">
        <v>20.72</v>
      </c>
      <c r="N72" s="4" t="n">
        <v>20.06</v>
      </c>
      <c r="O72" s="2" t="n">
        <v>60</v>
      </c>
      <c r="P72" s="4" t="n">
        <v>12.57</v>
      </c>
      <c r="Q72" s="4" t="n">
        <v>12.33</v>
      </c>
      <c r="R72" s="4">
        <f>G72*(L72/100)*(O72/100)</f>
        <v/>
      </c>
      <c r="S72" s="4">
        <f>G72*(K72/360/100)*J72*(O72/100)</f>
        <v/>
      </c>
      <c r="T72" s="4">
        <f>P72-R72+Q72-S72</f>
        <v/>
      </c>
    </row>
    <row r="73">
      <c r="A73" s="2" t="inlineStr">
        <is>
          <t>Oro</t>
        </is>
      </c>
      <c r="B73" s="2" t="inlineStr">
        <is>
          <t>Amarillo</t>
        </is>
      </c>
      <c r="C73" s="3" t="n">
        <v>46027</v>
      </c>
      <c r="D73" s="2" t="inlineStr">
        <is>
          <t>A32697893</t>
        </is>
      </c>
      <c r="E73" s="2" t="inlineStr">
        <is>
          <t>Granulados…</t>
        </is>
      </c>
      <c r="F73" s="2" t="n">
        <v>4321559</v>
      </c>
      <c r="G73" s="4" t="n">
        <v>661.58</v>
      </c>
      <c r="H73" s="3" t="n">
        <v>45997</v>
      </c>
      <c r="I73" s="3" t="n">
        <v>46106</v>
      </c>
      <c r="J73" s="2" t="n">
        <v>64</v>
      </c>
      <c r="K73" s="2" t="n">
        <v>32.83</v>
      </c>
      <c r="L73" s="2" t="n">
        <v>1.94</v>
      </c>
      <c r="M73" s="4" t="n">
        <v>12.83</v>
      </c>
      <c r="N73" s="4" t="n">
        <v>38.61</v>
      </c>
      <c r="O73" s="2" t="n">
        <v>60</v>
      </c>
      <c r="P73" s="4" t="n">
        <v>7.63</v>
      </c>
      <c r="Q73" s="4" t="n">
        <v>23.08</v>
      </c>
      <c r="R73" s="4">
        <f>G73*(L73/100)*(O73/100)</f>
        <v/>
      </c>
      <c r="S73" s="4">
        <f>G73*(K73/360/100)*J73*(O73/100)</f>
        <v/>
      </c>
      <c r="T73" s="4">
        <f>P73-R73+Q73-S73</f>
        <v/>
      </c>
    </row>
    <row r="74">
      <c r="A74" s="2" t="inlineStr">
        <is>
          <t>Oro</t>
        </is>
      </c>
      <c r="B74" s="2" t="inlineStr">
        <is>
          <t>Amarillo</t>
        </is>
      </c>
      <c r="C74" s="3" t="n">
        <v>46027</v>
      </c>
      <c r="D74" s="2" t="inlineStr">
        <is>
          <t>A67910065</t>
        </is>
      </c>
      <c r="E74" s="2" t="inlineStr">
        <is>
          <t>Adhesivos…</t>
        </is>
      </c>
      <c r="F74" s="2" t="n">
        <v>2175656</v>
      </c>
      <c r="G74" s="4" t="n">
        <v>1208.38</v>
      </c>
      <c r="H74" s="3" t="n">
        <v>46004</v>
      </c>
      <c r="I74" s="3" t="n">
        <v>46059</v>
      </c>
      <c r="J74" s="2" t="n">
        <v>15</v>
      </c>
      <c r="K74" s="2" t="n">
        <v>37.09</v>
      </c>
      <c r="L74" s="2" t="n">
        <v>1.07</v>
      </c>
      <c r="M74" s="4" t="n">
        <v>12.93</v>
      </c>
      <c r="N74" s="4" t="n">
        <v>18.67</v>
      </c>
      <c r="O74" s="2" t="n">
        <v>70</v>
      </c>
      <c r="P74" s="4" t="n">
        <v>9.31</v>
      </c>
      <c r="Q74" s="4" t="n">
        <v>12.89</v>
      </c>
      <c r="R74" s="4">
        <f>G74*(L74/100)*(O74/100)</f>
        <v/>
      </c>
      <c r="S74" s="4">
        <f>G74*(K74/360/100)*J74*(O74/100)</f>
        <v/>
      </c>
      <c r="T74" s="4">
        <f>P74-R74+Q74-S74</f>
        <v/>
      </c>
    </row>
    <row r="75">
      <c r="A75" s="2" t="inlineStr">
        <is>
          <t>Oro</t>
        </is>
      </c>
      <c r="B75" s="2" t="inlineStr">
        <is>
          <t>Amarillo</t>
        </is>
      </c>
      <c r="C75" s="3" t="n">
        <v>46027</v>
      </c>
      <c r="D75" s="2" t="inlineStr">
        <is>
          <t>A40781447</t>
        </is>
      </c>
      <c r="E75" s="2" t="inlineStr">
        <is>
          <t>Formulacio…</t>
        </is>
      </c>
      <c r="F75" s="2" t="n">
        <v>4034323</v>
      </c>
      <c r="G75" s="4" t="n">
        <v>822.4299999999999</v>
      </c>
      <c r="H75" s="3" t="n">
        <v>46011</v>
      </c>
      <c r="I75" s="3" t="n">
        <v>46091</v>
      </c>
      <c r="J75" s="2" t="n">
        <v>90</v>
      </c>
      <c r="K75" s="2" t="n">
        <v>42.75</v>
      </c>
      <c r="L75" s="2" t="n">
        <v>1.96</v>
      </c>
      <c r="M75" s="4" t="n">
        <v>16.12</v>
      </c>
      <c r="N75" s="4" t="n">
        <v>87.90000000000001</v>
      </c>
      <c r="O75" s="2" t="n">
        <v>70</v>
      </c>
      <c r="P75" s="4" t="n">
        <v>11.44</v>
      </c>
      <c r="Q75" s="4" t="n">
        <v>61.48</v>
      </c>
      <c r="R75" s="4">
        <f>G75*(L75/100)*(O75/100)</f>
        <v/>
      </c>
      <c r="S75" s="4">
        <f>G75*(K75/360/100)*J75*(O75/100)</f>
        <v/>
      </c>
      <c r="T75" s="4">
        <f>P75-R75+Q75-S75</f>
        <v/>
      </c>
    </row>
    <row r="76">
      <c r="A76" s="2" t="inlineStr">
        <is>
          <t>Oro</t>
        </is>
      </c>
      <c r="B76" s="2" t="inlineStr">
        <is>
          <t>Amarillo</t>
        </is>
      </c>
      <c r="C76" s="3" t="n">
        <v>46027</v>
      </c>
      <c r="D76" s="2" t="inlineStr">
        <is>
          <t>A76206578</t>
        </is>
      </c>
      <c r="E76" s="2" t="inlineStr">
        <is>
          <t>Paneles Pe…</t>
        </is>
      </c>
      <c r="F76" s="2" t="n">
        <v>3091504</v>
      </c>
      <c r="G76" s="4" t="n">
        <v>134.69</v>
      </c>
      <c r="H76" s="3" t="n">
        <v>46013</v>
      </c>
      <c r="I76" s="3" t="n">
        <v>46087</v>
      </c>
      <c r="J76" s="2" t="n">
        <v>19</v>
      </c>
      <c r="K76" s="2" t="n">
        <v>11.99</v>
      </c>
      <c r="L76" s="2" t="n">
        <v>1.99</v>
      </c>
      <c r="M76" s="4" t="n">
        <v>2.68</v>
      </c>
      <c r="N76" s="4" t="n">
        <v>0.85</v>
      </c>
      <c r="O76" s="2" t="n">
        <v>20</v>
      </c>
      <c r="P76" s="4" t="n">
        <v>0.4</v>
      </c>
      <c r="Q76" s="4" t="n">
        <v>-0</v>
      </c>
      <c r="R76" s="4">
        <f>G76*(L76/100)*(O76/100)</f>
        <v/>
      </c>
      <c r="S76" s="4">
        <f>G76*(K76/360/100)*J76*(O76/100)</f>
        <v/>
      </c>
      <c r="T76" s="4">
        <f>P76-R76+Q76-S76</f>
        <v/>
      </c>
    </row>
    <row r="77">
      <c r="A77" s="2" t="inlineStr">
        <is>
          <t>Oro</t>
        </is>
      </c>
      <c r="B77" s="2" t="inlineStr">
        <is>
          <t>Amarillo</t>
        </is>
      </c>
      <c r="C77" s="3" t="n">
        <v>46027</v>
      </c>
      <c r="D77" s="2" t="inlineStr">
        <is>
          <t>A59487122</t>
        </is>
      </c>
      <c r="E77" s="2" t="inlineStr">
        <is>
          <t>Biomasas…</t>
        </is>
      </c>
      <c r="F77" s="2" t="n">
        <v>4273589</v>
      </c>
      <c r="G77" s="4" t="n">
        <v>286.85</v>
      </c>
      <c r="H77" s="3" t="n">
        <v>46019</v>
      </c>
      <c r="I77" s="3" t="n">
        <v>46145</v>
      </c>
      <c r="J77" s="2" t="n">
        <v>39</v>
      </c>
      <c r="K77" s="2" t="n">
        <v>36.12</v>
      </c>
      <c r="L77" s="2" t="n">
        <v>2.63</v>
      </c>
      <c r="M77" s="4" t="n">
        <v>7.54</v>
      </c>
      <c r="N77" s="4" t="n">
        <v>11.22</v>
      </c>
      <c r="O77" s="2" t="n">
        <v>20</v>
      </c>
      <c r="P77" s="4" t="n">
        <v>1.73</v>
      </c>
      <c r="Q77" s="4" t="n">
        <v>2.4</v>
      </c>
      <c r="R77" s="4">
        <f>G77*(L77/100)*(O77/100)</f>
        <v/>
      </c>
      <c r="S77" s="4">
        <f>G77*(K77/360/100)*J77*(O77/100)</f>
        <v/>
      </c>
      <c r="T77" s="4">
        <f>P77-R77+Q77-S77</f>
        <v/>
      </c>
    </row>
    <row r="78">
      <c r="A78" s="2" t="inlineStr">
        <is>
          <t>Oro</t>
        </is>
      </c>
      <c r="B78" s="2" t="inlineStr">
        <is>
          <t>Amarillo</t>
        </is>
      </c>
      <c r="C78" s="3" t="n">
        <v>46027</v>
      </c>
      <c r="D78" s="2" t="inlineStr">
        <is>
          <t>A45029721</t>
        </is>
      </c>
      <c r="E78" s="2" t="inlineStr">
        <is>
          <t>Aguas Cont…</t>
        </is>
      </c>
      <c r="F78" s="2" t="n">
        <v>1777205</v>
      </c>
      <c r="G78" s="4" t="n">
        <v>6076.25</v>
      </c>
      <c r="H78" s="3" t="n">
        <v>45996</v>
      </c>
      <c r="I78" s="3" t="n">
        <v>46159</v>
      </c>
      <c r="J78" s="2" t="n">
        <v>49</v>
      </c>
      <c r="K78" s="2" t="n">
        <v>13.98</v>
      </c>
      <c r="L78" s="2" t="n">
        <v>0.92</v>
      </c>
      <c r="M78" s="4" t="n">
        <v>55.9</v>
      </c>
      <c r="N78" s="4" t="n">
        <v>115.62</v>
      </c>
      <c r="O78" s="2" t="n">
        <v>60</v>
      </c>
      <c r="P78" s="4" t="n">
        <v>33.26</v>
      </c>
      <c r="Q78" s="4" t="n">
        <v>69.31</v>
      </c>
      <c r="R78" s="4">
        <f>G78*(L78/100)*(O78/100)</f>
        <v/>
      </c>
      <c r="S78" s="4">
        <f>G78*(K78/360/100)*J78*(O78/100)</f>
        <v/>
      </c>
      <c r="T78" s="4">
        <f>P78-R78+Q78-S78</f>
        <v/>
      </c>
    </row>
    <row r="79">
      <c r="A79" s="2" t="inlineStr">
        <is>
          <t>Oro</t>
        </is>
      </c>
      <c r="B79" s="2" t="inlineStr">
        <is>
          <t>Amarillo</t>
        </is>
      </c>
      <c r="C79" s="3" t="n">
        <v>46027</v>
      </c>
      <c r="D79" s="2" t="inlineStr">
        <is>
          <t>A17459958</t>
        </is>
      </c>
      <c r="E79" s="2" t="inlineStr">
        <is>
          <t>Fletes Mod…</t>
        </is>
      </c>
      <c r="F79" s="2" t="n">
        <v>1626806</v>
      </c>
      <c r="G79" s="4" t="n">
        <v>291.19</v>
      </c>
      <c r="H79" s="3" t="n">
        <v>46012</v>
      </c>
      <c r="I79" s="3" t="n">
        <v>46066</v>
      </c>
      <c r="J79" s="2" t="n">
        <v>23</v>
      </c>
      <c r="K79" s="2" t="n">
        <v>12.51</v>
      </c>
      <c r="L79" s="2" t="n">
        <v>1.63</v>
      </c>
      <c r="M79" s="4" t="n">
        <v>4.75</v>
      </c>
      <c r="N79" s="4" t="n">
        <v>2.33</v>
      </c>
      <c r="O79" s="2" t="n">
        <v>50</v>
      </c>
      <c r="P79" s="4" t="n">
        <v>2.21</v>
      </c>
      <c r="Q79" s="4" t="n">
        <v>1.31</v>
      </c>
      <c r="R79" s="4">
        <f>G79*(L79/100)*(O79/100)</f>
        <v/>
      </c>
      <c r="S79" s="4">
        <f>G79*(K79/360/100)*J79*(O79/100)</f>
        <v/>
      </c>
      <c r="T79" s="4">
        <f>P79-R79+Q79-S79</f>
        <v/>
      </c>
    </row>
    <row r="80">
      <c r="A80" s="2" t="inlineStr">
        <is>
          <t>Oro</t>
        </is>
      </c>
      <c r="B80" s="2" t="inlineStr">
        <is>
          <t>Amarillo</t>
        </is>
      </c>
      <c r="C80" s="3" t="n">
        <v>46027</v>
      </c>
      <c r="D80" s="2" t="inlineStr">
        <is>
          <t>B09636380</t>
        </is>
      </c>
      <c r="E80" s="2" t="inlineStr">
        <is>
          <t>Aerogenera…</t>
        </is>
      </c>
      <c r="F80" s="2" t="n">
        <v>2952556</v>
      </c>
      <c r="G80" s="4" t="n">
        <v>599.39</v>
      </c>
      <c r="H80" s="3" t="n">
        <v>45993</v>
      </c>
      <c r="I80" s="3" t="n">
        <v>46048</v>
      </c>
      <c r="J80" s="2" t="n">
        <v>55</v>
      </c>
      <c r="K80" s="2" t="n">
        <v>33.11</v>
      </c>
      <c r="L80" s="2" t="n">
        <v>1.87</v>
      </c>
      <c r="M80" s="4" t="n">
        <v>11.21</v>
      </c>
      <c r="N80" s="4" t="n">
        <v>30.32</v>
      </c>
      <c r="O80" s="2" t="n">
        <v>70</v>
      </c>
      <c r="P80" s="4" t="n">
        <v>7.65</v>
      </c>
      <c r="Q80" s="4" t="n">
        <v>21.42</v>
      </c>
      <c r="R80" s="4">
        <f>G80*(L80/100)*(O80/100)</f>
        <v/>
      </c>
      <c r="S80" s="4">
        <f>G80*(K80/360/100)*J80*(O80/100)</f>
        <v/>
      </c>
      <c r="T80" s="4">
        <f>P80-R80+Q80-S80</f>
        <v/>
      </c>
    </row>
    <row r="81">
      <c r="A81" s="2" t="inlineStr">
        <is>
          <t>Oro</t>
        </is>
      </c>
      <c r="B81" s="2" t="inlineStr">
        <is>
          <t>Amarillo</t>
        </is>
      </c>
      <c r="C81" s="3" t="n">
        <v>46027</v>
      </c>
      <c r="D81" s="2" t="inlineStr">
        <is>
          <t>B65585843</t>
        </is>
      </c>
      <c r="E81" s="2" t="inlineStr">
        <is>
          <t>Fluoruros P…</t>
        </is>
      </c>
      <c r="F81" s="2" t="n">
        <v>2348929</v>
      </c>
      <c r="G81" s="4" t="n">
        <v>341.13</v>
      </c>
      <c r="H81" s="3" t="n">
        <v>45996</v>
      </c>
      <c r="I81" s="3" t="n">
        <v>46128</v>
      </c>
      <c r="J81" s="2" t="n">
        <v>75</v>
      </c>
      <c r="K81" s="2" t="n">
        <v>34.61</v>
      </c>
      <c r="L81" s="2" t="n">
        <v>1.44</v>
      </c>
      <c r="M81" s="4" t="n">
        <v>4.91</v>
      </c>
      <c r="N81" s="4" t="n">
        <v>24.6</v>
      </c>
      <c r="O81" s="2" t="n">
        <v>20</v>
      </c>
      <c r="P81" s="4" t="n">
        <v>0.78</v>
      </c>
      <c r="Q81" s="4" t="n">
        <v>4.71</v>
      </c>
      <c r="R81" s="4">
        <f>G81*(L81/100)*(O81/100)</f>
        <v/>
      </c>
      <c r="S81" s="4">
        <f>G81*(K81/360/100)*J81*(O81/100)</f>
        <v/>
      </c>
      <c r="T81" s="4">
        <f>P81-R81+Q81-S81</f>
        <v/>
      </c>
    </row>
    <row r="82">
      <c r="A82" s="2" t="inlineStr">
        <is>
          <t>Oro</t>
        </is>
      </c>
      <c r="B82" s="2" t="inlineStr">
        <is>
          <t>Amarillo</t>
        </is>
      </c>
      <c r="C82" s="3" t="n">
        <v>46027</v>
      </c>
      <c r="D82" s="2" t="inlineStr">
        <is>
          <t>B90990735</t>
        </is>
      </c>
      <c r="E82" s="2" t="inlineStr">
        <is>
          <t>Hierros Re…</t>
        </is>
      </c>
      <c r="F82" s="2" t="n">
        <v>2448079</v>
      </c>
      <c r="G82" s="4" t="n">
        <v>191.54</v>
      </c>
      <c r="H82" s="3" t="n">
        <v>46013</v>
      </c>
      <c r="I82" s="3" t="n">
        <v>46099</v>
      </c>
      <c r="J82" s="2" t="n">
        <v>37</v>
      </c>
      <c r="K82" s="2" t="n">
        <v>15.26</v>
      </c>
      <c r="L82" s="2" t="n">
        <v>2.91</v>
      </c>
      <c r="M82" s="4" t="n">
        <v>5.57</v>
      </c>
      <c r="N82" s="4" t="n">
        <v>3</v>
      </c>
      <c r="O82" s="2" t="n">
        <v>50</v>
      </c>
      <c r="P82" s="4" t="n">
        <v>3.06</v>
      </c>
      <c r="Q82" s="4" t="n">
        <v>1.33</v>
      </c>
      <c r="R82" s="4">
        <f>G82*(L82/100)*(O82/100)</f>
        <v/>
      </c>
      <c r="S82" s="4">
        <f>G82*(K82/360/100)*J82*(O82/100)</f>
        <v/>
      </c>
      <c r="T82" s="4">
        <f>P82-R82+Q82-S82</f>
        <v/>
      </c>
    </row>
    <row r="83">
      <c r="A83" s="2" t="inlineStr">
        <is>
          <t>Oro</t>
        </is>
      </c>
      <c r="B83" s="2" t="inlineStr">
        <is>
          <t>Amarillo</t>
        </is>
      </c>
      <c r="C83" s="3" t="n">
        <v>46027</v>
      </c>
      <c r="D83" s="2" t="inlineStr">
        <is>
          <t>A07188920</t>
        </is>
      </c>
      <c r="E83" s="2" t="inlineStr">
        <is>
          <t>Vinos Biod…</t>
        </is>
      </c>
      <c r="F83" s="2" t="n">
        <v>2422901</v>
      </c>
      <c r="G83" s="4" t="n">
        <v>546.51</v>
      </c>
      <c r="H83" s="3" t="n">
        <v>46008</v>
      </c>
      <c r="I83" s="3" t="n">
        <v>46193</v>
      </c>
      <c r="J83" s="2" t="n">
        <v>25</v>
      </c>
      <c r="K83" s="2" t="n">
        <v>13.12</v>
      </c>
      <c r="L83" s="2" t="n">
        <v>1.56</v>
      </c>
      <c r="M83" s="4" t="n">
        <v>8.529999999999999</v>
      </c>
      <c r="N83" s="4" t="n">
        <v>4.98</v>
      </c>
      <c r="O83" s="2" t="n">
        <v>70</v>
      </c>
      <c r="P83" s="4" t="n">
        <v>5.74</v>
      </c>
      <c r="Q83" s="4" t="n">
        <v>3.47</v>
      </c>
      <c r="R83" s="4">
        <f>G83*(L83/100)*(O83/100)</f>
        <v/>
      </c>
      <c r="S83" s="4">
        <f>G83*(K83/360/100)*J83*(O83/100)</f>
        <v/>
      </c>
      <c r="T83" s="4">
        <f>P83-R83+Q83-S83</f>
        <v/>
      </c>
    </row>
    <row r="84">
      <c r="A84" s="2" t="inlineStr">
        <is>
          <t>Oro</t>
        </is>
      </c>
      <c r="B84" s="2" t="inlineStr">
        <is>
          <t>Amarillo</t>
        </is>
      </c>
      <c r="C84" s="3" t="n">
        <v>46027</v>
      </c>
      <c r="D84" s="2" t="inlineStr">
        <is>
          <t>A97519892</t>
        </is>
      </c>
      <c r="E84" s="2" t="inlineStr">
        <is>
          <t>Telas Cone…</t>
        </is>
      </c>
      <c r="F84" s="2" t="n">
        <v>2329803</v>
      </c>
      <c r="G84" s="4" t="n">
        <v>308.99</v>
      </c>
      <c r="H84" s="3" t="n">
        <v>45996</v>
      </c>
      <c r="I84" s="3" t="n">
        <v>46024</v>
      </c>
      <c r="J84" s="2" t="n">
        <v>50</v>
      </c>
      <c r="K84" s="2" t="n">
        <v>18.35</v>
      </c>
      <c r="L84" s="2" t="n">
        <v>2.32</v>
      </c>
      <c r="M84" s="4" t="n">
        <v>7.17</v>
      </c>
      <c r="N84" s="4" t="n">
        <v>7.87</v>
      </c>
      <c r="O84" s="2" t="n">
        <v>20</v>
      </c>
      <c r="P84" s="4" t="n">
        <v>1.3</v>
      </c>
      <c r="Q84" s="4" t="n">
        <v>1.32</v>
      </c>
      <c r="R84" s="4">
        <f>G84*(L84/100)*(O84/100)</f>
        <v/>
      </c>
      <c r="S84" s="4">
        <f>G84*(K84/360/100)*J84*(O84/100)</f>
        <v/>
      </c>
      <c r="T84" s="4">
        <f>P84-R84+Q84-S84</f>
        <v/>
      </c>
    </row>
    <row r="85">
      <c r="A85" s="2" t="inlineStr">
        <is>
          <t>Oro</t>
        </is>
      </c>
      <c r="B85" s="2" t="inlineStr">
        <is>
          <t>Amarillo</t>
        </is>
      </c>
      <c r="C85" s="3" t="n">
        <v>46027</v>
      </c>
      <c r="D85" s="2" t="inlineStr">
        <is>
          <t>A89762365</t>
        </is>
      </c>
      <c r="E85" s="2" t="inlineStr">
        <is>
          <t>Canalizacio…</t>
        </is>
      </c>
      <c r="F85" s="2" t="n">
        <v>3255287</v>
      </c>
      <c r="G85" s="4" t="n">
        <v>1639.18</v>
      </c>
      <c r="H85" s="3" t="n">
        <v>45992</v>
      </c>
      <c r="I85" s="3" t="n">
        <v>46133</v>
      </c>
      <c r="J85" s="2" t="n">
        <v>26</v>
      </c>
      <c r="K85" s="2" t="n">
        <v>42.55</v>
      </c>
      <c r="L85" s="2" t="n">
        <v>0.93</v>
      </c>
      <c r="M85" s="4" t="n">
        <v>15.24</v>
      </c>
      <c r="N85" s="4" t="n">
        <v>50.37</v>
      </c>
      <c r="O85" s="2" t="n">
        <v>30</v>
      </c>
      <c r="P85" s="4" t="n">
        <v>4.61</v>
      </c>
      <c r="Q85" s="4" t="n">
        <v>14.95</v>
      </c>
      <c r="R85" s="4">
        <f>G85*(L85/100)*(O85/100)</f>
        <v/>
      </c>
      <c r="S85" s="4">
        <f>G85*(K85/360/100)*J85*(O85/100)</f>
        <v/>
      </c>
      <c r="T85" s="4">
        <f>P85-R85+Q85-S85</f>
        <v/>
      </c>
    </row>
    <row r="86">
      <c r="A86" s="2" t="inlineStr">
        <is>
          <t>Oro</t>
        </is>
      </c>
      <c r="B86" s="2" t="inlineStr">
        <is>
          <t>Amarillo</t>
        </is>
      </c>
      <c r="C86" s="3" t="n">
        <v>46027</v>
      </c>
      <c r="D86" s="2" t="inlineStr">
        <is>
          <t>A70814947</t>
        </is>
      </c>
      <c r="E86" s="2" t="inlineStr">
        <is>
          <t>Transistore…</t>
        </is>
      </c>
      <c r="F86" s="2" t="n">
        <v>2441662</v>
      </c>
      <c r="G86" s="4" t="n">
        <v>193.52</v>
      </c>
      <c r="H86" s="3" t="n">
        <v>46007</v>
      </c>
      <c r="I86" s="3" t="n">
        <v>46061</v>
      </c>
      <c r="J86" s="2" t="n">
        <v>40</v>
      </c>
      <c r="K86" s="2" t="n">
        <v>13.21</v>
      </c>
      <c r="L86" s="2" t="n">
        <v>2</v>
      </c>
      <c r="M86" s="4" t="n">
        <v>3.87</v>
      </c>
      <c r="N86" s="4" t="n">
        <v>2.84</v>
      </c>
      <c r="O86" s="2" t="n">
        <v>20</v>
      </c>
      <c r="P86" s="4" t="n">
        <v>0.85</v>
      </c>
      <c r="Q86" s="4" t="n">
        <v>0.38</v>
      </c>
      <c r="R86" s="4">
        <f>G86*(L86/100)*(O86/100)</f>
        <v/>
      </c>
      <c r="S86" s="4">
        <f>G86*(K86/360/100)*J86*(O86/100)</f>
        <v/>
      </c>
      <c r="T86" s="4">
        <f>P86-R86+Q86-S86</f>
        <v/>
      </c>
    </row>
    <row r="87">
      <c r="A87" s="2" t="inlineStr">
        <is>
          <t>Oro</t>
        </is>
      </c>
      <c r="B87" s="2" t="inlineStr">
        <is>
          <t>Amarillo</t>
        </is>
      </c>
      <c r="C87" s="3" t="n">
        <v>46027</v>
      </c>
      <c r="D87" s="2" t="inlineStr">
        <is>
          <t>B96119778</t>
        </is>
      </c>
      <c r="E87" s="2" t="inlineStr">
        <is>
          <t>Registros E…</t>
        </is>
      </c>
      <c r="F87" s="2" t="n">
        <v>4881194</v>
      </c>
      <c r="G87" s="4" t="n">
        <v>194.82</v>
      </c>
      <c r="H87" s="3" t="n">
        <v>46019</v>
      </c>
      <c r="I87" s="3" t="n">
        <v>46090</v>
      </c>
      <c r="J87" s="2" t="n">
        <v>11</v>
      </c>
      <c r="K87" s="2" t="n">
        <v>39.07</v>
      </c>
      <c r="L87" s="2" t="n">
        <v>1.8</v>
      </c>
      <c r="M87" s="4" t="n">
        <v>3.51</v>
      </c>
      <c r="N87" s="4" t="n">
        <v>2.33</v>
      </c>
      <c r="O87" s="2" t="n">
        <v>70</v>
      </c>
      <c r="P87" s="4" t="n">
        <v>2.23</v>
      </c>
      <c r="Q87" s="4" t="n">
        <v>1.42</v>
      </c>
      <c r="R87" s="4">
        <f>G87*(L87/100)*(O87/100)</f>
        <v/>
      </c>
      <c r="S87" s="4">
        <f>G87*(K87/360/100)*J87*(O87/100)</f>
        <v/>
      </c>
      <c r="T87" s="4">
        <f>P87-R87+Q87-S87</f>
        <v/>
      </c>
    </row>
    <row r="88">
      <c r="A88" s="2" t="inlineStr">
        <is>
          <t>Oro</t>
        </is>
      </c>
      <c r="B88" s="2" t="inlineStr">
        <is>
          <t>Amarillo</t>
        </is>
      </c>
      <c r="C88" s="3" t="n">
        <v>46027</v>
      </c>
      <c r="D88" s="2" t="inlineStr">
        <is>
          <t>B12464643</t>
        </is>
      </c>
      <c r="E88" s="2" t="inlineStr">
        <is>
          <t>Aditivos Gl…</t>
        </is>
      </c>
      <c r="F88" s="2" t="n">
        <v>4390070</v>
      </c>
      <c r="G88" s="4" t="n">
        <v>8223.219999999999</v>
      </c>
      <c r="H88" s="3" t="n">
        <v>45993</v>
      </c>
      <c r="I88" s="3" t="n">
        <v>46114</v>
      </c>
      <c r="J88" s="2" t="n">
        <v>33</v>
      </c>
      <c r="K88" s="2" t="n">
        <v>19.25</v>
      </c>
      <c r="L88" s="2" t="n">
        <v>1.82</v>
      </c>
      <c r="M88" s="4" t="n">
        <v>149.66</v>
      </c>
      <c r="N88" s="4" t="n">
        <v>145.11</v>
      </c>
      <c r="O88" s="2" t="n">
        <v>70</v>
      </c>
      <c r="P88" s="4" t="n">
        <v>104.89</v>
      </c>
      <c r="Q88" s="4" t="n">
        <v>101.47</v>
      </c>
      <c r="R88" s="4">
        <f>G88*(L88/100)*(O88/100)</f>
        <v/>
      </c>
      <c r="S88" s="4">
        <f>G88*(K88/360/100)*J88*(O88/100)</f>
        <v/>
      </c>
      <c r="T88" s="4">
        <f>P88-R88+Q88-S88</f>
        <v/>
      </c>
    </row>
    <row r="89">
      <c r="A89" s="2" t="inlineStr">
        <is>
          <t>Oro</t>
        </is>
      </c>
      <c r="B89" s="2" t="inlineStr">
        <is>
          <t>Amarillo</t>
        </is>
      </c>
      <c r="C89" s="3" t="n">
        <v>46027</v>
      </c>
      <c r="D89" s="2" t="inlineStr">
        <is>
          <t>A31504857</t>
        </is>
      </c>
      <c r="E89" s="2" t="inlineStr">
        <is>
          <t>Cajas Laca…</t>
        </is>
      </c>
      <c r="F89" s="2" t="n">
        <v>3556951</v>
      </c>
      <c r="G89" s="4" t="n">
        <v>9015.77</v>
      </c>
      <c r="H89" s="3" t="n">
        <v>46010</v>
      </c>
      <c r="I89" s="3" t="n">
        <v>46114</v>
      </c>
      <c r="J89" s="2" t="n">
        <v>52</v>
      </c>
      <c r="K89" s="2" t="n">
        <v>45.13</v>
      </c>
      <c r="L89" s="2" t="n">
        <v>0.52</v>
      </c>
      <c r="M89" s="4" t="n">
        <v>46.88</v>
      </c>
      <c r="N89" s="4" t="n">
        <v>587.72</v>
      </c>
      <c r="O89" s="2" t="n">
        <v>40</v>
      </c>
      <c r="P89" s="4" t="n">
        <v>18.62</v>
      </c>
      <c r="Q89" s="4" t="n">
        <v>234.83</v>
      </c>
      <c r="R89" s="4">
        <f>G89*(L89/100)*(O89/100)</f>
        <v/>
      </c>
      <c r="S89" s="4">
        <f>G89*(K89/360/100)*J89*(O89/100)</f>
        <v/>
      </c>
      <c r="T89" s="4">
        <f>P89-R89+Q89-S89</f>
        <v/>
      </c>
    </row>
    <row r="90">
      <c r="A90" s="2" t="inlineStr">
        <is>
          <t>Oro</t>
        </is>
      </c>
      <c r="B90" s="2" t="inlineStr">
        <is>
          <t>Amarillo</t>
        </is>
      </c>
      <c r="C90" s="3" t="n">
        <v>46027</v>
      </c>
      <c r="D90" s="2" t="inlineStr">
        <is>
          <t>B60803962</t>
        </is>
      </c>
      <c r="E90" s="2" t="inlineStr">
        <is>
          <t>Tintes Cent…</t>
        </is>
      </c>
      <c r="F90" s="2" t="n">
        <v>4632567</v>
      </c>
      <c r="G90" s="4" t="n">
        <v>414.73</v>
      </c>
      <c r="H90" s="3" t="n">
        <v>46011</v>
      </c>
      <c r="I90" s="3" t="n">
        <v>46174</v>
      </c>
      <c r="J90" s="2" t="n">
        <v>43</v>
      </c>
      <c r="K90" s="2" t="n">
        <v>46.08</v>
      </c>
      <c r="L90" s="2" t="n">
        <v>1.29</v>
      </c>
      <c r="M90" s="4" t="n">
        <v>5.35</v>
      </c>
      <c r="N90" s="4" t="n">
        <v>22.83</v>
      </c>
      <c r="O90" s="2" t="n">
        <v>40</v>
      </c>
      <c r="P90" s="4" t="n">
        <v>2.18</v>
      </c>
      <c r="Q90" s="4" t="n">
        <v>9.279999999999999</v>
      </c>
      <c r="R90" s="4">
        <f>G90*(L90/100)*(O90/100)</f>
        <v/>
      </c>
      <c r="S90" s="4">
        <f>G90*(K90/360/100)*J90*(O90/100)</f>
        <v/>
      </c>
      <c r="T90" s="4">
        <f>P90-R90+Q90-S90</f>
        <v/>
      </c>
    </row>
    <row r="91">
      <c r="A91" s="2" t="inlineStr">
        <is>
          <t>Oro</t>
        </is>
      </c>
      <c r="B91" s="2" t="inlineStr">
        <is>
          <t>Amarillo</t>
        </is>
      </c>
      <c r="C91" s="3" t="n">
        <v>46027</v>
      </c>
      <c r="D91" s="2" t="inlineStr">
        <is>
          <t>B07314170</t>
        </is>
      </c>
      <c r="E91" s="2" t="inlineStr">
        <is>
          <t>Espumas R…</t>
        </is>
      </c>
      <c r="F91" s="2" t="n">
        <v>2207665</v>
      </c>
      <c r="G91" s="4" t="n">
        <v>441.36</v>
      </c>
      <c r="H91" s="3" t="n">
        <v>46005</v>
      </c>
      <c r="I91" s="3" t="n">
        <v>46147</v>
      </c>
      <c r="J91" s="2" t="n">
        <v>30</v>
      </c>
      <c r="K91" s="2" t="n">
        <v>37.73</v>
      </c>
      <c r="L91" s="2" t="n">
        <v>0.91</v>
      </c>
      <c r="M91" s="4" t="n">
        <v>4.02</v>
      </c>
      <c r="N91" s="4" t="n">
        <v>13.88</v>
      </c>
      <c r="O91" s="2" t="n">
        <v>40</v>
      </c>
      <c r="P91" s="4" t="n">
        <v>1.45</v>
      </c>
      <c r="Q91" s="4" t="n">
        <v>5.41</v>
      </c>
      <c r="R91" s="4">
        <f>G91*(L91/100)*(O91/100)</f>
        <v/>
      </c>
      <c r="S91" s="4">
        <f>G91*(K91/360/100)*J91*(O91/100)</f>
        <v/>
      </c>
      <c r="T91" s="4">
        <f>P91-R91+Q91-S91</f>
        <v/>
      </c>
    </row>
    <row r="92">
      <c r="A92" s="2" t="inlineStr">
        <is>
          <t>Oro</t>
        </is>
      </c>
      <c r="B92" s="2" t="inlineStr">
        <is>
          <t>Amarillo</t>
        </is>
      </c>
      <c r="C92" s="3" t="n">
        <v>46027</v>
      </c>
      <c r="D92" s="2" t="inlineStr">
        <is>
          <t>B06573501</t>
        </is>
      </c>
      <c r="E92" s="2" t="inlineStr">
        <is>
          <t>Cajas Preci…</t>
        </is>
      </c>
      <c r="F92" s="2" t="n">
        <v>2756497</v>
      </c>
      <c r="G92" s="4" t="n">
        <v>9108.950000000001</v>
      </c>
      <c r="H92" s="3" t="n">
        <v>45996</v>
      </c>
      <c r="I92" s="3" t="n">
        <v>46100</v>
      </c>
      <c r="J92" s="2" t="n">
        <v>84</v>
      </c>
      <c r="K92" s="2" t="n">
        <v>16.03</v>
      </c>
      <c r="L92" s="2" t="n">
        <v>1.33</v>
      </c>
      <c r="M92" s="4" t="n">
        <v>121.15</v>
      </c>
      <c r="N92" s="4" t="n">
        <v>340.71</v>
      </c>
      <c r="O92" s="2" t="n">
        <v>20</v>
      </c>
      <c r="P92" s="4" t="n">
        <v>24.46</v>
      </c>
      <c r="Q92" s="4" t="n">
        <v>68.06</v>
      </c>
      <c r="R92" s="4">
        <f>G92*(L92/100)*(O92/100)</f>
        <v/>
      </c>
      <c r="S92" s="4">
        <f>G92*(K92/360/100)*J92*(O92/100)</f>
        <v/>
      </c>
      <c r="T92" s="4">
        <f>P92-R92+Q92-S92</f>
        <v/>
      </c>
    </row>
    <row r="93">
      <c r="A93" s="2" t="inlineStr">
        <is>
          <t>Oro</t>
        </is>
      </c>
      <c r="B93" s="2" t="inlineStr">
        <is>
          <t>Amarillo</t>
        </is>
      </c>
      <c r="C93" s="3" t="n">
        <v>46027</v>
      </c>
      <c r="D93" s="2" t="inlineStr">
        <is>
          <t>A98121364</t>
        </is>
      </c>
      <c r="E93" s="2" t="inlineStr">
        <is>
          <t>Granulados…</t>
        </is>
      </c>
      <c r="F93" s="2" t="n">
        <v>2572245</v>
      </c>
      <c r="G93" s="4" t="n">
        <v>596.4</v>
      </c>
      <c r="H93" s="3" t="n">
        <v>45994</v>
      </c>
      <c r="I93" s="3" t="n">
        <v>46123</v>
      </c>
      <c r="J93" s="2" t="n">
        <v>74</v>
      </c>
      <c r="K93" s="2" t="n">
        <v>34.33</v>
      </c>
      <c r="L93" s="2" t="n">
        <v>2.06</v>
      </c>
      <c r="M93" s="4" t="n">
        <v>12.29</v>
      </c>
      <c r="N93" s="4" t="n">
        <v>42.09</v>
      </c>
      <c r="O93" s="2" t="n">
        <v>40</v>
      </c>
      <c r="P93" s="4" t="n">
        <v>4.77</v>
      </c>
      <c r="Q93" s="4" t="n">
        <v>16.93</v>
      </c>
      <c r="R93" s="4">
        <f>G93*(L93/100)*(O93/100)</f>
        <v/>
      </c>
      <c r="S93" s="4">
        <f>G93*(K93/360/100)*J93*(O93/100)</f>
        <v/>
      </c>
      <c r="T93" s="4">
        <f>P93-R93+Q93-S93</f>
        <v/>
      </c>
    </row>
    <row r="94">
      <c r="A94" s="2" t="inlineStr">
        <is>
          <t>Oro</t>
        </is>
      </c>
      <c r="B94" s="2" t="inlineStr">
        <is>
          <t>Amarillo</t>
        </is>
      </c>
      <c r="C94" s="3" t="n">
        <v>46027</v>
      </c>
      <c r="D94" s="2" t="inlineStr">
        <is>
          <t>A40684521</t>
        </is>
      </c>
      <c r="E94" s="2" t="inlineStr">
        <is>
          <t>Resistencia…</t>
        </is>
      </c>
      <c r="F94" s="2" t="n">
        <v>2384587</v>
      </c>
      <c r="G94" s="4" t="n">
        <v>9726.700000000001</v>
      </c>
      <c r="H94" s="3" t="n">
        <v>46003</v>
      </c>
      <c r="I94" s="3" t="n">
        <v>46201</v>
      </c>
      <c r="J94" s="2" t="n">
        <v>60</v>
      </c>
      <c r="K94" s="2" t="n">
        <v>25.58</v>
      </c>
      <c r="L94" s="2" t="n">
        <v>1.62</v>
      </c>
      <c r="M94" s="4" t="n">
        <v>157.57</v>
      </c>
      <c r="N94" s="4" t="n">
        <v>414.68</v>
      </c>
      <c r="O94" s="2" t="n">
        <v>20</v>
      </c>
      <c r="P94" s="4" t="n">
        <v>31.67</v>
      </c>
      <c r="Q94" s="4" t="n">
        <v>82.66</v>
      </c>
      <c r="R94" s="4">
        <f>G94*(L94/100)*(O94/100)</f>
        <v/>
      </c>
      <c r="S94" s="4">
        <f>G94*(K94/360/100)*J94*(O94/100)</f>
        <v/>
      </c>
      <c r="T94" s="4">
        <f>P94-R94+Q94-S94</f>
        <v/>
      </c>
    </row>
    <row r="95">
      <c r="A95" s="2" t="inlineStr">
        <is>
          <t>Oro</t>
        </is>
      </c>
      <c r="B95" s="2" t="inlineStr">
        <is>
          <t>Amarillo</t>
        </is>
      </c>
      <c r="C95" s="3" t="n">
        <v>46027</v>
      </c>
      <c r="D95" s="2" t="inlineStr">
        <is>
          <t>A14358012</t>
        </is>
      </c>
      <c r="E95" s="2" t="inlineStr">
        <is>
          <t>Tejidos Sat…</t>
        </is>
      </c>
      <c r="F95" s="2" t="n">
        <v>2648550</v>
      </c>
      <c r="G95" s="4" t="n">
        <v>827.64</v>
      </c>
      <c r="H95" s="3" t="n">
        <v>46003</v>
      </c>
      <c r="I95" s="3" t="n">
        <v>46198</v>
      </c>
      <c r="J95" s="2" t="n">
        <v>83</v>
      </c>
      <c r="K95" s="2" t="n">
        <v>43.45</v>
      </c>
      <c r="L95" s="2" t="n">
        <v>2.78</v>
      </c>
      <c r="M95" s="4" t="n">
        <v>23.01</v>
      </c>
      <c r="N95" s="4" t="n">
        <v>82.91</v>
      </c>
      <c r="O95" s="2" t="n">
        <v>60</v>
      </c>
      <c r="P95" s="4" t="n">
        <v>13.99</v>
      </c>
      <c r="Q95" s="4" t="n">
        <v>49.61</v>
      </c>
      <c r="R95" s="4">
        <f>G95*(L95/100)*(O95/100)</f>
        <v/>
      </c>
      <c r="S95" s="4">
        <f>G95*(K95/360/100)*J95*(O95/100)</f>
        <v/>
      </c>
      <c r="T95" s="4">
        <f>P95-R95+Q95-S95</f>
        <v/>
      </c>
    </row>
    <row r="96">
      <c r="A96" s="2" t="inlineStr">
        <is>
          <t>Oro</t>
        </is>
      </c>
      <c r="B96" s="2" t="inlineStr">
        <is>
          <t>Amarillo</t>
        </is>
      </c>
      <c r="C96" s="3" t="n">
        <v>46027</v>
      </c>
      <c r="D96" s="2" t="inlineStr">
        <is>
          <t>A99221928</t>
        </is>
      </c>
      <c r="E96" s="2" t="inlineStr">
        <is>
          <t>Mármoles I…</t>
        </is>
      </c>
      <c r="F96" s="2" t="n">
        <v>3824601</v>
      </c>
      <c r="G96" s="4" t="n">
        <v>2365.41</v>
      </c>
      <c r="H96" s="3" t="n">
        <v>46006</v>
      </c>
      <c r="I96" s="3" t="n">
        <v>46099</v>
      </c>
      <c r="J96" s="2" t="n">
        <v>84</v>
      </c>
      <c r="K96" s="2" t="n">
        <v>46.41</v>
      </c>
      <c r="L96" s="2" t="n">
        <v>2.55</v>
      </c>
      <c r="M96" s="4" t="n">
        <v>60.32</v>
      </c>
      <c r="N96" s="4" t="n">
        <v>256.15</v>
      </c>
      <c r="O96" s="2" t="n">
        <v>40</v>
      </c>
      <c r="P96" s="4" t="n">
        <v>24.26</v>
      </c>
      <c r="Q96" s="4" t="n">
        <v>102.51</v>
      </c>
      <c r="R96" s="4">
        <f>G96*(L96/100)*(O96/100)</f>
        <v/>
      </c>
      <c r="S96" s="4">
        <f>G96*(K96/360/100)*J96*(O96/100)</f>
        <v/>
      </c>
      <c r="T96" s="4">
        <f>P96-R96+Q96-S96</f>
        <v/>
      </c>
    </row>
    <row r="97">
      <c r="A97" s="2" t="inlineStr">
        <is>
          <t>Oro</t>
        </is>
      </c>
      <c r="B97" s="2" t="inlineStr">
        <is>
          <t>Amarillo</t>
        </is>
      </c>
      <c r="C97" s="3" t="n">
        <v>46027</v>
      </c>
      <c r="D97" s="2" t="inlineStr">
        <is>
          <t>B34710294</t>
        </is>
      </c>
      <c r="E97" s="2" t="inlineStr">
        <is>
          <t>Tarimas Ca…</t>
        </is>
      </c>
      <c r="F97" s="2" t="n">
        <v>4397819</v>
      </c>
      <c r="G97" s="4" t="n">
        <v>698.9400000000001</v>
      </c>
      <c r="H97" s="3" t="n">
        <v>45998</v>
      </c>
      <c r="I97" s="3" t="n">
        <v>46081</v>
      </c>
      <c r="J97" s="2" t="n">
        <v>83</v>
      </c>
      <c r="K97" s="2" t="n">
        <v>30.26</v>
      </c>
      <c r="L97" s="2" t="n">
        <v>2.16</v>
      </c>
      <c r="M97" s="4" t="n">
        <v>15.1</v>
      </c>
      <c r="N97" s="4" t="n">
        <v>48.76</v>
      </c>
      <c r="O97" s="2" t="n">
        <v>70</v>
      </c>
      <c r="P97" s="4" t="n">
        <v>10.75</v>
      </c>
      <c r="Q97" s="4" t="n">
        <v>34.4</v>
      </c>
      <c r="R97" s="4">
        <f>G97*(L97/100)*(O97/100)</f>
        <v/>
      </c>
      <c r="S97" s="4">
        <f>G97*(K97/360/100)*J97*(O97/100)</f>
        <v/>
      </c>
      <c r="T97" s="4">
        <f>P97-R97+Q97-S97</f>
        <v/>
      </c>
    </row>
    <row r="98">
      <c r="A98" s="2" t="inlineStr">
        <is>
          <t>Oro</t>
        </is>
      </c>
      <c r="B98" s="2" t="inlineStr">
        <is>
          <t>Amarillo</t>
        </is>
      </c>
      <c r="C98" s="3" t="n">
        <v>46027</v>
      </c>
      <c r="D98" s="2" t="inlineStr">
        <is>
          <t>B04173681</t>
        </is>
      </c>
      <c r="E98" s="2" t="inlineStr">
        <is>
          <t>Bridas Can…</t>
        </is>
      </c>
      <c r="F98" s="2" t="n">
        <v>4907019</v>
      </c>
      <c r="G98" s="4" t="n">
        <v>369.57</v>
      </c>
      <c r="H98" s="3" t="n">
        <v>45992</v>
      </c>
      <c r="I98" s="3" t="n">
        <v>46069</v>
      </c>
      <c r="J98" s="2" t="n">
        <v>42</v>
      </c>
      <c r="K98" s="2" t="n">
        <v>15.05</v>
      </c>
      <c r="L98" s="2" t="n">
        <v>2.83</v>
      </c>
      <c r="M98" s="4" t="n">
        <v>10.46</v>
      </c>
      <c r="N98" s="4" t="n">
        <v>6.49</v>
      </c>
      <c r="O98" s="2" t="n">
        <v>30</v>
      </c>
      <c r="P98" s="4" t="n">
        <v>3.36</v>
      </c>
      <c r="Q98" s="4" t="n">
        <v>2.09</v>
      </c>
      <c r="R98" s="4">
        <f>G98*(L98/100)*(O98/100)</f>
        <v/>
      </c>
      <c r="S98" s="4">
        <f>G98*(K98/360/100)*J98*(O98/100)</f>
        <v/>
      </c>
      <c r="T98" s="4">
        <f>P98-R98+Q98-S98</f>
        <v/>
      </c>
    </row>
    <row r="99">
      <c r="A99" s="2" t="inlineStr">
        <is>
          <t>Oro</t>
        </is>
      </c>
      <c r="B99" s="2" t="inlineStr">
        <is>
          <t>Amarillo</t>
        </is>
      </c>
      <c r="C99" s="3" t="n">
        <v>46027</v>
      </c>
      <c r="D99" s="2" t="inlineStr">
        <is>
          <t>A87659735</t>
        </is>
      </c>
      <c r="E99" s="2" t="inlineStr">
        <is>
          <t>Cápsulas U…</t>
        </is>
      </c>
      <c r="F99" s="2" t="n">
        <v>3732337</v>
      </c>
      <c r="G99" s="4" t="n">
        <v>330.52</v>
      </c>
      <c r="H99" s="3" t="n">
        <v>46012</v>
      </c>
      <c r="I99" s="3" t="n">
        <v>46089</v>
      </c>
      <c r="J99" s="2" t="n">
        <v>28</v>
      </c>
      <c r="K99" s="2" t="n">
        <v>40.61</v>
      </c>
      <c r="L99" s="2" t="n">
        <v>2.22</v>
      </c>
      <c r="M99" s="4" t="n">
        <v>7.34</v>
      </c>
      <c r="N99" s="4" t="n">
        <v>10.44</v>
      </c>
      <c r="O99" s="2" t="n">
        <v>50</v>
      </c>
      <c r="P99" s="4" t="n">
        <v>3.93</v>
      </c>
      <c r="Q99" s="4" t="n">
        <v>5.51</v>
      </c>
      <c r="R99" s="4">
        <f>G99*(L99/100)*(O99/100)</f>
        <v/>
      </c>
      <c r="S99" s="4">
        <f>G99*(K99/360/100)*J99*(O99/100)</f>
        <v/>
      </c>
      <c r="T99" s="4">
        <f>P99-R99+Q99-S99</f>
        <v/>
      </c>
    </row>
    <row r="100">
      <c r="A100" s="2" t="inlineStr">
        <is>
          <t>Oro</t>
        </is>
      </c>
      <c r="B100" s="2" t="inlineStr">
        <is>
          <t>Amarillo</t>
        </is>
      </c>
      <c r="C100" s="3" t="n">
        <v>46027</v>
      </c>
      <c r="D100" s="2" t="inlineStr">
        <is>
          <t>A82949845</t>
        </is>
      </c>
      <c r="E100" s="2" t="inlineStr">
        <is>
          <t>Reactivos…</t>
        </is>
      </c>
      <c r="F100" s="2" t="n">
        <v>4468517</v>
      </c>
      <c r="G100" s="4" t="n">
        <v>3739.02</v>
      </c>
      <c r="H100" s="3" t="n">
        <v>46002</v>
      </c>
      <c r="I100" s="3" t="n">
        <v>46028</v>
      </c>
      <c r="J100" s="2" t="n">
        <v>62</v>
      </c>
      <c r="K100" s="2" t="n">
        <v>30.07</v>
      </c>
      <c r="L100" s="2" t="n">
        <v>1.92</v>
      </c>
      <c r="M100" s="4" t="n">
        <v>71.79000000000001</v>
      </c>
      <c r="N100" s="4" t="n">
        <v>193.63</v>
      </c>
      <c r="O100" s="2" t="n">
        <v>40</v>
      </c>
      <c r="P100" s="4" t="n">
        <v>28.54</v>
      </c>
      <c r="Q100" s="4" t="n">
        <v>77.55</v>
      </c>
      <c r="R100" s="4">
        <f>G100*(L100/100)*(O100/100)</f>
        <v/>
      </c>
      <c r="S100" s="4">
        <f>G100*(K100/360/100)*J100*(O100/100)</f>
        <v/>
      </c>
      <c r="T100" s="4">
        <f>P100-R100+Q100-S100</f>
        <v/>
      </c>
    </row>
    <row r="101">
      <c r="A101" s="2" t="inlineStr">
        <is>
          <t>Oro</t>
        </is>
      </c>
      <c r="B101" s="2" t="inlineStr">
        <is>
          <t>Amarillo</t>
        </is>
      </c>
      <c r="C101" s="3" t="n">
        <v>46027</v>
      </c>
      <c r="D101" s="2" t="inlineStr">
        <is>
          <t>A53918704</t>
        </is>
      </c>
      <c r="E101" s="2" t="inlineStr">
        <is>
          <t>Remolques…</t>
        </is>
      </c>
      <c r="F101" s="2" t="n">
        <v>2217384</v>
      </c>
      <c r="G101" s="4" t="n">
        <v>867.5</v>
      </c>
      <c r="H101" s="3" t="n">
        <v>45998</v>
      </c>
      <c r="I101" s="3" t="n">
        <v>46029</v>
      </c>
      <c r="J101" s="2" t="n">
        <v>60</v>
      </c>
      <c r="K101" s="2" t="n">
        <v>39.27</v>
      </c>
      <c r="L101" s="2" t="n">
        <v>2.23</v>
      </c>
      <c r="M101" s="4" t="n">
        <v>19.35</v>
      </c>
      <c r="N101" s="4" t="n">
        <v>56.78</v>
      </c>
      <c r="O101" s="2" t="n">
        <v>20</v>
      </c>
      <c r="P101" s="4" t="n">
        <v>4.12</v>
      </c>
      <c r="Q101" s="4" t="n">
        <v>11.4</v>
      </c>
      <c r="R101" s="4">
        <f>G101*(L101/100)*(O101/100)</f>
        <v/>
      </c>
      <c r="S101" s="4">
        <f>G101*(K101/360/100)*J101*(O101/100)</f>
        <v/>
      </c>
      <c r="T101" s="4">
        <f>P101-R101+Q101-S101</f>
        <v/>
      </c>
    </row>
    <row r="102">
      <c r="A102" s="2" t="inlineStr">
        <is>
          <t>Oro</t>
        </is>
      </c>
      <c r="B102" s="2" t="inlineStr">
        <is>
          <t>Amarillo</t>
        </is>
      </c>
      <c r="C102" s="3" t="n">
        <v>46027</v>
      </c>
      <c r="D102" s="2" t="inlineStr">
        <is>
          <t>B80288919</t>
        </is>
      </c>
      <c r="E102" s="2" t="inlineStr">
        <is>
          <t>Hilaturas M…</t>
        </is>
      </c>
      <c r="F102" s="2" t="n">
        <v>2981128</v>
      </c>
      <c r="G102" s="4" t="n">
        <v>263.94</v>
      </c>
      <c r="H102" s="3" t="n">
        <v>45997</v>
      </c>
      <c r="I102" s="3" t="n">
        <v>46102</v>
      </c>
      <c r="J102" s="2" t="n">
        <v>43</v>
      </c>
      <c r="K102" s="2" t="n">
        <v>37.12</v>
      </c>
      <c r="L102" s="2" t="n">
        <v>1.65</v>
      </c>
      <c r="M102" s="4" t="n">
        <v>4.36</v>
      </c>
      <c r="N102" s="4" t="n">
        <v>11.7</v>
      </c>
      <c r="O102" s="2" t="n">
        <v>30</v>
      </c>
      <c r="P102" s="4" t="n">
        <v>1.01</v>
      </c>
      <c r="Q102" s="4" t="n">
        <v>3.63</v>
      </c>
      <c r="R102" s="4">
        <f>G102*(L102/100)*(O102/100)</f>
        <v/>
      </c>
      <c r="S102" s="4">
        <f>G102*(K102/360/100)*J102*(O102/100)</f>
        <v/>
      </c>
      <c r="T102" s="4">
        <f>P102-R102+Q102-S102</f>
        <v/>
      </c>
    </row>
    <row r="103">
      <c r="A103" s="2" t="inlineStr">
        <is>
          <t>Oro</t>
        </is>
      </c>
      <c r="B103" s="2" t="inlineStr">
        <is>
          <t>Amarillo</t>
        </is>
      </c>
      <c r="C103" s="3" t="n">
        <v>46027</v>
      </c>
      <c r="D103" s="2" t="inlineStr">
        <is>
          <t>B08366022</t>
        </is>
      </c>
      <c r="E103" s="2" t="inlineStr">
        <is>
          <t>Prefabricad…</t>
        </is>
      </c>
      <c r="F103" s="2" t="n">
        <v>1606564</v>
      </c>
      <c r="G103" s="4" t="n">
        <v>309.27</v>
      </c>
      <c r="H103" s="3" t="n">
        <v>46018</v>
      </c>
      <c r="I103" s="3" t="n">
        <v>46190</v>
      </c>
      <c r="J103" s="2" t="n">
        <v>60</v>
      </c>
      <c r="K103" s="2" t="n">
        <v>40.35</v>
      </c>
      <c r="L103" s="2" t="n">
        <v>1.66</v>
      </c>
      <c r="M103" s="4" t="n">
        <v>5.13</v>
      </c>
      <c r="N103" s="4" t="n">
        <v>20.8</v>
      </c>
      <c r="O103" s="2" t="n">
        <v>60</v>
      </c>
      <c r="P103" s="4" t="n">
        <v>2.8</v>
      </c>
      <c r="Q103" s="4" t="n">
        <v>12.31</v>
      </c>
      <c r="R103" s="4">
        <f>G103*(L103/100)*(O103/100)</f>
        <v/>
      </c>
      <c r="S103" s="4">
        <f>G103*(K103/360/100)*J103*(O103/100)</f>
        <v/>
      </c>
      <c r="T103" s="4">
        <f>P103-R103+Q103-S103</f>
        <v/>
      </c>
    </row>
    <row r="104">
      <c r="A104" s="2" t="inlineStr">
        <is>
          <t>Oro</t>
        </is>
      </c>
      <c r="B104" s="2" t="inlineStr">
        <is>
          <t>Amarillo</t>
        </is>
      </c>
      <c r="C104" s="3" t="n">
        <v>46027</v>
      </c>
      <c r="D104" s="2" t="inlineStr">
        <is>
          <t>A55284133</t>
        </is>
      </c>
      <c r="E104" s="2" t="inlineStr">
        <is>
          <t>Disolventes…</t>
        </is>
      </c>
      <c r="F104" s="2" t="n">
        <v>3346459</v>
      </c>
      <c r="G104" s="4" t="n">
        <v>5445.94</v>
      </c>
      <c r="H104" s="3" t="n">
        <v>45993</v>
      </c>
      <c r="I104" s="3" t="n">
        <v>46080</v>
      </c>
      <c r="J104" s="2" t="n">
        <v>40</v>
      </c>
      <c r="K104" s="2" t="n">
        <v>41.08</v>
      </c>
      <c r="L104" s="2" t="n">
        <v>1.35</v>
      </c>
      <c r="M104" s="4" t="n">
        <v>73.52</v>
      </c>
      <c r="N104" s="4" t="n">
        <v>248.58</v>
      </c>
      <c r="O104" s="2" t="n">
        <v>70</v>
      </c>
      <c r="P104" s="4" t="n">
        <v>51.26</v>
      </c>
      <c r="Q104" s="4" t="n">
        <v>173.92</v>
      </c>
      <c r="R104" s="4">
        <f>G104*(L104/100)*(O104/100)</f>
        <v/>
      </c>
      <c r="S104" s="4">
        <f>G104*(K104/360/100)*J104*(O104/100)</f>
        <v/>
      </c>
      <c r="T104" s="4">
        <f>P104-R104+Q104-S104</f>
        <v/>
      </c>
    </row>
    <row r="105">
      <c r="A105" s="2" t="inlineStr">
        <is>
          <t>Oro</t>
        </is>
      </c>
      <c r="B105" s="2" t="inlineStr">
        <is>
          <t>Amarillo</t>
        </is>
      </c>
      <c r="C105" s="3" t="n">
        <v>46027</v>
      </c>
      <c r="D105" s="2" t="inlineStr">
        <is>
          <t>B01133530</t>
        </is>
      </c>
      <c r="E105" s="2" t="inlineStr">
        <is>
          <t>Aromas Pio…</t>
        </is>
      </c>
      <c r="F105" s="2" t="n">
        <v>4970951</v>
      </c>
      <c r="G105" s="4" t="n">
        <v>271.35</v>
      </c>
      <c r="H105" s="3" t="n">
        <v>46018</v>
      </c>
      <c r="I105" s="3" t="n">
        <v>46116</v>
      </c>
      <c r="J105" s="2" t="n">
        <v>43</v>
      </c>
      <c r="K105" s="2" t="n">
        <v>14.66</v>
      </c>
      <c r="L105" s="2" t="n">
        <v>2.95</v>
      </c>
      <c r="M105" s="4" t="n">
        <v>8</v>
      </c>
      <c r="N105" s="4" t="n">
        <v>4.75</v>
      </c>
      <c r="O105" s="2" t="n">
        <v>60</v>
      </c>
      <c r="P105" s="4" t="n">
        <v>4.68</v>
      </c>
      <c r="Q105" s="4" t="n">
        <v>2.87</v>
      </c>
      <c r="R105" s="4">
        <f>G105*(L105/100)*(O105/100)</f>
        <v/>
      </c>
      <c r="S105" s="4">
        <f>G105*(K105/360/100)*J105*(O105/100)</f>
        <v/>
      </c>
      <c r="T105" s="4">
        <f>P105-R105+Q105-S105</f>
        <v/>
      </c>
    </row>
    <row r="106">
      <c r="A106" s="2" t="inlineStr">
        <is>
          <t>Oro</t>
        </is>
      </c>
      <c r="B106" s="2" t="inlineStr">
        <is>
          <t>Amarillo</t>
        </is>
      </c>
      <c r="C106" s="3" t="n">
        <v>46027</v>
      </c>
      <c r="D106" s="2" t="inlineStr">
        <is>
          <t>B51934390</t>
        </is>
      </c>
      <c r="E106" s="2" t="inlineStr">
        <is>
          <t>Digitalizaci…</t>
        </is>
      </c>
      <c r="F106" s="2" t="n">
        <v>3519893</v>
      </c>
      <c r="G106" s="4" t="n">
        <v>838.75</v>
      </c>
      <c r="H106" s="3" t="n">
        <v>45994</v>
      </c>
      <c r="I106" s="3" t="n">
        <v>46033</v>
      </c>
      <c r="J106" s="2" t="n">
        <v>64</v>
      </c>
      <c r="K106" s="2" t="n">
        <v>34.62</v>
      </c>
      <c r="L106" s="2" t="n">
        <v>0.51</v>
      </c>
      <c r="M106" s="4" t="n">
        <v>4.28</v>
      </c>
      <c r="N106" s="4" t="n">
        <v>51.62</v>
      </c>
      <c r="O106" s="2" t="n">
        <v>60</v>
      </c>
      <c r="P106" s="4" t="n">
        <v>2.78</v>
      </c>
      <c r="Q106" s="4" t="n">
        <v>31.14</v>
      </c>
      <c r="R106" s="4">
        <f>G106*(L106/100)*(O106/100)</f>
        <v/>
      </c>
      <c r="S106" s="4">
        <f>G106*(K106/360/100)*J106*(O106/100)</f>
        <v/>
      </c>
      <c r="T106" s="4">
        <f>P106-R106+Q106-S106</f>
        <v/>
      </c>
    </row>
    <row r="107">
      <c r="A107" s="2" t="inlineStr">
        <is>
          <t>Oro</t>
        </is>
      </c>
      <c r="B107" s="2" t="inlineStr">
        <is>
          <t>Amarillo</t>
        </is>
      </c>
      <c r="C107" s="3" t="n">
        <v>46027</v>
      </c>
      <c r="D107" s="2" t="inlineStr">
        <is>
          <t>B71410048</t>
        </is>
      </c>
      <c r="E107" s="2" t="inlineStr">
        <is>
          <t>Transistore…</t>
        </is>
      </c>
      <c r="F107" s="2" t="n">
        <v>3967299</v>
      </c>
      <c r="G107" s="4" t="n">
        <v>155.38</v>
      </c>
      <c r="H107" s="3" t="n">
        <v>45999</v>
      </c>
      <c r="I107" s="3" t="n">
        <v>46027</v>
      </c>
      <c r="J107" s="2" t="n">
        <v>55</v>
      </c>
      <c r="K107" s="2" t="n">
        <v>24.33</v>
      </c>
      <c r="L107" s="2" t="n">
        <v>2</v>
      </c>
      <c r="M107" s="4" t="n">
        <v>3.11</v>
      </c>
      <c r="N107" s="4" t="n">
        <v>5.78</v>
      </c>
      <c r="O107" s="2" t="n">
        <v>30</v>
      </c>
      <c r="P107" s="4" t="n">
        <v>1.17</v>
      </c>
      <c r="Q107" s="4" t="n">
        <v>1.52</v>
      </c>
      <c r="R107" s="4">
        <f>G107*(L107/100)*(O107/100)</f>
        <v/>
      </c>
      <c r="S107" s="4">
        <f>G107*(K107/360/100)*J107*(O107/100)</f>
        <v/>
      </c>
      <c r="T107" s="4">
        <f>P107-R107+Q107-S107</f>
        <v/>
      </c>
    </row>
    <row r="108">
      <c r="A108" s="2" t="inlineStr">
        <is>
          <t>Oro</t>
        </is>
      </c>
      <c r="B108" s="2" t="inlineStr">
        <is>
          <t>Amarillo</t>
        </is>
      </c>
      <c r="C108" s="3" t="n">
        <v>46027</v>
      </c>
      <c r="D108" s="2" t="inlineStr">
        <is>
          <t>A32573279</t>
        </is>
      </c>
      <c r="E108" s="2" t="inlineStr">
        <is>
          <t>Aislamiento…</t>
        </is>
      </c>
      <c r="F108" s="2" t="n">
        <v>4786278</v>
      </c>
      <c r="G108" s="4" t="n">
        <v>783.0700000000001</v>
      </c>
      <c r="H108" s="3" t="n">
        <v>46003</v>
      </c>
      <c r="I108" s="3" t="n">
        <v>46126</v>
      </c>
      <c r="J108" s="2" t="n">
        <v>40</v>
      </c>
      <c r="K108" s="2" t="n">
        <v>48.91</v>
      </c>
      <c r="L108" s="2" t="n">
        <v>2.9</v>
      </c>
      <c r="M108" s="4" t="n">
        <v>22.71</v>
      </c>
      <c r="N108" s="4" t="n">
        <v>42.56</v>
      </c>
      <c r="O108" s="2" t="n">
        <v>30</v>
      </c>
      <c r="P108" s="4" t="n">
        <v>6.57</v>
      </c>
      <c r="Q108" s="4" t="n">
        <v>12.6</v>
      </c>
      <c r="R108" s="4">
        <f>G108*(L108/100)*(O108/100)</f>
        <v/>
      </c>
      <c r="S108" s="4">
        <f>G108*(K108/360/100)*J108*(O108/100)</f>
        <v/>
      </c>
      <c r="T108" s="4">
        <f>P108-R108+Q108-S108</f>
        <v/>
      </c>
    </row>
    <row r="109">
      <c r="A109" s="2" t="inlineStr">
        <is>
          <t>Oro</t>
        </is>
      </c>
      <c r="B109" s="2" t="inlineStr">
        <is>
          <t>Amarillo</t>
        </is>
      </c>
      <c r="C109" s="3" t="n">
        <v>46027</v>
      </c>
      <c r="D109" s="2" t="inlineStr">
        <is>
          <t>B51300901</t>
        </is>
      </c>
      <c r="E109" s="2" t="inlineStr">
        <is>
          <t>Proteínas P…</t>
        </is>
      </c>
      <c r="F109" s="2" t="n">
        <v>2367923</v>
      </c>
      <c r="G109" s="4" t="n">
        <v>7053.23</v>
      </c>
      <c r="H109" s="3" t="n">
        <v>46005</v>
      </c>
      <c r="I109" s="3" t="n">
        <v>46081</v>
      </c>
      <c r="J109" s="2" t="n">
        <v>42</v>
      </c>
      <c r="K109" s="2" t="n">
        <v>17.53</v>
      </c>
      <c r="L109" s="2" t="n">
        <v>1.27</v>
      </c>
      <c r="M109" s="4" t="n">
        <v>89.58</v>
      </c>
      <c r="N109" s="4" t="n">
        <v>144.25</v>
      </c>
      <c r="O109" s="2" t="n">
        <v>70</v>
      </c>
      <c r="P109" s="4" t="n">
        <v>62.94</v>
      </c>
      <c r="Q109" s="4" t="n">
        <v>100.76</v>
      </c>
      <c r="R109" s="4">
        <f>G109*(L109/100)*(O109/100)</f>
        <v/>
      </c>
      <c r="S109" s="4">
        <f>G109*(K109/360/100)*J109*(O109/100)</f>
        <v/>
      </c>
      <c r="T109" s="4">
        <f>P109-R109+Q109-S109</f>
        <v/>
      </c>
    </row>
    <row r="110">
      <c r="A110" s="2" t="inlineStr">
        <is>
          <t>Oro</t>
        </is>
      </c>
      <c r="B110" s="2" t="inlineStr">
        <is>
          <t>Amarillo</t>
        </is>
      </c>
      <c r="C110" s="3" t="n">
        <v>46027</v>
      </c>
      <c r="D110" s="2" t="inlineStr">
        <is>
          <t>A06023272</t>
        </is>
      </c>
      <c r="E110" s="2" t="inlineStr">
        <is>
          <t>Filtrados Gr…</t>
        </is>
      </c>
      <c r="F110" s="2" t="n">
        <v>1528718</v>
      </c>
      <c r="G110" s="4" t="n">
        <v>184.9</v>
      </c>
      <c r="H110" s="3" t="n">
        <v>46008</v>
      </c>
      <c r="I110" s="3" t="n">
        <v>46097</v>
      </c>
      <c r="J110" s="2" t="n">
        <v>12</v>
      </c>
      <c r="K110" s="2" t="n">
        <v>29.82</v>
      </c>
      <c r="L110" s="2" t="n">
        <v>1.81</v>
      </c>
      <c r="M110" s="4" t="n">
        <v>3.35</v>
      </c>
      <c r="N110" s="4" t="n">
        <v>1.84</v>
      </c>
      <c r="O110" s="2" t="n">
        <v>20</v>
      </c>
      <c r="P110" s="4" t="n">
        <v>0.55</v>
      </c>
      <c r="Q110" s="4" t="n">
        <v>0.43</v>
      </c>
      <c r="R110" s="4">
        <f>G110*(L110/100)*(O110/100)</f>
        <v/>
      </c>
      <c r="S110" s="4">
        <f>G110*(K110/360/100)*J110*(O110/100)</f>
        <v/>
      </c>
      <c r="T110" s="4">
        <f>P110-R110+Q110-S110</f>
        <v/>
      </c>
    </row>
    <row r="111">
      <c r="A111" s="2" t="inlineStr">
        <is>
          <t>Oro</t>
        </is>
      </c>
      <c r="B111" s="2" t="inlineStr">
        <is>
          <t>Amarillo</t>
        </is>
      </c>
      <c r="C111" s="3" t="n">
        <v>46027</v>
      </c>
      <c r="D111" s="2" t="inlineStr">
        <is>
          <t>A59860789</t>
        </is>
      </c>
      <c r="E111" s="2" t="inlineStr">
        <is>
          <t>Parquets Si…</t>
        </is>
      </c>
      <c r="F111" s="2" t="n">
        <v>3038336</v>
      </c>
      <c r="G111" s="4" t="n">
        <v>6318.86</v>
      </c>
      <c r="H111" s="3" t="n">
        <v>46004</v>
      </c>
      <c r="I111" s="3" t="n">
        <v>46179</v>
      </c>
      <c r="J111" s="2" t="n">
        <v>50</v>
      </c>
      <c r="K111" s="2" t="n">
        <v>39.12</v>
      </c>
      <c r="L111" s="2" t="n">
        <v>2.48</v>
      </c>
      <c r="M111" s="4" t="n">
        <v>156.71</v>
      </c>
      <c r="N111" s="4" t="n">
        <v>343.32</v>
      </c>
      <c r="O111" s="2" t="n">
        <v>30</v>
      </c>
      <c r="P111" s="4" t="n">
        <v>46.95</v>
      </c>
      <c r="Q111" s="4" t="n">
        <v>103.27</v>
      </c>
      <c r="R111" s="4">
        <f>G111*(L111/100)*(O111/100)</f>
        <v/>
      </c>
      <c r="S111" s="4">
        <f>G111*(K111/360/100)*J111*(O111/100)</f>
        <v/>
      </c>
      <c r="T111" s="4">
        <f>P111-R111+Q111-S111</f>
        <v/>
      </c>
    </row>
    <row r="112">
      <c r="A112" s="2" t="inlineStr">
        <is>
          <t>Oro</t>
        </is>
      </c>
      <c r="B112" s="2" t="inlineStr">
        <is>
          <t>Amarillo</t>
        </is>
      </c>
      <c r="C112" s="3" t="n">
        <v>46027</v>
      </c>
      <c r="D112" s="2" t="inlineStr">
        <is>
          <t>B20491298</t>
        </is>
      </c>
      <c r="E112" s="2" t="inlineStr">
        <is>
          <t>Perfiles Ibé…</t>
        </is>
      </c>
      <c r="F112" s="2" t="n">
        <v>3059916</v>
      </c>
      <c r="G112" s="4" t="n">
        <v>287.96</v>
      </c>
      <c r="H112" s="3" t="n">
        <v>46014</v>
      </c>
      <c r="I112" s="3" t="n">
        <v>46036</v>
      </c>
      <c r="J112" s="2" t="n">
        <v>82</v>
      </c>
      <c r="K112" s="2" t="n">
        <v>36.57</v>
      </c>
      <c r="L112" s="2" t="n">
        <v>1.24</v>
      </c>
      <c r="M112" s="4" t="n">
        <v>3.57</v>
      </c>
      <c r="N112" s="4" t="n">
        <v>23.99</v>
      </c>
      <c r="O112" s="2" t="n">
        <v>60</v>
      </c>
      <c r="P112" s="4" t="n">
        <v>2.28</v>
      </c>
      <c r="Q112" s="4" t="n">
        <v>14.6</v>
      </c>
      <c r="R112" s="4">
        <f>G112*(L112/100)*(O112/100)</f>
        <v/>
      </c>
      <c r="S112" s="4">
        <f>G112*(K112/360/100)*J112*(O112/100)</f>
        <v/>
      </c>
      <c r="T112" s="4">
        <f>P112-R112+Q112-S112</f>
        <v/>
      </c>
    </row>
    <row r="113">
      <c r="A113" s="2" t="inlineStr">
        <is>
          <t>Oro</t>
        </is>
      </c>
      <c r="B113" s="2" t="inlineStr">
        <is>
          <t>Amarillo</t>
        </is>
      </c>
      <c r="C113" s="3" t="n">
        <v>46027</v>
      </c>
      <c r="D113" s="2" t="inlineStr">
        <is>
          <t>A62059817</t>
        </is>
      </c>
      <c r="E113" s="2" t="inlineStr">
        <is>
          <t>Pesticidas…</t>
        </is>
      </c>
      <c r="F113" s="2" t="n">
        <v>2923151</v>
      </c>
      <c r="G113" s="4" t="n">
        <v>269.17</v>
      </c>
      <c r="H113" s="3" t="n">
        <v>46002</v>
      </c>
      <c r="I113" s="3" t="n">
        <v>46089</v>
      </c>
      <c r="J113" s="2" t="n">
        <v>49</v>
      </c>
      <c r="K113" s="2" t="n">
        <v>31.96</v>
      </c>
      <c r="L113" s="2" t="n">
        <v>1.75</v>
      </c>
      <c r="M113" s="4" t="n">
        <v>4.71</v>
      </c>
      <c r="N113" s="4" t="n">
        <v>11.71</v>
      </c>
      <c r="O113" s="2" t="n">
        <v>60</v>
      </c>
      <c r="P113" s="4" t="n">
        <v>2.84</v>
      </c>
      <c r="Q113" s="4" t="n">
        <v>6.82</v>
      </c>
      <c r="R113" s="4">
        <f>G113*(L113/100)*(O113/100)</f>
        <v/>
      </c>
      <c r="S113" s="4">
        <f>G113*(K113/360/100)*J113*(O113/100)</f>
        <v/>
      </c>
      <c r="T113" s="4">
        <f>P113-R113+Q113-S113</f>
        <v/>
      </c>
    </row>
    <row r="114">
      <c r="A114" s="2" t="inlineStr">
        <is>
          <t>Oro</t>
        </is>
      </c>
      <c r="B114" s="2" t="inlineStr">
        <is>
          <t>Amarillo</t>
        </is>
      </c>
      <c r="C114" s="3" t="n">
        <v>46027</v>
      </c>
      <c r="D114" s="2" t="inlineStr">
        <is>
          <t>A08944127</t>
        </is>
      </c>
      <c r="E114" s="2" t="inlineStr">
        <is>
          <t>Fármacos…</t>
        </is>
      </c>
      <c r="F114" s="2" t="n">
        <v>4815124</v>
      </c>
      <c r="G114" s="4" t="n">
        <v>6326.53</v>
      </c>
      <c r="H114" s="3" t="n">
        <v>45993</v>
      </c>
      <c r="I114" s="3" t="n">
        <v>46066</v>
      </c>
      <c r="J114" s="2" t="n">
        <v>45</v>
      </c>
      <c r="K114" s="2" t="n">
        <v>24.52</v>
      </c>
      <c r="L114" s="2" t="n">
        <v>1.26</v>
      </c>
      <c r="M114" s="4" t="n">
        <v>79.70999999999999</v>
      </c>
      <c r="N114" s="4" t="n">
        <v>193.91</v>
      </c>
      <c r="O114" s="2" t="n">
        <v>60</v>
      </c>
      <c r="P114" s="4" t="n">
        <v>47.54</v>
      </c>
      <c r="Q114" s="4" t="n">
        <v>116.41</v>
      </c>
      <c r="R114" s="4">
        <f>G114*(L114/100)*(O114/100)</f>
        <v/>
      </c>
      <c r="S114" s="4">
        <f>G114*(K114/360/100)*J114*(O114/100)</f>
        <v/>
      </c>
      <c r="T114" s="4">
        <f>P114-R114+Q114-S114</f>
        <v/>
      </c>
    </row>
    <row r="115">
      <c r="A115" s="2" t="inlineStr">
        <is>
          <t>Oro</t>
        </is>
      </c>
      <c r="B115" s="2" t="inlineStr">
        <is>
          <t>Amarillo</t>
        </is>
      </c>
      <c r="C115" s="3" t="n">
        <v>46027</v>
      </c>
      <c r="D115" s="2" t="inlineStr">
        <is>
          <t>B82073619</t>
        </is>
      </c>
      <c r="E115" s="2" t="inlineStr">
        <is>
          <t>Colorantes…</t>
        </is>
      </c>
      <c r="F115" s="2" t="n">
        <v>2473754</v>
      </c>
      <c r="G115" s="4" t="n">
        <v>312.79</v>
      </c>
      <c r="H115" s="3" t="n">
        <v>45999</v>
      </c>
      <c r="I115" s="3" t="n">
        <v>46160</v>
      </c>
      <c r="J115" s="2" t="n">
        <v>80</v>
      </c>
      <c r="K115" s="2" t="n">
        <v>37.09</v>
      </c>
      <c r="L115" s="2" t="n">
        <v>0.89</v>
      </c>
      <c r="M115" s="4" t="n">
        <v>2.78</v>
      </c>
      <c r="N115" s="4" t="n">
        <v>25.78</v>
      </c>
      <c r="O115" s="2" t="n">
        <v>70</v>
      </c>
      <c r="P115" s="4" t="n">
        <v>2.14</v>
      </c>
      <c r="Q115" s="4" t="n">
        <v>18.25</v>
      </c>
      <c r="R115" s="4">
        <f>G115*(L115/100)*(O115/100)</f>
        <v/>
      </c>
      <c r="S115" s="4">
        <f>G115*(K115/360/100)*J115*(O115/100)</f>
        <v/>
      </c>
      <c r="T115" s="4">
        <f>P115-R115+Q115-S115</f>
        <v/>
      </c>
    </row>
    <row r="116">
      <c r="A116" s="2" t="inlineStr">
        <is>
          <t>Oro</t>
        </is>
      </c>
      <c r="B116" s="2" t="inlineStr">
        <is>
          <t>Amarillo</t>
        </is>
      </c>
      <c r="C116" s="3" t="n">
        <v>46027</v>
      </c>
      <c r="D116" s="2" t="inlineStr">
        <is>
          <t>B86599173</t>
        </is>
      </c>
      <c r="E116" s="2" t="inlineStr">
        <is>
          <t>Certificacio…</t>
        </is>
      </c>
      <c r="F116" s="2" t="n">
        <v>2873203</v>
      </c>
      <c r="G116" s="4" t="n">
        <v>3078.25</v>
      </c>
      <c r="H116" s="3" t="n">
        <v>45995</v>
      </c>
      <c r="I116" s="3" t="n">
        <v>46026</v>
      </c>
      <c r="J116" s="2" t="n">
        <v>72</v>
      </c>
      <c r="K116" s="2" t="n">
        <v>29.32</v>
      </c>
      <c r="L116" s="2" t="n">
        <v>2.23</v>
      </c>
      <c r="M116" s="4" t="n">
        <v>68.64</v>
      </c>
      <c r="N116" s="4" t="n">
        <v>180.51</v>
      </c>
      <c r="O116" s="2" t="n">
        <v>20</v>
      </c>
      <c r="P116" s="4" t="n">
        <v>13.53</v>
      </c>
      <c r="Q116" s="4" t="n">
        <v>36.27</v>
      </c>
      <c r="R116" s="4">
        <f>G116*(L116/100)*(O116/100)</f>
        <v/>
      </c>
      <c r="S116" s="4">
        <f>G116*(K116/360/100)*J116*(O116/100)</f>
        <v/>
      </c>
      <c r="T116" s="4">
        <f>P116-R116+Q116-S116</f>
        <v/>
      </c>
    </row>
    <row r="117">
      <c r="A117" s="2" t="inlineStr">
        <is>
          <t>Oro</t>
        </is>
      </c>
      <c r="B117" s="2" t="inlineStr">
        <is>
          <t>Amarillo</t>
        </is>
      </c>
      <c r="C117" s="3" t="n">
        <v>46027</v>
      </c>
      <c r="D117" s="2" t="inlineStr">
        <is>
          <t>A28958222</t>
        </is>
      </c>
      <c r="E117" s="2" t="inlineStr">
        <is>
          <t>Tinturas Eq…</t>
        </is>
      </c>
      <c r="F117" s="2" t="n">
        <v>1403900</v>
      </c>
      <c r="G117" s="4" t="n">
        <v>760.25</v>
      </c>
      <c r="H117" s="3" t="n">
        <v>45994</v>
      </c>
      <c r="I117" s="3" t="n">
        <v>46085</v>
      </c>
      <c r="J117" s="2" t="n">
        <v>25</v>
      </c>
      <c r="K117" s="2" t="n">
        <v>32.55</v>
      </c>
      <c r="L117" s="2" t="n">
        <v>2.56</v>
      </c>
      <c r="M117" s="4" t="n">
        <v>19.46</v>
      </c>
      <c r="N117" s="4" t="n">
        <v>17.18</v>
      </c>
      <c r="O117" s="2" t="n">
        <v>70</v>
      </c>
      <c r="P117" s="4" t="n">
        <v>13.34</v>
      </c>
      <c r="Q117" s="4" t="n">
        <v>12.31</v>
      </c>
      <c r="R117" s="4">
        <f>G117*(L117/100)*(O117/100)</f>
        <v/>
      </c>
      <c r="S117" s="4">
        <f>G117*(K117/360/100)*J117*(O117/100)</f>
        <v/>
      </c>
      <c r="T117" s="4">
        <f>P117-R117+Q117-S117</f>
        <v/>
      </c>
    </row>
    <row r="118">
      <c r="A118" s="2" t="inlineStr">
        <is>
          <t>Oro</t>
        </is>
      </c>
      <c r="B118" s="2" t="inlineStr">
        <is>
          <t>Amarillo</t>
        </is>
      </c>
      <c r="C118" s="3" t="n">
        <v>46027</v>
      </c>
      <c r="D118" s="2" t="inlineStr">
        <is>
          <t>A47446825</t>
        </is>
      </c>
      <c r="E118" s="2" t="inlineStr">
        <is>
          <t>Redes Ibéri…</t>
        </is>
      </c>
      <c r="F118" s="2" t="n">
        <v>2486841</v>
      </c>
      <c r="G118" s="4" t="n">
        <v>1472.86</v>
      </c>
      <c r="H118" s="3" t="n">
        <v>45997</v>
      </c>
      <c r="I118" s="3" t="n">
        <v>46026</v>
      </c>
      <c r="J118" s="2" t="n">
        <v>36</v>
      </c>
      <c r="K118" s="2" t="n">
        <v>18.66</v>
      </c>
      <c r="L118" s="2" t="n">
        <v>1.99</v>
      </c>
      <c r="M118" s="4" t="n">
        <v>29.31</v>
      </c>
      <c r="N118" s="4" t="n">
        <v>27.48</v>
      </c>
      <c r="O118" s="2" t="n">
        <v>40</v>
      </c>
      <c r="P118" s="4" t="n">
        <v>11.96</v>
      </c>
      <c r="Q118" s="4" t="n">
        <v>10.93</v>
      </c>
      <c r="R118" s="4">
        <f>G118*(L118/100)*(O118/100)</f>
        <v/>
      </c>
      <c r="S118" s="4">
        <f>G118*(K118/360/100)*J118*(O118/100)</f>
        <v/>
      </c>
      <c r="T118" s="4">
        <f>P118-R118+Q118-S118</f>
        <v/>
      </c>
    </row>
    <row r="119">
      <c r="A119" s="2" t="inlineStr">
        <is>
          <t>Oro</t>
        </is>
      </c>
      <c r="B119" s="2" t="inlineStr">
        <is>
          <t>Amarillo</t>
        </is>
      </c>
      <c r="C119" s="3" t="n">
        <v>46027</v>
      </c>
      <c r="D119" s="2" t="inlineStr">
        <is>
          <t>B23853422</t>
        </is>
      </c>
      <c r="E119" s="2" t="inlineStr">
        <is>
          <t>Principios…</t>
        </is>
      </c>
      <c r="F119" s="2" t="n">
        <v>3208441</v>
      </c>
      <c r="G119" s="4" t="n">
        <v>355.68</v>
      </c>
      <c r="H119" s="3" t="n">
        <v>46014</v>
      </c>
      <c r="I119" s="3" t="n">
        <v>46070</v>
      </c>
      <c r="J119" s="2" t="n">
        <v>44</v>
      </c>
      <c r="K119" s="2" t="n">
        <v>48.2</v>
      </c>
      <c r="L119" s="2" t="n">
        <v>2.04</v>
      </c>
      <c r="M119" s="4" t="n">
        <v>7.26</v>
      </c>
      <c r="N119" s="4" t="n">
        <v>20.95</v>
      </c>
      <c r="O119" s="2" t="n">
        <v>50</v>
      </c>
      <c r="P119" s="4" t="n">
        <v>3.38</v>
      </c>
      <c r="Q119" s="4" t="n">
        <v>10.27</v>
      </c>
      <c r="R119" s="4">
        <f>G119*(L119/100)*(O119/100)</f>
        <v/>
      </c>
      <c r="S119" s="4">
        <f>G119*(K119/360/100)*J119*(O119/100)</f>
        <v/>
      </c>
      <c r="T119" s="4">
        <f>P119-R119+Q119-S119</f>
        <v/>
      </c>
    </row>
    <row r="120">
      <c r="A120" s="2" t="inlineStr">
        <is>
          <t>Oro</t>
        </is>
      </c>
      <c r="B120" s="2" t="inlineStr">
        <is>
          <t>Amarillo</t>
        </is>
      </c>
      <c r="C120" s="3" t="n">
        <v>46027</v>
      </c>
      <c r="D120" s="2" t="inlineStr">
        <is>
          <t>A87369793</t>
        </is>
      </c>
      <c r="E120" s="2" t="inlineStr">
        <is>
          <t>Estructuras…</t>
        </is>
      </c>
      <c r="F120" s="2" t="n">
        <v>3552342</v>
      </c>
      <c r="G120" s="4" t="n">
        <v>145.68</v>
      </c>
      <c r="H120" s="3" t="n">
        <v>46013</v>
      </c>
      <c r="I120" s="3" t="n">
        <v>46189</v>
      </c>
      <c r="J120" s="2" t="n">
        <v>25</v>
      </c>
      <c r="K120" s="2" t="n">
        <v>27.18</v>
      </c>
      <c r="L120" s="2" t="n">
        <v>0.8</v>
      </c>
      <c r="M120" s="4" t="n">
        <v>1.17</v>
      </c>
      <c r="N120" s="4" t="n">
        <v>2.75</v>
      </c>
      <c r="O120" s="2" t="n">
        <v>70</v>
      </c>
      <c r="P120" s="4" t="n">
        <v>0.97</v>
      </c>
      <c r="Q120" s="4" t="n">
        <v>2.09</v>
      </c>
      <c r="R120" s="4">
        <f>G120*(L120/100)*(O120/100)</f>
        <v/>
      </c>
      <c r="S120" s="4">
        <f>G120*(K120/360/100)*J120*(O120/100)</f>
        <v/>
      </c>
      <c r="T120" s="4">
        <f>P120-R120+Q120-S120</f>
        <v/>
      </c>
    </row>
    <row r="121">
      <c r="A121" s="2" t="inlineStr">
        <is>
          <t>Oro</t>
        </is>
      </c>
      <c r="B121" s="2" t="inlineStr">
        <is>
          <t>Amarillo</t>
        </is>
      </c>
      <c r="C121" s="3" t="n">
        <v>46027</v>
      </c>
      <c r="D121" s="2" t="inlineStr">
        <is>
          <t>B11019877</t>
        </is>
      </c>
      <c r="E121" s="2" t="inlineStr">
        <is>
          <t>Redes Estr…</t>
        </is>
      </c>
      <c r="F121" s="2" t="n">
        <v>3328431</v>
      </c>
      <c r="G121" s="4" t="n">
        <v>961.8099999999999</v>
      </c>
      <c r="H121" s="3" t="n">
        <v>45995</v>
      </c>
      <c r="I121" s="3" t="n">
        <v>46024</v>
      </c>
      <c r="J121" s="2" t="n">
        <v>39</v>
      </c>
      <c r="K121" s="2" t="n">
        <v>34.01</v>
      </c>
      <c r="L121" s="2" t="n">
        <v>1.15</v>
      </c>
      <c r="M121" s="4" t="n">
        <v>11.06</v>
      </c>
      <c r="N121" s="4" t="n">
        <v>35.44</v>
      </c>
      <c r="O121" s="2" t="n">
        <v>30</v>
      </c>
      <c r="P121" s="4" t="n">
        <v>3.15</v>
      </c>
      <c r="Q121" s="4" t="n">
        <v>10.86</v>
      </c>
      <c r="R121" s="4">
        <f>G121*(L121/100)*(O121/100)</f>
        <v/>
      </c>
      <c r="S121" s="4">
        <f>G121*(K121/360/100)*J121*(O121/100)</f>
        <v/>
      </c>
      <c r="T121" s="4">
        <f>P121-R121+Q121-S121</f>
        <v/>
      </c>
    </row>
    <row r="122">
      <c r="A122" s="2" t="inlineStr">
        <is>
          <t>Oro</t>
        </is>
      </c>
      <c r="B122" s="2" t="inlineStr">
        <is>
          <t>Amarillo</t>
        </is>
      </c>
      <c r="C122" s="3" t="n">
        <v>46027</v>
      </c>
      <c r="D122" s="2" t="inlineStr">
        <is>
          <t>A60610152</t>
        </is>
      </c>
      <c r="E122" s="2" t="inlineStr">
        <is>
          <t>Acumulado…</t>
        </is>
      </c>
      <c r="F122" s="2" t="n">
        <v>3036128</v>
      </c>
      <c r="G122" s="4" t="n">
        <v>7759.7</v>
      </c>
      <c r="H122" s="3" t="n">
        <v>46006</v>
      </c>
      <c r="I122" s="3" t="n">
        <v>46073</v>
      </c>
      <c r="J122" s="2" t="n">
        <v>51</v>
      </c>
      <c r="K122" s="2" t="n">
        <v>35.2</v>
      </c>
      <c r="L122" s="2" t="n">
        <v>2.26</v>
      </c>
      <c r="M122" s="4" t="n">
        <v>175.37</v>
      </c>
      <c r="N122" s="4" t="n">
        <v>386.95</v>
      </c>
      <c r="O122" s="2" t="n">
        <v>20</v>
      </c>
      <c r="P122" s="4" t="n">
        <v>35.36</v>
      </c>
      <c r="Q122" s="4" t="n">
        <v>77.59999999999999</v>
      </c>
      <c r="R122" s="4">
        <f>G122*(L122/100)*(O122/100)</f>
        <v/>
      </c>
      <c r="S122" s="4">
        <f>G122*(K122/360/100)*J122*(O122/100)</f>
        <v/>
      </c>
      <c r="T122" s="4">
        <f>P122-R122+Q122-S122</f>
        <v/>
      </c>
    </row>
    <row r="123">
      <c r="A123" s="2" t="inlineStr">
        <is>
          <t>Oro</t>
        </is>
      </c>
      <c r="B123" s="2" t="inlineStr">
        <is>
          <t>Amarillo</t>
        </is>
      </c>
      <c r="C123" s="3" t="n">
        <v>46027</v>
      </c>
      <c r="D123" s="2" t="inlineStr">
        <is>
          <t>B97711863</t>
        </is>
      </c>
      <c r="E123" s="2" t="inlineStr">
        <is>
          <t>Solventes…</t>
        </is>
      </c>
      <c r="F123" s="2" t="n">
        <v>3522916</v>
      </c>
      <c r="G123" s="4" t="n">
        <v>678.12</v>
      </c>
      <c r="H123" s="3" t="n">
        <v>46018</v>
      </c>
      <c r="I123" s="3" t="n">
        <v>46145</v>
      </c>
      <c r="J123" s="2" t="n">
        <v>90</v>
      </c>
      <c r="K123" s="2" t="n">
        <v>34.44</v>
      </c>
      <c r="L123" s="2" t="n">
        <v>1.58</v>
      </c>
      <c r="M123" s="4" t="n">
        <v>10.71</v>
      </c>
      <c r="N123" s="4" t="n">
        <v>58.39</v>
      </c>
      <c r="O123" s="2" t="n">
        <v>40</v>
      </c>
      <c r="P123" s="4" t="n">
        <v>4.14</v>
      </c>
      <c r="Q123" s="4" t="n">
        <v>23.21</v>
      </c>
      <c r="R123" s="4">
        <f>G123*(L123/100)*(O123/100)</f>
        <v/>
      </c>
      <c r="S123" s="4">
        <f>G123*(K123/360/100)*J123*(O123/100)</f>
        <v/>
      </c>
      <c r="T123" s="4">
        <f>P123-R123+Q123-S123</f>
        <v/>
      </c>
    </row>
    <row r="124">
      <c r="A124" s="2" t="inlineStr">
        <is>
          <t>Oro</t>
        </is>
      </c>
      <c r="B124" s="2" t="inlineStr">
        <is>
          <t>Amarillo</t>
        </is>
      </c>
      <c r="C124" s="3" t="n">
        <v>46027</v>
      </c>
      <c r="D124" s="2" t="inlineStr">
        <is>
          <t>B91141876</t>
        </is>
      </c>
      <c r="E124" s="2" t="inlineStr">
        <is>
          <t>Insecticidas…</t>
        </is>
      </c>
      <c r="F124" s="2" t="n">
        <v>2740541</v>
      </c>
      <c r="G124" s="4" t="n">
        <v>682.74</v>
      </c>
      <c r="H124" s="3" t="n">
        <v>46001</v>
      </c>
      <c r="I124" s="3" t="n">
        <v>46043</v>
      </c>
      <c r="J124" s="2" t="n">
        <v>54</v>
      </c>
      <c r="K124" s="2" t="n">
        <v>48.76</v>
      </c>
      <c r="L124" s="2" t="n">
        <v>2.18</v>
      </c>
      <c r="M124" s="4" t="n">
        <v>14.88</v>
      </c>
      <c r="N124" s="4" t="n">
        <v>49.94</v>
      </c>
      <c r="O124" s="2" t="n">
        <v>50</v>
      </c>
      <c r="P124" s="4" t="n">
        <v>7.37</v>
      </c>
      <c r="Q124" s="4" t="n">
        <v>24.94</v>
      </c>
      <c r="R124" s="4">
        <f>G124*(L124/100)*(O124/100)</f>
        <v/>
      </c>
      <c r="S124" s="4">
        <f>G124*(K124/360/100)*J124*(O124/100)</f>
        <v/>
      </c>
      <c r="T124" s="4">
        <f>P124-R124+Q124-S124</f>
        <v/>
      </c>
    </row>
    <row r="125">
      <c r="A125" s="2" t="inlineStr">
        <is>
          <t>Oro</t>
        </is>
      </c>
      <c r="B125" s="2" t="inlineStr">
        <is>
          <t>Amarillo</t>
        </is>
      </c>
      <c r="C125" s="3" t="n">
        <v>46027</v>
      </c>
      <c r="D125" s="2" t="inlineStr">
        <is>
          <t>A53714136</t>
        </is>
      </c>
      <c r="E125" s="2" t="inlineStr">
        <is>
          <t>Granitos Gl…</t>
        </is>
      </c>
      <c r="F125" s="2" t="n">
        <v>2286959</v>
      </c>
      <c r="G125" s="4" t="n">
        <v>1374.28</v>
      </c>
      <c r="H125" s="3" t="n">
        <v>46016</v>
      </c>
      <c r="I125" s="3" t="n">
        <v>46039</v>
      </c>
      <c r="J125" s="2" t="n">
        <v>45</v>
      </c>
      <c r="K125" s="2" t="n">
        <v>49.21</v>
      </c>
      <c r="L125" s="2" t="n">
        <v>2.32</v>
      </c>
      <c r="M125" s="4" t="n">
        <v>31.88</v>
      </c>
      <c r="N125" s="4" t="n">
        <v>84.54000000000001</v>
      </c>
      <c r="O125" s="2" t="n">
        <v>70</v>
      </c>
      <c r="P125" s="4" t="n">
        <v>22.62</v>
      </c>
      <c r="Q125" s="4" t="n">
        <v>59.37</v>
      </c>
      <c r="R125" s="4">
        <f>G125*(L125/100)*(O125/100)</f>
        <v/>
      </c>
      <c r="S125" s="4">
        <f>G125*(K125/360/100)*J125*(O125/100)</f>
        <v/>
      </c>
      <c r="T125" s="4">
        <f>P125-R125+Q125-S125</f>
        <v/>
      </c>
    </row>
    <row r="126">
      <c r="A126" s="2" t="inlineStr">
        <is>
          <t>Oro</t>
        </is>
      </c>
      <c r="B126" s="2" t="inlineStr">
        <is>
          <t>Amarillo</t>
        </is>
      </c>
      <c r="C126" s="3" t="n">
        <v>46027</v>
      </c>
      <c r="D126" s="2" t="inlineStr">
        <is>
          <t>B20637475</t>
        </is>
      </c>
      <c r="E126" s="2" t="inlineStr">
        <is>
          <t>Pavimentos…</t>
        </is>
      </c>
      <c r="F126" s="2" t="n">
        <v>1310504</v>
      </c>
      <c r="G126" s="4" t="n">
        <v>221.33</v>
      </c>
      <c r="H126" s="3" t="n">
        <v>45993</v>
      </c>
      <c r="I126" s="3" t="n">
        <v>46187</v>
      </c>
      <c r="J126" s="2" t="n">
        <v>44</v>
      </c>
      <c r="K126" s="2" t="n">
        <v>31.25</v>
      </c>
      <c r="L126" s="2" t="n">
        <v>2.07</v>
      </c>
      <c r="M126" s="4" t="n">
        <v>4.58</v>
      </c>
      <c r="N126" s="4" t="n">
        <v>8.449999999999999</v>
      </c>
      <c r="O126" s="2" t="n">
        <v>20</v>
      </c>
      <c r="P126" s="4" t="n">
        <v>0.8</v>
      </c>
      <c r="Q126" s="4" t="n">
        <v>1.73</v>
      </c>
      <c r="R126" s="4">
        <f>G126*(L126/100)*(O126/100)</f>
        <v/>
      </c>
      <c r="S126" s="4">
        <f>G126*(K126/360/100)*J126*(O126/100)</f>
        <v/>
      </c>
      <c r="T126" s="4">
        <f>P126-R126+Q126-S126</f>
        <v/>
      </c>
    </row>
    <row r="127">
      <c r="A127" s="2" t="inlineStr">
        <is>
          <t>Oro</t>
        </is>
      </c>
      <c r="B127" s="2" t="inlineStr">
        <is>
          <t>Amarillo</t>
        </is>
      </c>
      <c r="C127" s="3" t="n">
        <v>46027</v>
      </c>
      <c r="D127" s="2" t="inlineStr">
        <is>
          <t>A07396529</t>
        </is>
      </c>
      <c r="E127" s="2" t="inlineStr">
        <is>
          <t>Bioresiduos…</t>
        </is>
      </c>
      <c r="F127" s="2" t="n">
        <v>4142983</v>
      </c>
      <c r="G127" s="4" t="n">
        <v>5954.65</v>
      </c>
      <c r="H127" s="3" t="n">
        <v>46013</v>
      </c>
      <c r="I127" s="3" t="n">
        <v>46103</v>
      </c>
      <c r="J127" s="2" t="n">
        <v>36</v>
      </c>
      <c r="K127" s="2" t="n">
        <v>16.81</v>
      </c>
      <c r="L127" s="2" t="n">
        <v>0.59</v>
      </c>
      <c r="M127" s="4" t="n">
        <v>35.13</v>
      </c>
      <c r="N127" s="4" t="n">
        <v>100.1</v>
      </c>
      <c r="O127" s="2" t="n">
        <v>50</v>
      </c>
      <c r="P127" s="4" t="n">
        <v>17.62</v>
      </c>
      <c r="Q127" s="4" t="n">
        <v>49.79</v>
      </c>
      <c r="R127" s="4">
        <f>G127*(L127/100)*(O127/100)</f>
        <v/>
      </c>
      <c r="S127" s="4">
        <f>G127*(K127/360/100)*J127*(O127/100)</f>
        <v/>
      </c>
      <c r="T127" s="4">
        <f>P127-R127+Q127-S127</f>
        <v/>
      </c>
    </row>
    <row r="128">
      <c r="A128" s="2" t="inlineStr">
        <is>
          <t>Oro</t>
        </is>
      </c>
      <c r="B128" s="2" t="inlineStr">
        <is>
          <t>Amarillo</t>
        </is>
      </c>
      <c r="C128" s="3" t="n">
        <v>46027</v>
      </c>
      <c r="D128" s="2" t="inlineStr">
        <is>
          <t>A74357395</t>
        </is>
      </c>
      <c r="E128" s="2" t="inlineStr">
        <is>
          <t>Excipientes…</t>
        </is>
      </c>
      <c r="F128" s="2" t="n">
        <v>3132458</v>
      </c>
      <c r="G128" s="4" t="n">
        <v>893.35</v>
      </c>
      <c r="H128" s="3" t="n">
        <v>45999</v>
      </c>
      <c r="I128" s="3" t="n">
        <v>46130</v>
      </c>
      <c r="J128" s="2" t="n">
        <v>85</v>
      </c>
      <c r="K128" s="2" t="n">
        <v>28.05</v>
      </c>
      <c r="L128" s="2" t="n">
        <v>1.77</v>
      </c>
      <c r="M128" s="4" t="n">
        <v>15.81</v>
      </c>
      <c r="N128" s="4" t="n">
        <v>59.17</v>
      </c>
      <c r="O128" s="2" t="n">
        <v>60</v>
      </c>
      <c r="P128" s="4" t="n">
        <v>9.609999999999999</v>
      </c>
      <c r="Q128" s="4" t="n">
        <v>35.64</v>
      </c>
      <c r="R128" s="4">
        <f>G128*(L128/100)*(O128/100)</f>
        <v/>
      </c>
      <c r="S128" s="4">
        <f>G128*(K128/360/100)*J128*(O128/100)</f>
        <v/>
      </c>
      <c r="T128" s="4">
        <f>P128-R128+Q128-S128</f>
        <v/>
      </c>
    </row>
    <row r="129">
      <c r="A129" s="2" t="inlineStr">
        <is>
          <t>Oro</t>
        </is>
      </c>
      <c r="B129" s="2" t="inlineStr">
        <is>
          <t>Amarillo</t>
        </is>
      </c>
      <c r="C129" s="3" t="n">
        <v>46027</v>
      </c>
      <c r="D129" s="2" t="inlineStr">
        <is>
          <t>B44709467</t>
        </is>
      </c>
      <c r="E129" s="2" t="inlineStr">
        <is>
          <t>Poliésteres…</t>
        </is>
      </c>
      <c r="F129" s="2" t="n">
        <v>4103957</v>
      </c>
      <c r="G129" s="4" t="n">
        <v>9587.26</v>
      </c>
      <c r="H129" s="3" t="n">
        <v>46000</v>
      </c>
      <c r="I129" s="3" t="n">
        <v>46094</v>
      </c>
      <c r="J129" s="2" t="n">
        <v>25</v>
      </c>
      <c r="K129" s="2" t="n">
        <v>46.99</v>
      </c>
      <c r="L129" s="2" t="n">
        <v>2.64</v>
      </c>
      <c r="M129" s="4" t="n">
        <v>253.1</v>
      </c>
      <c r="N129" s="4" t="n">
        <v>312.85</v>
      </c>
      <c r="O129" s="2" t="n">
        <v>40</v>
      </c>
      <c r="P129" s="4" t="n">
        <v>100.99</v>
      </c>
      <c r="Q129" s="4" t="n">
        <v>125.33</v>
      </c>
      <c r="R129" s="4">
        <f>G129*(L129/100)*(O129/100)</f>
        <v/>
      </c>
      <c r="S129" s="4">
        <f>G129*(K129/360/100)*J129*(O129/100)</f>
        <v/>
      </c>
      <c r="T129" s="4">
        <f>P129-R129+Q129-S129</f>
        <v/>
      </c>
    </row>
    <row r="130">
      <c r="A130" s="2" t="inlineStr">
        <is>
          <t>Oro</t>
        </is>
      </c>
      <c r="B130" s="2" t="inlineStr">
        <is>
          <t>Amarillo</t>
        </is>
      </c>
      <c r="C130" s="3" t="n">
        <v>46027</v>
      </c>
      <c r="D130" s="2" t="inlineStr">
        <is>
          <t>B20427008</t>
        </is>
      </c>
      <c r="E130" s="2" t="inlineStr">
        <is>
          <t>Propilenos…</t>
        </is>
      </c>
      <c r="F130" s="2" t="n">
        <v>4206845</v>
      </c>
      <c r="G130" s="4" t="n">
        <v>5351.08</v>
      </c>
      <c r="H130" s="3" t="n">
        <v>46015</v>
      </c>
      <c r="I130" s="3" t="n">
        <v>46117</v>
      </c>
      <c r="J130" s="2" t="n">
        <v>18</v>
      </c>
      <c r="K130" s="2" t="n">
        <v>47.27</v>
      </c>
      <c r="L130" s="2" t="n">
        <v>2.11</v>
      </c>
      <c r="M130" s="4" t="n">
        <v>112.91</v>
      </c>
      <c r="N130" s="4" t="n">
        <v>126.47</v>
      </c>
      <c r="O130" s="2" t="n">
        <v>70</v>
      </c>
      <c r="P130" s="4" t="n">
        <v>79.3</v>
      </c>
      <c r="Q130" s="4" t="n">
        <v>88.40000000000001</v>
      </c>
      <c r="R130" s="4">
        <f>G130*(L130/100)*(O130/100)</f>
        <v/>
      </c>
      <c r="S130" s="4">
        <f>G130*(K130/360/100)*J130*(O130/100)</f>
        <v/>
      </c>
      <c r="T130" s="4">
        <f>P130-R130+Q130-S130</f>
        <v/>
      </c>
    </row>
    <row r="131">
      <c r="A131" s="2" t="inlineStr">
        <is>
          <t>Oro</t>
        </is>
      </c>
      <c r="B131" s="2" t="inlineStr">
        <is>
          <t>Amarillo</t>
        </is>
      </c>
      <c r="C131" s="3" t="n">
        <v>46027</v>
      </c>
      <c r="D131" s="2" t="inlineStr">
        <is>
          <t>A75899828</t>
        </is>
      </c>
      <c r="E131" s="2" t="inlineStr">
        <is>
          <t>Licores Co…</t>
        </is>
      </c>
      <c r="F131" s="2" t="n">
        <v>2888324</v>
      </c>
      <c r="G131" s="4" t="n">
        <v>275.22</v>
      </c>
      <c r="H131" s="3" t="n">
        <v>46007</v>
      </c>
      <c r="I131" s="3" t="n">
        <v>46088</v>
      </c>
      <c r="J131" s="2" t="n">
        <v>41</v>
      </c>
      <c r="K131" s="2" t="n">
        <v>33.67</v>
      </c>
      <c r="L131" s="2" t="n">
        <v>1.98</v>
      </c>
      <c r="M131" s="4" t="n">
        <v>5.45</v>
      </c>
      <c r="N131" s="4" t="n">
        <v>10.55</v>
      </c>
      <c r="O131" s="2" t="n">
        <v>30</v>
      </c>
      <c r="P131" s="4" t="n">
        <v>1.85</v>
      </c>
      <c r="Q131" s="4" t="n">
        <v>3.26</v>
      </c>
      <c r="R131" s="4">
        <f>G131*(L131/100)*(O131/100)</f>
        <v/>
      </c>
      <c r="S131" s="4">
        <f>G131*(K131/360/100)*J131*(O131/100)</f>
        <v/>
      </c>
      <c r="T131" s="4">
        <f>P131-R131+Q131-S131</f>
        <v/>
      </c>
    </row>
    <row r="132">
      <c r="A132" s="2" t="inlineStr">
        <is>
          <t>Oro</t>
        </is>
      </c>
      <c r="B132" s="2" t="inlineStr">
        <is>
          <t>Amarillo</t>
        </is>
      </c>
      <c r="C132" s="3" t="n">
        <v>46027</v>
      </c>
      <c r="D132" s="2" t="inlineStr">
        <is>
          <t>A38996666</t>
        </is>
      </c>
      <c r="E132" s="2" t="inlineStr">
        <is>
          <t>Residuos P…</t>
        </is>
      </c>
      <c r="F132" s="2" t="n">
        <v>4439271</v>
      </c>
      <c r="G132" s="4" t="n">
        <v>9926.92</v>
      </c>
      <c r="H132" s="3" t="n">
        <v>46009</v>
      </c>
      <c r="I132" s="3" t="n">
        <v>46153</v>
      </c>
      <c r="J132" s="2" t="n">
        <v>20</v>
      </c>
      <c r="K132" s="2" t="n">
        <v>48.97</v>
      </c>
      <c r="L132" s="2" t="n">
        <v>1.53</v>
      </c>
      <c r="M132" s="4" t="n">
        <v>151.88</v>
      </c>
      <c r="N132" s="4" t="n">
        <v>270.07</v>
      </c>
      <c r="O132" s="2" t="n">
        <v>20</v>
      </c>
      <c r="P132" s="4" t="n">
        <v>30.25</v>
      </c>
      <c r="Q132" s="4" t="n">
        <v>54.18</v>
      </c>
      <c r="R132" s="4">
        <f>G132*(L132/100)*(O132/100)</f>
        <v/>
      </c>
      <c r="S132" s="4">
        <f>G132*(K132/360/100)*J132*(O132/100)</f>
        <v/>
      </c>
      <c r="T132" s="4">
        <f>P132-R132+Q132-S132</f>
        <v/>
      </c>
    </row>
    <row r="133">
      <c r="A133" s="2" t="inlineStr">
        <is>
          <t>Oro</t>
        </is>
      </c>
      <c r="B133" s="2" t="inlineStr">
        <is>
          <t>Amarillo</t>
        </is>
      </c>
      <c r="C133" s="3" t="n">
        <v>46027</v>
      </c>
      <c r="D133" s="2" t="inlineStr">
        <is>
          <t>A88641215</t>
        </is>
      </c>
      <c r="E133" s="2" t="inlineStr">
        <is>
          <t>Adoquines…</t>
        </is>
      </c>
      <c r="F133" s="2" t="n">
        <v>4439824</v>
      </c>
      <c r="G133" s="4" t="n">
        <v>456.48</v>
      </c>
      <c r="H133" s="3" t="n">
        <v>46010</v>
      </c>
      <c r="I133" s="3" t="n">
        <v>46166</v>
      </c>
      <c r="J133" s="2" t="n">
        <v>19</v>
      </c>
      <c r="K133" s="2" t="n">
        <v>20.62</v>
      </c>
      <c r="L133" s="2" t="n">
        <v>1.75</v>
      </c>
      <c r="M133" s="4" t="n">
        <v>7.99</v>
      </c>
      <c r="N133" s="4" t="n">
        <v>4.97</v>
      </c>
      <c r="O133" s="2" t="n">
        <v>70</v>
      </c>
      <c r="P133" s="4" t="n">
        <v>5.71</v>
      </c>
      <c r="Q133" s="4" t="n">
        <v>3.41</v>
      </c>
      <c r="R133" s="4">
        <f>G133*(L133/100)*(O133/100)</f>
        <v/>
      </c>
      <c r="S133" s="4">
        <f>G133*(K133/360/100)*J133*(O133/100)</f>
        <v/>
      </c>
      <c r="T133" s="4">
        <f>P133-R133+Q133-S133</f>
        <v/>
      </c>
    </row>
    <row r="134">
      <c r="A134" s="2" t="inlineStr">
        <is>
          <t>Oro</t>
        </is>
      </c>
      <c r="B134" s="2" t="inlineStr">
        <is>
          <t>Amarillo</t>
        </is>
      </c>
      <c r="C134" s="3" t="n">
        <v>46027</v>
      </c>
      <c r="D134" s="2" t="inlineStr">
        <is>
          <t>A04678513</t>
        </is>
      </c>
      <c r="E134" s="2" t="inlineStr">
        <is>
          <t>Biogases E…</t>
        </is>
      </c>
      <c r="F134" s="2" t="n">
        <v>1504351</v>
      </c>
      <c r="G134" s="4" t="n">
        <v>9171.43</v>
      </c>
      <c r="H134" s="3" t="n">
        <v>45999</v>
      </c>
      <c r="I134" s="3" t="n">
        <v>46104</v>
      </c>
      <c r="J134" s="2" t="n">
        <v>45</v>
      </c>
      <c r="K134" s="2" t="n">
        <v>42.73</v>
      </c>
      <c r="L134" s="2" t="n">
        <v>1.46</v>
      </c>
      <c r="M134" s="4" t="n">
        <v>133.9</v>
      </c>
      <c r="N134" s="4" t="n">
        <v>489.87</v>
      </c>
      <c r="O134" s="2" t="n">
        <v>20</v>
      </c>
      <c r="P134" s="4" t="n">
        <v>27.03</v>
      </c>
      <c r="Q134" s="4" t="n">
        <v>98.04000000000001</v>
      </c>
      <c r="R134" s="4">
        <f>G134*(L134/100)*(O134/100)</f>
        <v/>
      </c>
      <c r="S134" s="4">
        <f>G134*(K134/360/100)*J134*(O134/100)</f>
        <v/>
      </c>
      <c r="T134" s="4">
        <f>P134-R134+Q134-S134</f>
        <v/>
      </c>
    </row>
    <row r="135">
      <c r="A135" s="2" t="inlineStr">
        <is>
          <t>Oro</t>
        </is>
      </c>
      <c r="B135" s="2" t="inlineStr">
        <is>
          <t>Amarillo</t>
        </is>
      </c>
      <c r="C135" s="3" t="n">
        <v>46027</v>
      </c>
      <c r="D135" s="2" t="inlineStr">
        <is>
          <t>A33484001</t>
        </is>
      </c>
      <c r="E135" s="2" t="inlineStr">
        <is>
          <t>Redes Satu…</t>
        </is>
      </c>
      <c r="F135" s="2" t="n">
        <v>3478547</v>
      </c>
      <c r="G135" s="4" t="n">
        <v>882.11</v>
      </c>
      <c r="H135" s="3" t="n">
        <v>45992</v>
      </c>
      <c r="I135" s="3" t="n">
        <v>46109</v>
      </c>
      <c r="J135" s="2" t="n">
        <v>64</v>
      </c>
      <c r="K135" s="2" t="n">
        <v>40.71</v>
      </c>
      <c r="L135" s="2" t="n">
        <v>1.52</v>
      </c>
      <c r="M135" s="4" t="n">
        <v>13.41</v>
      </c>
      <c r="N135" s="4" t="n">
        <v>63.84</v>
      </c>
      <c r="O135" s="2" t="n">
        <v>70</v>
      </c>
      <c r="P135" s="4" t="n">
        <v>9.18</v>
      </c>
      <c r="Q135" s="4" t="n">
        <v>44.65</v>
      </c>
      <c r="R135" s="4">
        <f>G135*(L135/100)*(O135/100)</f>
        <v/>
      </c>
      <c r="S135" s="4">
        <f>G135*(K135/360/100)*J135*(O135/100)</f>
        <v/>
      </c>
      <c r="T135" s="4">
        <f>P135-R135+Q135-S135</f>
        <v/>
      </c>
    </row>
    <row r="136">
      <c r="A136" s="2" t="inlineStr">
        <is>
          <t>Oro</t>
        </is>
      </c>
      <c r="B136" s="2" t="inlineStr">
        <is>
          <t>Amarillo</t>
        </is>
      </c>
      <c r="C136" s="3" t="n">
        <v>46027</v>
      </c>
      <c r="D136" s="2" t="inlineStr">
        <is>
          <t>B14225478</t>
        </is>
      </c>
      <c r="E136" s="2" t="inlineStr">
        <is>
          <t>Oleicos So…</t>
        </is>
      </c>
      <c r="F136" s="2" t="n">
        <v>2368144</v>
      </c>
      <c r="G136" s="4" t="n">
        <v>841.8</v>
      </c>
      <c r="H136" s="3" t="n">
        <v>46003</v>
      </c>
      <c r="I136" s="3" t="n">
        <v>46033</v>
      </c>
      <c r="J136" s="2" t="n">
        <v>85</v>
      </c>
      <c r="K136" s="2" t="n">
        <v>25.76</v>
      </c>
      <c r="L136" s="2" t="n">
        <v>0.64</v>
      </c>
      <c r="M136" s="4" t="n">
        <v>5.39</v>
      </c>
      <c r="N136" s="4" t="n">
        <v>51.2</v>
      </c>
      <c r="O136" s="2" t="n">
        <v>20</v>
      </c>
      <c r="P136" s="4" t="n">
        <v>0.82</v>
      </c>
      <c r="Q136" s="4" t="n">
        <v>9.960000000000001</v>
      </c>
      <c r="R136" s="4">
        <f>G136*(L136/100)*(O136/100)</f>
        <v/>
      </c>
      <c r="S136" s="4">
        <f>G136*(K136/360/100)*J136*(O136/100)</f>
        <v/>
      </c>
      <c r="T136" s="4">
        <f>P136-R136+Q136-S136</f>
        <v/>
      </c>
    </row>
    <row r="137">
      <c r="A137" s="2" t="inlineStr">
        <is>
          <t>Oro</t>
        </is>
      </c>
      <c r="B137" s="2" t="inlineStr">
        <is>
          <t>Amarillo</t>
        </is>
      </c>
      <c r="C137" s="3" t="n">
        <v>46027</v>
      </c>
      <c r="D137" s="2" t="inlineStr">
        <is>
          <t>B18851877</t>
        </is>
      </c>
      <c r="E137" s="2" t="inlineStr">
        <is>
          <t>Licores Tex…</t>
        </is>
      </c>
      <c r="F137" s="2" t="n">
        <v>2606045</v>
      </c>
      <c r="G137" s="4" t="n">
        <v>6941.13</v>
      </c>
      <c r="H137" s="3" t="n">
        <v>46005</v>
      </c>
      <c r="I137" s="3" t="n">
        <v>46132</v>
      </c>
      <c r="J137" s="2" t="n">
        <v>23</v>
      </c>
      <c r="K137" s="2" t="n">
        <v>18.68</v>
      </c>
      <c r="L137" s="2" t="n">
        <v>2.59</v>
      </c>
      <c r="M137" s="4" t="n">
        <v>179.78</v>
      </c>
      <c r="N137" s="4" t="n">
        <v>82.84</v>
      </c>
      <c r="O137" s="2" t="n">
        <v>40</v>
      </c>
      <c r="P137" s="4" t="n">
        <v>71.79000000000001</v>
      </c>
      <c r="Q137" s="4" t="n">
        <v>33.15</v>
      </c>
      <c r="R137" s="4">
        <f>G137*(L137/100)*(O137/100)</f>
        <v/>
      </c>
      <c r="S137" s="4">
        <f>G137*(K137/360/100)*J137*(O137/100)</f>
        <v/>
      </c>
      <c r="T137" s="4">
        <f>P137-R137+Q137-S137</f>
        <v/>
      </c>
    </row>
    <row r="138">
      <c r="A138" s="2" t="inlineStr">
        <is>
          <t>Oro</t>
        </is>
      </c>
      <c r="B138" s="2" t="inlineStr">
        <is>
          <t>Amarillo</t>
        </is>
      </c>
      <c r="C138" s="3" t="n">
        <v>46027</v>
      </c>
      <c r="D138" s="2" t="inlineStr">
        <is>
          <t>B53439160</t>
        </is>
      </c>
      <c r="E138" s="2" t="inlineStr">
        <is>
          <t>Fundicione…</t>
        </is>
      </c>
      <c r="F138" s="2" t="n">
        <v>3978237</v>
      </c>
      <c r="G138" s="4" t="n">
        <v>7835.11</v>
      </c>
      <c r="H138" s="3" t="n">
        <v>46012</v>
      </c>
      <c r="I138" s="3" t="n">
        <v>46049</v>
      </c>
      <c r="J138" s="2" t="n">
        <v>27</v>
      </c>
      <c r="K138" s="2" t="n">
        <v>23.1</v>
      </c>
      <c r="L138" s="2" t="n">
        <v>1.05</v>
      </c>
      <c r="M138" s="4" t="n">
        <v>82.27</v>
      </c>
      <c r="N138" s="4" t="n">
        <v>135.74</v>
      </c>
      <c r="O138" s="2" t="n">
        <v>50</v>
      </c>
      <c r="P138" s="4" t="n">
        <v>41.18</v>
      </c>
      <c r="Q138" s="4" t="n">
        <v>68.06</v>
      </c>
      <c r="R138" s="4">
        <f>G138*(L138/100)*(O138/100)</f>
        <v/>
      </c>
      <c r="S138" s="4">
        <f>G138*(K138/360/100)*J138*(O138/100)</f>
        <v/>
      </c>
      <c r="T138" s="4">
        <f>P138-R138+Q138-S138</f>
        <v/>
      </c>
    </row>
    <row r="139">
      <c r="A139" s="2" t="inlineStr">
        <is>
          <t>Oro</t>
        </is>
      </c>
      <c r="B139" s="2" t="inlineStr">
        <is>
          <t>Amarillo</t>
        </is>
      </c>
      <c r="C139" s="3" t="n">
        <v>46027</v>
      </c>
      <c r="D139" s="2" t="inlineStr">
        <is>
          <t>B86599173</t>
        </is>
      </c>
      <c r="E139" s="2" t="inlineStr">
        <is>
          <t>Certificacio…</t>
        </is>
      </c>
      <c r="F139" s="2" t="n">
        <v>3411408</v>
      </c>
      <c r="G139" s="4" t="n">
        <v>940.05</v>
      </c>
      <c r="H139" s="3" t="n">
        <v>46018</v>
      </c>
      <c r="I139" s="3" t="n">
        <v>46042</v>
      </c>
      <c r="J139" s="2" t="n">
        <v>88</v>
      </c>
      <c r="K139" s="2" t="n">
        <v>19.04</v>
      </c>
      <c r="L139" s="2" t="n">
        <v>2.58</v>
      </c>
      <c r="M139" s="4" t="n">
        <v>24.25</v>
      </c>
      <c r="N139" s="4" t="n">
        <v>43.75</v>
      </c>
      <c r="O139" s="2" t="n">
        <v>20</v>
      </c>
      <c r="P139" s="4" t="n">
        <v>5.12</v>
      </c>
      <c r="Q139" s="4" t="n">
        <v>8.460000000000001</v>
      </c>
      <c r="R139" s="4">
        <f>G139*(L139/100)*(O139/100)</f>
        <v/>
      </c>
      <c r="S139" s="4">
        <f>G139*(K139/360/100)*J139*(O139/100)</f>
        <v/>
      </c>
      <c r="T139" s="4">
        <f>P139-R139+Q139-S139</f>
        <v/>
      </c>
    </row>
    <row r="140">
      <c r="A140" s="2" t="inlineStr">
        <is>
          <t>Oro</t>
        </is>
      </c>
      <c r="B140" s="2" t="inlineStr">
        <is>
          <t>Amarillo</t>
        </is>
      </c>
      <c r="C140" s="3" t="n">
        <v>46027</v>
      </c>
      <c r="D140" s="2" t="inlineStr">
        <is>
          <t>A34982925</t>
        </is>
      </c>
      <c r="E140" s="2" t="inlineStr">
        <is>
          <t>Precursore…</t>
        </is>
      </c>
      <c r="F140" s="2" t="n">
        <v>1396322</v>
      </c>
      <c r="G140" s="4" t="n">
        <v>598.97</v>
      </c>
      <c r="H140" s="3" t="n">
        <v>45992</v>
      </c>
      <c r="I140" s="3" t="n">
        <v>46114</v>
      </c>
      <c r="J140" s="2" t="n">
        <v>68</v>
      </c>
      <c r="K140" s="2" t="n">
        <v>44.85</v>
      </c>
      <c r="L140" s="2" t="n">
        <v>2.11</v>
      </c>
      <c r="M140" s="4" t="n">
        <v>12.64</v>
      </c>
      <c r="N140" s="4" t="n">
        <v>50.74</v>
      </c>
      <c r="O140" s="2" t="n">
        <v>50</v>
      </c>
      <c r="P140" s="4" t="n">
        <v>6.37</v>
      </c>
      <c r="Q140" s="4" t="n">
        <v>25.29</v>
      </c>
      <c r="R140" s="4">
        <f>G140*(L140/100)*(O140/100)</f>
        <v/>
      </c>
      <c r="S140" s="4">
        <f>G140*(K140/360/100)*J140*(O140/100)</f>
        <v/>
      </c>
      <c r="T140" s="4">
        <f>P140-R140+Q140-S140</f>
        <v/>
      </c>
    </row>
    <row r="141">
      <c r="A141" s="2" t="inlineStr">
        <is>
          <t>Oro</t>
        </is>
      </c>
      <c r="B141" s="2" t="inlineStr">
        <is>
          <t>Amarillo</t>
        </is>
      </c>
      <c r="C141" s="3" t="n">
        <v>46027</v>
      </c>
      <c r="D141" s="2" t="inlineStr">
        <is>
          <t>A91563398</t>
        </is>
      </c>
      <c r="E141" s="2" t="inlineStr">
        <is>
          <t>Relés Cro…</t>
        </is>
      </c>
      <c r="F141" s="2" t="n">
        <v>3903221</v>
      </c>
      <c r="G141" s="4" t="n">
        <v>8141.96</v>
      </c>
      <c r="H141" s="3" t="n">
        <v>46000</v>
      </c>
      <c r="I141" s="3" t="n">
        <v>46169</v>
      </c>
      <c r="J141" s="2" t="n">
        <v>38</v>
      </c>
      <c r="K141" s="2" t="n">
        <v>26.68</v>
      </c>
      <c r="L141" s="2" t="n">
        <v>1.76</v>
      </c>
      <c r="M141" s="4" t="n">
        <v>143.3</v>
      </c>
      <c r="N141" s="4" t="n">
        <v>229.3</v>
      </c>
      <c r="O141" s="2" t="n">
        <v>20</v>
      </c>
      <c r="P141" s="4" t="n">
        <v>28.56</v>
      </c>
      <c r="Q141" s="4" t="n">
        <v>45.75</v>
      </c>
      <c r="R141" s="4">
        <f>G141*(L141/100)*(O141/100)</f>
        <v/>
      </c>
      <c r="S141" s="4">
        <f>G141*(K141/360/100)*J141*(O141/100)</f>
        <v/>
      </c>
      <c r="T141" s="4">
        <f>P141-R141+Q141-S141</f>
        <v/>
      </c>
    </row>
    <row r="142">
      <c r="A142" s="2" t="inlineStr">
        <is>
          <t>Oro</t>
        </is>
      </c>
      <c r="B142" s="2" t="inlineStr">
        <is>
          <t>Amarillo</t>
        </is>
      </c>
      <c r="C142" s="3" t="n">
        <v>46027</v>
      </c>
      <c r="D142" s="2" t="inlineStr">
        <is>
          <t>B81248591</t>
        </is>
      </c>
      <c r="E142" s="2" t="inlineStr">
        <is>
          <t>Baterías Se…</t>
        </is>
      </c>
      <c r="F142" s="2" t="n">
        <v>4593146</v>
      </c>
      <c r="G142" s="4" t="n">
        <v>8940.209999999999</v>
      </c>
      <c r="H142" s="3" t="n">
        <v>46006</v>
      </c>
      <c r="I142" s="3" t="n">
        <v>46104</v>
      </c>
      <c r="J142" s="2" t="n">
        <v>21</v>
      </c>
      <c r="K142" s="2" t="n">
        <v>23.62</v>
      </c>
      <c r="L142" s="2" t="n">
        <v>1.95</v>
      </c>
      <c r="M142" s="4" t="n">
        <v>174.33</v>
      </c>
      <c r="N142" s="4" t="n">
        <v>123.18</v>
      </c>
      <c r="O142" s="2" t="n">
        <v>70</v>
      </c>
      <c r="P142" s="4" t="n">
        <v>122.24</v>
      </c>
      <c r="Q142" s="4" t="n">
        <v>86.19</v>
      </c>
      <c r="R142" s="4">
        <f>G142*(L142/100)*(O142/100)</f>
        <v/>
      </c>
      <c r="S142" s="4">
        <f>G142*(K142/360/100)*J142*(O142/100)</f>
        <v/>
      </c>
      <c r="T142" s="4">
        <f>P142-R142+Q142-S142</f>
        <v/>
      </c>
    </row>
    <row r="143">
      <c r="A143" s="2" t="inlineStr">
        <is>
          <t>Oro</t>
        </is>
      </c>
      <c r="B143" s="2" t="inlineStr">
        <is>
          <t>Amarillo</t>
        </is>
      </c>
      <c r="C143" s="3" t="n">
        <v>46027</v>
      </c>
      <c r="D143" s="2" t="inlineStr">
        <is>
          <t>A12635750</t>
        </is>
      </c>
      <c r="E143" s="2" t="inlineStr">
        <is>
          <t>Baterías Su…</t>
        </is>
      </c>
      <c r="F143" s="2" t="n">
        <v>2349173</v>
      </c>
      <c r="G143" s="4" t="n">
        <v>3756.46</v>
      </c>
      <c r="H143" s="3" t="n">
        <v>46014</v>
      </c>
      <c r="I143" s="3" t="n">
        <v>46168</v>
      </c>
      <c r="J143" s="2" t="n">
        <v>41</v>
      </c>
      <c r="K143" s="2" t="n">
        <v>34.01</v>
      </c>
      <c r="L143" s="2" t="n">
        <v>1.05</v>
      </c>
      <c r="M143" s="4" t="n">
        <v>39.44</v>
      </c>
      <c r="N143" s="4" t="n">
        <v>145.5</v>
      </c>
      <c r="O143" s="2" t="n">
        <v>60</v>
      </c>
      <c r="P143" s="4" t="n">
        <v>23.49</v>
      </c>
      <c r="Q143" s="4" t="n">
        <v>87.51000000000001</v>
      </c>
      <c r="R143" s="4">
        <f>G143*(L143/100)*(O143/100)</f>
        <v/>
      </c>
      <c r="S143" s="4">
        <f>G143*(K143/360/100)*J143*(O143/100)</f>
        <v/>
      </c>
      <c r="T143" s="4">
        <f>P143-R143+Q143-S143</f>
        <v/>
      </c>
    </row>
    <row r="144">
      <c r="A144" s="2" t="inlineStr">
        <is>
          <t>Oro</t>
        </is>
      </c>
      <c r="B144" s="2" t="inlineStr">
        <is>
          <t>Amarillo</t>
        </is>
      </c>
      <c r="C144" s="3" t="n">
        <v>46027</v>
      </c>
      <c r="D144" s="2" t="inlineStr">
        <is>
          <t>B73452158</t>
        </is>
      </c>
      <c r="E144" s="2" t="inlineStr">
        <is>
          <t>Pizarras Ca…</t>
        </is>
      </c>
      <c r="F144" s="2" t="n">
        <v>1487933</v>
      </c>
      <c r="G144" s="4" t="n">
        <v>5130.5</v>
      </c>
      <c r="H144" s="3" t="n">
        <v>46019</v>
      </c>
      <c r="I144" s="3" t="n">
        <v>46045</v>
      </c>
      <c r="J144" s="2" t="n">
        <v>48</v>
      </c>
      <c r="K144" s="2" t="n">
        <v>34.85</v>
      </c>
      <c r="L144" s="2" t="n">
        <v>1.92</v>
      </c>
      <c r="M144" s="4" t="n">
        <v>98.51000000000001</v>
      </c>
      <c r="N144" s="4" t="n">
        <v>238.4</v>
      </c>
      <c r="O144" s="2" t="n">
        <v>20</v>
      </c>
      <c r="P144" s="4" t="n">
        <v>19.45</v>
      </c>
      <c r="Q144" s="4" t="n">
        <v>47.66</v>
      </c>
      <c r="R144" s="4">
        <f>G144*(L144/100)*(O144/100)</f>
        <v/>
      </c>
      <c r="S144" s="4">
        <f>G144*(K144/360/100)*J144*(O144/100)</f>
        <v/>
      </c>
      <c r="T144" s="4">
        <f>P144-R144+Q144-S144</f>
        <v/>
      </c>
    </row>
    <row r="145">
      <c r="A145" s="2" t="inlineStr">
        <is>
          <t>Oro</t>
        </is>
      </c>
      <c r="B145" s="2" t="inlineStr">
        <is>
          <t>Amarillo</t>
        </is>
      </c>
      <c r="C145" s="3" t="n">
        <v>46027</v>
      </c>
      <c r="D145" s="2" t="inlineStr">
        <is>
          <t>A21430616</t>
        </is>
      </c>
      <c r="E145" s="2" t="inlineStr">
        <is>
          <t>Cables Est…</t>
        </is>
      </c>
      <c r="F145" s="2" t="n">
        <v>1254282</v>
      </c>
      <c r="G145" s="4" t="n">
        <v>525.24</v>
      </c>
      <c r="H145" s="3" t="n">
        <v>45999</v>
      </c>
      <c r="I145" s="3" t="n">
        <v>46129</v>
      </c>
      <c r="J145" s="2" t="n">
        <v>28</v>
      </c>
      <c r="K145" s="2" t="n">
        <v>37.38</v>
      </c>
      <c r="L145" s="2" t="n">
        <v>2.26</v>
      </c>
      <c r="M145" s="4" t="n">
        <v>11.87</v>
      </c>
      <c r="N145" s="4" t="n">
        <v>15.27</v>
      </c>
      <c r="O145" s="2" t="n">
        <v>30</v>
      </c>
      <c r="P145" s="4" t="n">
        <v>3.77</v>
      </c>
      <c r="Q145" s="4" t="n">
        <v>4.45</v>
      </c>
      <c r="R145" s="4">
        <f>G145*(L145/100)*(O145/100)</f>
        <v/>
      </c>
      <c r="S145" s="4">
        <f>G145*(K145/360/100)*J145*(O145/100)</f>
        <v/>
      </c>
      <c r="T145" s="4">
        <f>P145-R145+Q145-S145</f>
        <v/>
      </c>
    </row>
    <row r="146">
      <c r="A146" s="2" t="inlineStr">
        <is>
          <t>Oro</t>
        </is>
      </c>
      <c r="B146" s="2" t="inlineStr">
        <is>
          <t>Amarillo</t>
        </is>
      </c>
      <c r="C146" s="3" t="n">
        <v>46027</v>
      </c>
      <c r="D146" s="2" t="inlineStr">
        <is>
          <t>A94663659</t>
        </is>
      </c>
      <c r="E146" s="2" t="inlineStr">
        <is>
          <t>Adoquines…</t>
        </is>
      </c>
      <c r="F146" s="2" t="n">
        <v>3421137</v>
      </c>
      <c r="G146" s="4" t="n">
        <v>156.96</v>
      </c>
      <c r="H146" s="3" t="n">
        <v>46019</v>
      </c>
      <c r="I146" s="3" t="n">
        <v>46089</v>
      </c>
      <c r="J146" s="2" t="n">
        <v>76</v>
      </c>
      <c r="K146" s="2" t="n">
        <v>13.96</v>
      </c>
      <c r="L146" s="2" t="n">
        <v>1.21</v>
      </c>
      <c r="M146" s="4" t="n">
        <v>1.9</v>
      </c>
      <c r="N146" s="4" t="n">
        <v>4.63</v>
      </c>
      <c r="O146" s="2" t="n">
        <v>20</v>
      </c>
      <c r="P146" s="4" t="n">
        <v>0.61</v>
      </c>
      <c r="Q146" s="4" t="n">
        <v>0.63</v>
      </c>
      <c r="R146" s="4">
        <f>G146*(L146/100)*(O146/100)</f>
        <v/>
      </c>
      <c r="S146" s="4">
        <f>G146*(K146/360/100)*J146*(O146/100)</f>
        <v/>
      </c>
      <c r="T146" s="4">
        <f>P146-R146+Q146-S146</f>
        <v/>
      </c>
    </row>
    <row r="147">
      <c r="A147" s="2" t="inlineStr">
        <is>
          <t>Oro</t>
        </is>
      </c>
      <c r="B147" s="2" t="inlineStr">
        <is>
          <t>Amarillo</t>
        </is>
      </c>
      <c r="C147" s="3" t="n">
        <v>46027</v>
      </c>
      <c r="D147" s="2" t="inlineStr">
        <is>
          <t>B24639776</t>
        </is>
      </c>
      <c r="E147" s="2" t="inlineStr">
        <is>
          <t>Colas Reci…</t>
        </is>
      </c>
      <c r="F147" s="2" t="n">
        <v>4317503</v>
      </c>
      <c r="G147" s="4" t="n">
        <v>436.19</v>
      </c>
      <c r="H147" s="3" t="n">
        <v>45993</v>
      </c>
      <c r="I147" s="3" t="n">
        <v>46166</v>
      </c>
      <c r="J147" s="2" t="n">
        <v>76</v>
      </c>
      <c r="K147" s="2" t="n">
        <v>21.3</v>
      </c>
      <c r="L147" s="2" t="n">
        <v>0.51</v>
      </c>
      <c r="M147" s="4" t="n">
        <v>2.22</v>
      </c>
      <c r="N147" s="4" t="n">
        <v>19.61</v>
      </c>
      <c r="O147" s="2" t="n">
        <v>50</v>
      </c>
      <c r="P147" s="4" t="n">
        <v>0.99</v>
      </c>
      <c r="Q147" s="4" t="n">
        <v>9.779999999999999</v>
      </c>
      <c r="R147" s="4">
        <f>G147*(L147/100)*(O147/100)</f>
        <v/>
      </c>
      <c r="S147" s="4">
        <f>G147*(K147/360/100)*J147*(O147/100)</f>
        <v/>
      </c>
      <c r="T147" s="4">
        <f>P147-R147+Q147-S147</f>
        <v/>
      </c>
    </row>
    <row r="148">
      <c r="A148" s="2" t="inlineStr">
        <is>
          <t>Oro</t>
        </is>
      </c>
      <c r="B148" s="2" t="inlineStr">
        <is>
          <t>Amarillo</t>
        </is>
      </c>
      <c r="C148" s="3" t="n">
        <v>46027</v>
      </c>
      <c r="D148" s="2" t="inlineStr">
        <is>
          <t>B76922649</t>
        </is>
      </c>
      <c r="E148" s="2" t="inlineStr">
        <is>
          <t>Reciclajes…</t>
        </is>
      </c>
      <c r="F148" s="2" t="n">
        <v>3783316</v>
      </c>
      <c r="G148" s="4" t="n">
        <v>147.49</v>
      </c>
      <c r="H148" s="3" t="n">
        <v>45992</v>
      </c>
      <c r="I148" s="3" t="n">
        <v>46095</v>
      </c>
      <c r="J148" s="2" t="n">
        <v>37</v>
      </c>
      <c r="K148" s="2" t="n">
        <v>43.76</v>
      </c>
      <c r="L148" s="2" t="n">
        <v>1.76</v>
      </c>
      <c r="M148" s="4" t="n">
        <v>2.6</v>
      </c>
      <c r="N148" s="4" t="n">
        <v>6.63</v>
      </c>
      <c r="O148" s="2" t="n">
        <v>50</v>
      </c>
      <c r="P148" s="4" t="n">
        <v>1.5</v>
      </c>
      <c r="Q148" s="4" t="n">
        <v>3.51</v>
      </c>
      <c r="R148" s="4">
        <f>G148*(L148/100)*(O148/100)</f>
        <v/>
      </c>
      <c r="S148" s="4">
        <f>G148*(K148/360/100)*J148*(O148/100)</f>
        <v/>
      </c>
      <c r="T148" s="4">
        <f>P148-R148+Q148-S148</f>
        <v/>
      </c>
    </row>
    <row r="149">
      <c r="A149" s="2" t="inlineStr">
        <is>
          <t>Oro</t>
        </is>
      </c>
      <c r="B149" s="2" t="inlineStr">
        <is>
          <t>Amarillo</t>
        </is>
      </c>
      <c r="C149" s="3" t="n">
        <v>46027</v>
      </c>
      <c r="D149" s="2" t="inlineStr">
        <is>
          <t>B17050627</t>
        </is>
      </c>
      <c r="E149" s="2" t="inlineStr">
        <is>
          <t>Reductores…</t>
        </is>
      </c>
      <c r="F149" s="2" t="n">
        <v>2384641</v>
      </c>
      <c r="G149" s="4" t="n">
        <v>9028.65</v>
      </c>
      <c r="H149" s="3" t="n">
        <v>46012</v>
      </c>
      <c r="I149" s="3" t="n">
        <v>46097</v>
      </c>
      <c r="J149" s="2" t="n">
        <v>62</v>
      </c>
      <c r="K149" s="2" t="n">
        <v>38.83</v>
      </c>
      <c r="L149" s="2" t="n">
        <v>2.26</v>
      </c>
      <c r="M149" s="4" t="n">
        <v>204.05</v>
      </c>
      <c r="N149" s="4" t="n">
        <v>603.78</v>
      </c>
      <c r="O149" s="2" t="n">
        <v>50</v>
      </c>
      <c r="P149" s="4" t="n">
        <v>101.81</v>
      </c>
      <c r="Q149" s="4" t="n">
        <v>301.63</v>
      </c>
      <c r="R149" s="4">
        <f>G149*(L149/100)*(O149/100)</f>
        <v/>
      </c>
      <c r="S149" s="4">
        <f>G149*(K149/360/100)*J149*(O149/100)</f>
        <v/>
      </c>
      <c r="T149" s="4">
        <f>P149-R149+Q149-S149</f>
        <v/>
      </c>
    </row>
    <row r="150">
      <c r="A150" s="2" t="inlineStr">
        <is>
          <t>Oro</t>
        </is>
      </c>
      <c r="B150" s="2" t="inlineStr">
        <is>
          <t>Amarillo</t>
        </is>
      </c>
      <c r="C150" s="3" t="n">
        <v>46027</v>
      </c>
      <c r="D150" s="2" t="inlineStr">
        <is>
          <t>B21017189</t>
        </is>
      </c>
      <c r="E150" s="2" t="inlineStr">
        <is>
          <t>Colas Fund…</t>
        </is>
      </c>
      <c r="F150" s="2" t="n">
        <v>3911541</v>
      </c>
      <c r="G150" s="4" t="n">
        <v>908.27</v>
      </c>
      <c r="H150" s="3" t="n">
        <v>46016</v>
      </c>
      <c r="I150" s="3" t="n">
        <v>46144</v>
      </c>
      <c r="J150" s="2" t="n">
        <v>42</v>
      </c>
      <c r="K150" s="2" t="n">
        <v>23.24</v>
      </c>
      <c r="L150" s="2" t="n">
        <v>1.28</v>
      </c>
      <c r="M150" s="4" t="n">
        <v>11.63</v>
      </c>
      <c r="N150" s="4" t="n">
        <v>24.63</v>
      </c>
      <c r="O150" s="2" t="n">
        <v>30</v>
      </c>
      <c r="P150" s="4" t="n">
        <v>3.47</v>
      </c>
      <c r="Q150" s="4" t="n">
        <v>7.17</v>
      </c>
      <c r="R150" s="4">
        <f>G150*(L150/100)*(O150/100)</f>
        <v/>
      </c>
      <c r="S150" s="4">
        <f>G150*(K150/360/100)*J150*(O150/100)</f>
        <v/>
      </c>
      <c r="T150" s="4">
        <f>P150-R150+Q150-S150</f>
        <v/>
      </c>
    </row>
    <row r="151">
      <c r="A151" s="2" t="inlineStr">
        <is>
          <t>Oro</t>
        </is>
      </c>
      <c r="B151" s="2" t="inlineStr">
        <is>
          <t>Amarillo</t>
        </is>
      </c>
      <c r="C151" s="3" t="n">
        <v>46027</v>
      </c>
      <c r="D151" s="2" t="inlineStr">
        <is>
          <t>B92746926</t>
        </is>
      </c>
      <c r="E151" s="2" t="inlineStr">
        <is>
          <t>Envases Pr…</t>
        </is>
      </c>
      <c r="F151" s="2" t="n">
        <v>3253538</v>
      </c>
      <c r="G151" s="4" t="n">
        <v>457.19</v>
      </c>
      <c r="H151" s="3" t="n">
        <v>46001</v>
      </c>
      <c r="I151" s="3" t="n">
        <v>46097</v>
      </c>
      <c r="J151" s="2" t="n">
        <v>17</v>
      </c>
      <c r="K151" s="2" t="n">
        <v>12.66</v>
      </c>
      <c r="L151" s="2" t="n">
        <v>2.22</v>
      </c>
      <c r="M151" s="4" t="n">
        <v>10.15</v>
      </c>
      <c r="N151" s="4" t="n">
        <v>2.73</v>
      </c>
      <c r="O151" s="2" t="n">
        <v>30</v>
      </c>
      <c r="P151" s="4" t="n">
        <v>3.33</v>
      </c>
      <c r="Q151" s="4" t="n">
        <v>1.07</v>
      </c>
      <c r="R151" s="4">
        <f>G151*(L151/100)*(O151/100)</f>
        <v/>
      </c>
      <c r="S151" s="4">
        <f>G151*(K151/360/100)*J151*(O151/100)</f>
        <v/>
      </c>
      <c r="T151" s="4">
        <f>P151-R151+Q151-S151</f>
        <v/>
      </c>
    </row>
    <row r="152">
      <c r="A152" s="2" t="inlineStr">
        <is>
          <t>Oro</t>
        </is>
      </c>
      <c r="B152" s="2" t="inlineStr">
        <is>
          <t>Amarillo</t>
        </is>
      </c>
      <c r="C152" s="3" t="n">
        <v>46027</v>
      </c>
      <c r="D152" s="2" t="inlineStr">
        <is>
          <t>A74357395</t>
        </is>
      </c>
      <c r="E152" s="2" t="inlineStr">
        <is>
          <t>Excipientes…</t>
        </is>
      </c>
      <c r="F152" s="2" t="n">
        <v>2192688</v>
      </c>
      <c r="G152" s="4" t="n">
        <v>319.77</v>
      </c>
      <c r="H152" s="3" t="n">
        <v>45993</v>
      </c>
      <c r="I152" s="3" t="n">
        <v>46098</v>
      </c>
      <c r="J152" s="2" t="n">
        <v>21</v>
      </c>
      <c r="K152" s="2" t="n">
        <v>28.15</v>
      </c>
      <c r="L152" s="2" t="n">
        <v>2.73</v>
      </c>
      <c r="M152" s="4" t="n">
        <v>8.73</v>
      </c>
      <c r="N152" s="4" t="n">
        <v>5.25</v>
      </c>
      <c r="O152" s="2" t="n">
        <v>40</v>
      </c>
      <c r="P152" s="4" t="n">
        <v>3.63</v>
      </c>
      <c r="Q152" s="4" t="n">
        <v>1.88</v>
      </c>
      <c r="R152" s="4">
        <f>G152*(L152/100)*(O152/100)</f>
        <v/>
      </c>
      <c r="S152" s="4">
        <f>G152*(K152/360/100)*J152*(O152/100)</f>
        <v/>
      </c>
      <c r="T152" s="4">
        <f>P152-R152+Q152-S152</f>
        <v/>
      </c>
    </row>
    <row r="153">
      <c r="A153" s="2" t="inlineStr">
        <is>
          <t>Oro</t>
        </is>
      </c>
      <c r="B153" s="2" t="inlineStr">
        <is>
          <t>Amarillo</t>
        </is>
      </c>
      <c r="C153" s="3" t="n">
        <v>46027</v>
      </c>
      <c r="D153" s="2" t="inlineStr">
        <is>
          <t>B04173681</t>
        </is>
      </c>
      <c r="E153" s="2" t="inlineStr">
        <is>
          <t>Bridas Can…</t>
        </is>
      </c>
      <c r="F153" s="2" t="n">
        <v>2203697</v>
      </c>
      <c r="G153" s="4" t="n">
        <v>154.79</v>
      </c>
      <c r="H153" s="3" t="n">
        <v>46003</v>
      </c>
      <c r="I153" s="3" t="n">
        <v>46122</v>
      </c>
      <c r="J153" s="2" t="n">
        <v>33</v>
      </c>
      <c r="K153" s="2" t="n">
        <v>48.79</v>
      </c>
      <c r="L153" s="2" t="n">
        <v>2.41</v>
      </c>
      <c r="M153" s="4" t="n">
        <v>3.73</v>
      </c>
      <c r="N153" s="4" t="n">
        <v>6.92</v>
      </c>
      <c r="O153" s="2" t="n">
        <v>40</v>
      </c>
      <c r="P153" s="4" t="n">
        <v>1.72</v>
      </c>
      <c r="Q153" s="4" t="n">
        <v>2.87</v>
      </c>
      <c r="R153" s="4">
        <f>G153*(L153/100)*(O153/100)</f>
        <v/>
      </c>
      <c r="S153" s="4">
        <f>G153*(K153/360/100)*J153*(O153/100)</f>
        <v/>
      </c>
      <c r="T153" s="4">
        <f>P153-R153+Q153-S153</f>
        <v/>
      </c>
    </row>
    <row r="154">
      <c r="A154" s="2" t="inlineStr">
        <is>
          <t>Oro</t>
        </is>
      </c>
      <c r="B154" s="2" t="inlineStr">
        <is>
          <t>Amarillo</t>
        </is>
      </c>
      <c r="C154" s="3" t="n">
        <v>46027</v>
      </c>
      <c r="D154" s="2" t="inlineStr">
        <is>
          <t>B60487844</t>
        </is>
      </c>
      <c r="E154" s="2" t="inlineStr">
        <is>
          <t>Vigas Acla…</t>
        </is>
      </c>
      <c r="F154" s="2" t="n">
        <v>1138991</v>
      </c>
      <c r="G154" s="4" t="n">
        <v>804.86</v>
      </c>
      <c r="H154" s="3" t="n">
        <v>45993</v>
      </c>
      <c r="I154" s="3" t="n">
        <v>46067</v>
      </c>
      <c r="J154" s="2" t="n">
        <v>11</v>
      </c>
      <c r="K154" s="2" t="n">
        <v>36.77</v>
      </c>
      <c r="L154" s="2" t="n">
        <v>2.04</v>
      </c>
      <c r="M154" s="4" t="n">
        <v>16.42</v>
      </c>
      <c r="N154" s="4" t="n">
        <v>9.039999999999999</v>
      </c>
      <c r="O154" s="2" t="n">
        <v>20</v>
      </c>
      <c r="P154" s="4" t="n">
        <v>3.32</v>
      </c>
      <c r="Q154" s="4" t="n">
        <v>1.96</v>
      </c>
      <c r="R154" s="4">
        <f>G154*(L154/100)*(O154/100)</f>
        <v/>
      </c>
      <c r="S154" s="4">
        <f>G154*(K154/360/100)*J154*(O154/100)</f>
        <v/>
      </c>
      <c r="T154" s="4">
        <f>P154-R154+Q154-S154</f>
        <v/>
      </c>
    </row>
    <row r="155">
      <c r="A155" s="2" t="inlineStr">
        <is>
          <t>Oro</t>
        </is>
      </c>
      <c r="B155" s="2" t="inlineStr">
        <is>
          <t>Amarillo</t>
        </is>
      </c>
      <c r="C155" s="3" t="n">
        <v>46027</v>
      </c>
      <c r="D155" s="2" t="inlineStr">
        <is>
          <t>A58630456</t>
        </is>
      </c>
      <c r="E155" s="2" t="inlineStr">
        <is>
          <t>Drenajes A…</t>
        </is>
      </c>
      <c r="F155" s="2" t="n">
        <v>1754115</v>
      </c>
      <c r="G155" s="4" t="n">
        <v>924.48</v>
      </c>
      <c r="H155" s="3" t="n">
        <v>45999</v>
      </c>
      <c r="I155" s="3" t="n">
        <v>46066</v>
      </c>
      <c r="J155" s="2" t="n">
        <v>48</v>
      </c>
      <c r="K155" s="2" t="n">
        <v>21.66</v>
      </c>
      <c r="L155" s="2" t="n">
        <v>2.5</v>
      </c>
      <c r="M155" s="4" t="n">
        <v>23.11</v>
      </c>
      <c r="N155" s="4" t="n">
        <v>26.7</v>
      </c>
      <c r="O155" s="2" t="n">
        <v>20</v>
      </c>
      <c r="P155" s="4" t="n">
        <v>4.52</v>
      </c>
      <c r="Q155" s="4" t="n">
        <v>5.21</v>
      </c>
      <c r="R155" s="4">
        <f>G155*(L155/100)*(O155/100)</f>
        <v/>
      </c>
      <c r="S155" s="4">
        <f>G155*(K155/360/100)*J155*(O155/100)</f>
        <v/>
      </c>
      <c r="T155" s="4">
        <f>P155-R155+Q155-S155</f>
        <v/>
      </c>
    </row>
    <row r="156">
      <c r="A156" s="2" t="inlineStr">
        <is>
          <t>Oro</t>
        </is>
      </c>
      <c r="B156" s="2" t="inlineStr">
        <is>
          <t>Amarillo</t>
        </is>
      </c>
      <c r="C156" s="3" t="n">
        <v>46027</v>
      </c>
      <c r="D156" s="2" t="inlineStr">
        <is>
          <t>A69716470</t>
        </is>
      </c>
      <c r="E156" s="2" t="inlineStr">
        <is>
          <t>Morteros G…</t>
        </is>
      </c>
      <c r="F156" s="2" t="n">
        <v>2593834</v>
      </c>
      <c r="G156" s="4" t="n">
        <v>269.4</v>
      </c>
      <c r="H156" s="3" t="n">
        <v>45999</v>
      </c>
      <c r="I156" s="3" t="n">
        <v>46029</v>
      </c>
      <c r="J156" s="2" t="n">
        <v>82</v>
      </c>
      <c r="K156" s="2" t="n">
        <v>34.12</v>
      </c>
      <c r="L156" s="2" t="n">
        <v>2.92</v>
      </c>
      <c r="M156" s="4" t="n">
        <v>7.87</v>
      </c>
      <c r="N156" s="4" t="n">
        <v>20.94</v>
      </c>
      <c r="O156" s="2" t="n">
        <v>50</v>
      </c>
      <c r="P156" s="4" t="n">
        <v>4.21</v>
      </c>
      <c r="Q156" s="4" t="n">
        <v>10.68</v>
      </c>
      <c r="R156" s="4">
        <f>G156*(L156/100)*(O156/100)</f>
        <v/>
      </c>
      <c r="S156" s="4">
        <f>G156*(K156/360/100)*J156*(O156/100)</f>
        <v/>
      </c>
      <c r="T156" s="4">
        <f>P156-R156+Q156-S156</f>
        <v/>
      </c>
    </row>
    <row r="157">
      <c r="A157" s="2" t="inlineStr">
        <is>
          <t>Oro</t>
        </is>
      </c>
      <c r="B157" s="2" t="inlineStr">
        <is>
          <t>Amarillo</t>
        </is>
      </c>
      <c r="C157" s="3" t="n">
        <v>46027</v>
      </c>
      <c r="D157" s="2" t="inlineStr">
        <is>
          <t>B41338591</t>
        </is>
      </c>
      <c r="E157" s="2" t="inlineStr">
        <is>
          <t>Azúcares E…</t>
        </is>
      </c>
      <c r="F157" s="2" t="n">
        <v>3222034</v>
      </c>
      <c r="G157" s="4" t="n">
        <v>148.21</v>
      </c>
      <c r="H157" s="3" t="n">
        <v>45994</v>
      </c>
      <c r="I157" s="3" t="n">
        <v>46094</v>
      </c>
      <c r="J157" s="2" t="n">
        <v>64</v>
      </c>
      <c r="K157" s="2" t="n">
        <v>18.48</v>
      </c>
      <c r="L157" s="2" t="n">
        <v>1.28</v>
      </c>
      <c r="M157" s="4" t="n">
        <v>1.9</v>
      </c>
      <c r="N157" s="4" t="n">
        <v>4.87</v>
      </c>
      <c r="O157" s="2" t="n">
        <v>40</v>
      </c>
      <c r="P157" s="4" t="n">
        <v>0.52</v>
      </c>
      <c r="Q157" s="4" t="n">
        <v>2.04</v>
      </c>
      <c r="R157" s="4">
        <f>G157*(L157/100)*(O157/100)</f>
        <v/>
      </c>
      <c r="S157" s="4">
        <f>G157*(K157/360/100)*J157*(O157/100)</f>
        <v/>
      </c>
      <c r="T157" s="4">
        <f>P157-R157+Q157-S157</f>
        <v/>
      </c>
    </row>
    <row r="158">
      <c r="A158" s="2" t="inlineStr">
        <is>
          <t>Oro</t>
        </is>
      </c>
      <c r="B158" s="2" t="inlineStr">
        <is>
          <t>Amarillo</t>
        </is>
      </c>
      <c r="C158" s="3" t="n">
        <v>46027</v>
      </c>
      <c r="D158" s="2" t="inlineStr">
        <is>
          <t>A35669986</t>
        </is>
      </c>
      <c r="E158" s="2" t="inlineStr">
        <is>
          <t>Ladrillos Ba…</t>
        </is>
      </c>
      <c r="F158" s="2" t="n">
        <v>2032147</v>
      </c>
      <c r="G158" s="4" t="n">
        <v>616.85</v>
      </c>
      <c r="H158" s="3" t="n">
        <v>45999</v>
      </c>
      <c r="I158" s="3" t="n">
        <v>46137</v>
      </c>
      <c r="J158" s="2" t="n">
        <v>55</v>
      </c>
      <c r="K158" s="2" t="n">
        <v>21.26</v>
      </c>
      <c r="L158" s="2" t="n">
        <v>2.55</v>
      </c>
      <c r="M158" s="4" t="n">
        <v>15.73</v>
      </c>
      <c r="N158" s="4" t="n">
        <v>20.04</v>
      </c>
      <c r="O158" s="2" t="n">
        <v>70</v>
      </c>
      <c r="P158" s="4" t="n">
        <v>11.23</v>
      </c>
      <c r="Q158" s="4" t="n">
        <v>14.11</v>
      </c>
      <c r="R158" s="4">
        <f>G158*(L158/100)*(O158/100)</f>
        <v/>
      </c>
      <c r="S158" s="4">
        <f>G158*(K158/360/100)*J158*(O158/100)</f>
        <v/>
      </c>
      <c r="T158" s="4">
        <f>P158-R158+Q158-S158</f>
        <v/>
      </c>
    </row>
    <row r="159">
      <c r="A159" s="2" t="inlineStr">
        <is>
          <t>Oro</t>
        </is>
      </c>
      <c r="B159" s="2" t="inlineStr">
        <is>
          <t>Amarillo</t>
        </is>
      </c>
      <c r="C159" s="3" t="n">
        <v>46027</v>
      </c>
      <c r="D159" s="2" t="inlineStr">
        <is>
          <t>B79511448</t>
        </is>
      </c>
      <c r="E159" s="2" t="inlineStr">
        <is>
          <t>Morteros N…</t>
        </is>
      </c>
      <c r="F159" s="2" t="n">
        <v>4483826</v>
      </c>
      <c r="G159" s="4" t="n">
        <v>3378.51</v>
      </c>
      <c r="H159" s="3" t="n">
        <v>46005</v>
      </c>
      <c r="I159" s="3" t="n">
        <v>46039</v>
      </c>
      <c r="J159" s="2" t="n">
        <v>31</v>
      </c>
      <c r="K159" s="2" t="n">
        <v>28.57</v>
      </c>
      <c r="L159" s="2" t="n">
        <v>1.87</v>
      </c>
      <c r="M159" s="4" t="n">
        <v>63.18</v>
      </c>
      <c r="N159" s="4" t="n">
        <v>83.12</v>
      </c>
      <c r="O159" s="2" t="n">
        <v>30</v>
      </c>
      <c r="P159" s="4" t="n">
        <v>18.94</v>
      </c>
      <c r="Q159" s="4" t="n">
        <v>24.83</v>
      </c>
      <c r="R159" s="4">
        <f>G159*(L159/100)*(O159/100)</f>
        <v/>
      </c>
      <c r="S159" s="4">
        <f>G159*(K159/360/100)*J159*(O159/100)</f>
        <v/>
      </c>
      <c r="T159" s="4">
        <f>P159-R159+Q159-S159</f>
        <v/>
      </c>
    </row>
    <row r="160">
      <c r="A160" s="2" t="inlineStr">
        <is>
          <t>Oro</t>
        </is>
      </c>
      <c r="B160" s="2" t="inlineStr">
        <is>
          <t>Amarillo</t>
        </is>
      </c>
      <c r="C160" s="3" t="n">
        <v>46027</v>
      </c>
      <c r="D160" s="2" t="inlineStr">
        <is>
          <t>A35720637</t>
        </is>
      </c>
      <c r="E160" s="2" t="inlineStr">
        <is>
          <t>Derivados…</t>
        </is>
      </c>
      <c r="F160" s="2" t="n">
        <v>3292101</v>
      </c>
      <c r="G160" s="4" t="n">
        <v>754.27</v>
      </c>
      <c r="H160" s="3" t="n">
        <v>46008</v>
      </c>
      <c r="I160" s="3" t="n">
        <v>46099</v>
      </c>
      <c r="J160" s="2" t="n">
        <v>30</v>
      </c>
      <c r="K160" s="2" t="n">
        <v>25.46</v>
      </c>
      <c r="L160" s="2" t="n">
        <v>2.25</v>
      </c>
      <c r="M160" s="4" t="n">
        <v>16.97</v>
      </c>
      <c r="N160" s="4" t="n">
        <v>16</v>
      </c>
      <c r="O160" s="2" t="n">
        <v>70</v>
      </c>
      <c r="P160" s="4" t="n">
        <v>12.11</v>
      </c>
      <c r="Q160" s="4" t="n">
        <v>11.27</v>
      </c>
      <c r="R160" s="4">
        <f>G160*(L160/100)*(O160/100)</f>
        <v/>
      </c>
      <c r="S160" s="4">
        <f>G160*(K160/360/100)*J160*(O160/100)</f>
        <v/>
      </c>
      <c r="T160" s="4">
        <f>P160-R160+Q160-S160</f>
        <v/>
      </c>
    </row>
    <row r="161">
      <c r="A161" s="2" t="inlineStr">
        <is>
          <t>Oro</t>
        </is>
      </c>
      <c r="B161" s="2" t="inlineStr">
        <is>
          <t>Amarillo</t>
        </is>
      </c>
      <c r="C161" s="3" t="n">
        <v>46027</v>
      </c>
      <c r="D161" s="2" t="inlineStr">
        <is>
          <t>B73902506</t>
        </is>
      </c>
      <c r="E161" s="2" t="inlineStr">
        <is>
          <t>Licores Sist…</t>
        </is>
      </c>
      <c r="F161" s="2" t="n">
        <v>2555743</v>
      </c>
      <c r="G161" s="4" t="n">
        <v>9365.459999999999</v>
      </c>
      <c r="H161" s="3" t="n">
        <v>46006</v>
      </c>
      <c r="I161" s="3" t="n">
        <v>46080</v>
      </c>
      <c r="J161" s="2" t="n">
        <v>80</v>
      </c>
      <c r="K161" s="2" t="n">
        <v>35.93</v>
      </c>
      <c r="L161" s="2" t="n">
        <v>1.95</v>
      </c>
      <c r="M161" s="4" t="n">
        <v>182.63</v>
      </c>
      <c r="N161" s="4" t="n">
        <v>747.78</v>
      </c>
      <c r="O161" s="2" t="n">
        <v>40</v>
      </c>
      <c r="P161" s="4" t="n">
        <v>73.34</v>
      </c>
      <c r="Q161" s="4" t="n">
        <v>299.21</v>
      </c>
      <c r="R161" s="4">
        <f>G161*(L161/100)*(O161/100)</f>
        <v/>
      </c>
      <c r="S161" s="4">
        <f>G161*(K161/360/100)*J161*(O161/100)</f>
        <v/>
      </c>
      <c r="T161" s="4">
        <f>P161-R161+Q161-S161</f>
        <v/>
      </c>
    </row>
    <row r="162">
      <c r="A162" s="2" t="inlineStr">
        <is>
          <t>Oro</t>
        </is>
      </c>
      <c r="B162" s="2" t="inlineStr">
        <is>
          <t>Amarillo</t>
        </is>
      </c>
      <c r="C162" s="3" t="n">
        <v>46027</v>
      </c>
      <c r="D162" s="2" t="inlineStr">
        <is>
          <t>A62059817</t>
        </is>
      </c>
      <c r="E162" s="2" t="inlineStr">
        <is>
          <t>Pesticidas…</t>
        </is>
      </c>
      <c r="F162" s="2" t="n">
        <v>4582625</v>
      </c>
      <c r="G162" s="4" t="n">
        <v>447.72</v>
      </c>
      <c r="H162" s="3" t="n">
        <v>45999</v>
      </c>
      <c r="I162" s="3" t="n">
        <v>46049</v>
      </c>
      <c r="J162" s="2" t="n">
        <v>39</v>
      </c>
      <c r="K162" s="2" t="n">
        <v>38.13</v>
      </c>
      <c r="L162" s="2" t="n">
        <v>1.6</v>
      </c>
      <c r="M162" s="4" t="n">
        <v>7.16</v>
      </c>
      <c r="N162" s="4" t="n">
        <v>18.49</v>
      </c>
      <c r="O162" s="2" t="n">
        <v>50</v>
      </c>
      <c r="P162" s="4" t="n">
        <v>3.63</v>
      </c>
      <c r="Q162" s="4" t="n">
        <v>9.16</v>
      </c>
      <c r="R162" s="4">
        <f>G162*(L162/100)*(O162/100)</f>
        <v/>
      </c>
      <c r="S162" s="4">
        <f>G162*(K162/360/100)*J162*(O162/100)</f>
        <v/>
      </c>
      <c r="T162" s="4">
        <f>P162-R162+Q162-S162</f>
        <v/>
      </c>
    </row>
    <row r="163">
      <c r="A163" s="2" t="inlineStr">
        <is>
          <t>Oro</t>
        </is>
      </c>
      <c r="B163" s="2" t="inlineStr">
        <is>
          <t>Amarillo</t>
        </is>
      </c>
      <c r="C163" s="3" t="n">
        <v>46027</v>
      </c>
      <c r="D163" s="2" t="inlineStr">
        <is>
          <t>B80982212</t>
        </is>
      </c>
      <c r="E163" s="2" t="inlineStr">
        <is>
          <t>Remolques…</t>
        </is>
      </c>
      <c r="F163" s="2" t="n">
        <v>4034624</v>
      </c>
      <c r="G163" s="4" t="n">
        <v>947.53</v>
      </c>
      <c r="H163" s="3" t="n">
        <v>45999</v>
      </c>
      <c r="I163" s="3" t="n">
        <v>46177</v>
      </c>
      <c r="J163" s="2" t="n">
        <v>39</v>
      </c>
      <c r="K163" s="2" t="n">
        <v>40.49</v>
      </c>
      <c r="L163" s="2" t="n">
        <v>2.3</v>
      </c>
      <c r="M163" s="4" t="n">
        <v>21.79</v>
      </c>
      <c r="N163" s="4" t="n">
        <v>41.56</v>
      </c>
      <c r="O163" s="2" t="n">
        <v>20</v>
      </c>
      <c r="P163" s="4" t="n">
        <v>4.18</v>
      </c>
      <c r="Q163" s="4" t="n">
        <v>8.1</v>
      </c>
      <c r="R163" s="4">
        <f>G163*(L163/100)*(O163/100)</f>
        <v/>
      </c>
      <c r="S163" s="4">
        <f>G163*(K163/360/100)*J163*(O163/100)</f>
        <v/>
      </c>
      <c r="T163" s="4">
        <f>P163-R163+Q163-S163</f>
        <v/>
      </c>
    </row>
    <row r="164">
      <c r="A164" s="2" t="inlineStr">
        <is>
          <t>Oro</t>
        </is>
      </c>
      <c r="B164" s="2" t="inlineStr">
        <is>
          <t>Amarillo</t>
        </is>
      </c>
      <c r="C164" s="3" t="n">
        <v>46027</v>
      </c>
      <c r="D164" s="2" t="inlineStr">
        <is>
          <t>A47417591</t>
        </is>
      </c>
      <c r="E164" s="2" t="inlineStr">
        <is>
          <t>Caolines S…</t>
        </is>
      </c>
      <c r="F164" s="2" t="n">
        <v>2525032</v>
      </c>
      <c r="G164" s="4" t="n">
        <v>7663.61</v>
      </c>
      <c r="H164" s="3" t="n">
        <v>45994</v>
      </c>
      <c r="I164" s="3" t="n">
        <v>46064</v>
      </c>
      <c r="J164" s="2" t="n">
        <v>49</v>
      </c>
      <c r="K164" s="2" t="n">
        <v>30.77</v>
      </c>
      <c r="L164" s="2" t="n">
        <v>1.88</v>
      </c>
      <c r="M164" s="4" t="n">
        <v>144.08</v>
      </c>
      <c r="N164" s="4" t="n">
        <v>320.96</v>
      </c>
      <c r="O164" s="2" t="n">
        <v>30</v>
      </c>
      <c r="P164" s="4" t="n">
        <v>42.98</v>
      </c>
      <c r="Q164" s="4" t="n">
        <v>96.31999999999999</v>
      </c>
      <c r="R164" s="4">
        <f>G164*(L164/100)*(O164/100)</f>
        <v/>
      </c>
      <c r="S164" s="4">
        <f>G164*(K164/360/100)*J164*(O164/100)</f>
        <v/>
      </c>
      <c r="T164" s="4">
        <f>P164-R164+Q164-S164</f>
        <v/>
      </c>
    </row>
    <row r="165">
      <c r="A165" s="2" t="inlineStr">
        <is>
          <t>Oro</t>
        </is>
      </c>
      <c r="B165" s="2" t="inlineStr">
        <is>
          <t>Amarillo</t>
        </is>
      </c>
      <c r="C165" s="3" t="n">
        <v>46027</v>
      </c>
      <c r="D165" s="2" t="inlineStr">
        <is>
          <t>B50281288</t>
        </is>
      </c>
      <c r="E165" s="2" t="inlineStr">
        <is>
          <t>Cables Elé…</t>
        </is>
      </c>
      <c r="F165" s="2" t="n">
        <v>3053368</v>
      </c>
      <c r="G165" s="4" t="n">
        <v>707.1799999999999</v>
      </c>
      <c r="H165" s="3" t="n">
        <v>46014</v>
      </c>
      <c r="I165" s="3" t="n">
        <v>46071</v>
      </c>
      <c r="J165" s="2" t="n">
        <v>49</v>
      </c>
      <c r="K165" s="2" t="n">
        <v>38.71</v>
      </c>
      <c r="L165" s="2" t="n">
        <v>2.02</v>
      </c>
      <c r="M165" s="4" t="n">
        <v>14.29</v>
      </c>
      <c r="N165" s="4" t="n">
        <v>37.26</v>
      </c>
      <c r="O165" s="2" t="n">
        <v>50</v>
      </c>
      <c r="P165" s="4" t="n">
        <v>7.4</v>
      </c>
      <c r="Q165" s="4" t="n">
        <v>18.55</v>
      </c>
      <c r="R165" s="4">
        <f>G165*(L165/100)*(O165/100)</f>
        <v/>
      </c>
      <c r="S165" s="4">
        <f>G165*(K165/360/100)*J165*(O165/100)</f>
        <v/>
      </c>
      <c r="T165" s="4">
        <f>P165-R165+Q165-S165</f>
        <v/>
      </c>
    </row>
    <row r="166">
      <c r="A166" s="2" t="inlineStr">
        <is>
          <t>Oro</t>
        </is>
      </c>
      <c r="B166" s="2" t="inlineStr">
        <is>
          <t>Amarillo</t>
        </is>
      </c>
      <c r="C166" s="3" t="n">
        <v>46027</v>
      </c>
      <c r="D166" s="2" t="inlineStr">
        <is>
          <t>B87217981</t>
        </is>
      </c>
      <c r="E166" s="2" t="inlineStr">
        <is>
          <t>Gestiones…</t>
        </is>
      </c>
      <c r="F166" s="2" t="n">
        <v>4449693</v>
      </c>
      <c r="G166" s="4" t="n">
        <v>5717.79</v>
      </c>
      <c r="H166" s="3" t="n">
        <v>46015</v>
      </c>
      <c r="I166" s="3" t="n">
        <v>46134</v>
      </c>
      <c r="J166" s="2" t="n">
        <v>67</v>
      </c>
      <c r="K166" s="2" t="n">
        <v>43.72</v>
      </c>
      <c r="L166" s="2" t="n">
        <v>0.66</v>
      </c>
      <c r="M166" s="4" t="n">
        <v>37.74</v>
      </c>
      <c r="N166" s="4" t="n">
        <v>465.24</v>
      </c>
      <c r="O166" s="2" t="n">
        <v>30</v>
      </c>
      <c r="P166" s="4" t="n">
        <v>11.09</v>
      </c>
      <c r="Q166" s="4" t="n">
        <v>139.68</v>
      </c>
      <c r="R166" s="4">
        <f>G166*(L166/100)*(O166/100)</f>
        <v/>
      </c>
      <c r="S166" s="4">
        <f>G166*(K166/360/100)*J166*(O166/100)</f>
        <v/>
      </c>
      <c r="T166" s="4">
        <f>P166-R166+Q166-S166</f>
        <v/>
      </c>
    </row>
    <row r="167">
      <c r="A167" s="2" t="inlineStr">
        <is>
          <t>Oro</t>
        </is>
      </c>
      <c r="B167" s="2" t="inlineStr">
        <is>
          <t>Amarillo</t>
        </is>
      </c>
      <c r="C167" s="3" t="n">
        <v>46027</v>
      </c>
      <c r="D167" s="2" t="inlineStr">
        <is>
          <t>A66622109</t>
        </is>
      </c>
      <c r="E167" s="2" t="inlineStr">
        <is>
          <t>Aglomerad…</t>
        </is>
      </c>
      <c r="F167" s="2" t="n">
        <v>2424756</v>
      </c>
      <c r="G167" s="4" t="n">
        <v>197.35</v>
      </c>
      <c r="H167" s="3" t="n">
        <v>46005</v>
      </c>
      <c r="I167" s="3" t="n">
        <v>46175</v>
      </c>
      <c r="J167" s="2" t="n">
        <v>83</v>
      </c>
      <c r="K167" s="2" t="n">
        <v>28.74</v>
      </c>
      <c r="L167" s="2" t="n">
        <v>1.71</v>
      </c>
      <c r="M167" s="4" t="n">
        <v>3.37</v>
      </c>
      <c r="N167" s="4" t="n">
        <v>13.08</v>
      </c>
      <c r="O167" s="2" t="n">
        <v>20</v>
      </c>
      <c r="P167" s="4" t="n">
        <v>0.91</v>
      </c>
      <c r="Q167" s="4" t="n">
        <v>2.47</v>
      </c>
      <c r="R167" s="4">
        <f>G167*(L167/100)*(O167/100)</f>
        <v/>
      </c>
      <c r="S167" s="4">
        <f>G167*(K167/360/100)*J167*(O167/100)</f>
        <v/>
      </c>
      <c r="T167" s="4">
        <f>P167-R167+Q167-S167</f>
        <v/>
      </c>
    </row>
    <row r="168">
      <c r="A168" s="2" t="inlineStr">
        <is>
          <t>Oro</t>
        </is>
      </c>
      <c r="B168" s="2" t="inlineStr">
        <is>
          <t>Amarillo</t>
        </is>
      </c>
      <c r="C168" s="3" t="n">
        <v>46027</v>
      </c>
      <c r="D168" s="2" t="inlineStr">
        <is>
          <t>A40233317</t>
        </is>
      </c>
      <c r="E168" s="2" t="inlineStr">
        <is>
          <t>Cuarzos La…</t>
        </is>
      </c>
      <c r="F168" s="2" t="n">
        <v>1240208</v>
      </c>
      <c r="G168" s="4" t="n">
        <v>4429.49</v>
      </c>
      <c r="H168" s="3" t="n">
        <v>45996</v>
      </c>
      <c r="I168" s="3" t="n">
        <v>46027</v>
      </c>
      <c r="J168" s="2" t="n">
        <v>90</v>
      </c>
      <c r="K168" s="2" t="n">
        <v>32.28</v>
      </c>
      <c r="L168" s="2" t="n">
        <v>1.04</v>
      </c>
      <c r="M168" s="4" t="n">
        <v>46.07</v>
      </c>
      <c r="N168" s="4" t="n">
        <v>357.46</v>
      </c>
      <c r="O168" s="2" t="n">
        <v>40</v>
      </c>
      <c r="P168" s="4" t="n">
        <v>18.38</v>
      </c>
      <c r="Q168" s="4" t="n">
        <v>143.01</v>
      </c>
      <c r="R168" s="4">
        <f>G168*(L168/100)*(O168/100)</f>
        <v/>
      </c>
      <c r="S168" s="4">
        <f>G168*(K168/360/100)*J168*(O168/100)</f>
        <v/>
      </c>
      <c r="T168" s="4">
        <f>P168-R168+Q168-S168</f>
        <v/>
      </c>
    </row>
    <row r="169">
      <c r="A169" s="2" t="inlineStr">
        <is>
          <t>Oro</t>
        </is>
      </c>
      <c r="B169" s="2" t="inlineStr">
        <is>
          <t>Amarillo</t>
        </is>
      </c>
      <c r="C169" s="3" t="n">
        <v>46027</v>
      </c>
      <c r="D169" s="2" t="inlineStr">
        <is>
          <t>A20036981</t>
        </is>
      </c>
      <c r="E169" s="2" t="inlineStr">
        <is>
          <t>Derivados…</t>
        </is>
      </c>
      <c r="F169" s="2" t="n">
        <v>1204004</v>
      </c>
      <c r="G169" s="4" t="n">
        <v>834.99</v>
      </c>
      <c r="H169" s="3" t="n">
        <v>46001</v>
      </c>
      <c r="I169" s="3" t="n">
        <v>46068</v>
      </c>
      <c r="J169" s="2" t="n">
        <v>47</v>
      </c>
      <c r="K169" s="2" t="n">
        <v>29.85</v>
      </c>
      <c r="L169" s="2" t="n">
        <v>0.92</v>
      </c>
      <c r="M169" s="4" t="n">
        <v>7.68</v>
      </c>
      <c r="N169" s="4" t="n">
        <v>32.54</v>
      </c>
      <c r="O169" s="2" t="n">
        <v>70</v>
      </c>
      <c r="P169" s="4" t="n">
        <v>5.42</v>
      </c>
      <c r="Q169" s="4" t="n">
        <v>22.84</v>
      </c>
      <c r="R169" s="4">
        <f>G169*(L169/100)*(O169/100)</f>
        <v/>
      </c>
      <c r="S169" s="4">
        <f>G169*(K169/360/100)*J169*(O169/100)</f>
        <v/>
      </c>
      <c r="T169" s="4">
        <f>P169-R169+Q169-S169</f>
        <v/>
      </c>
    </row>
    <row r="170">
      <c r="A170" s="2" t="inlineStr">
        <is>
          <t>Oro</t>
        </is>
      </c>
      <c r="B170" s="2" t="inlineStr">
        <is>
          <t>Amarillo</t>
        </is>
      </c>
      <c r="C170" s="3" t="n">
        <v>46027</v>
      </c>
      <c r="D170" s="2" t="inlineStr">
        <is>
          <t>B92636699</t>
        </is>
      </c>
      <c r="E170" s="2" t="inlineStr">
        <is>
          <t>Vigas Dura…</t>
        </is>
      </c>
      <c r="F170" s="2" t="n">
        <v>2783312</v>
      </c>
      <c r="G170" s="4" t="n">
        <v>3166.5</v>
      </c>
      <c r="H170" s="3" t="n">
        <v>46015</v>
      </c>
      <c r="I170" s="3" t="n">
        <v>46167</v>
      </c>
      <c r="J170" s="2" t="n">
        <v>42</v>
      </c>
      <c r="K170" s="2" t="n">
        <v>18.93</v>
      </c>
      <c r="L170" s="2" t="n">
        <v>1.5</v>
      </c>
      <c r="M170" s="4" t="n">
        <v>47.5</v>
      </c>
      <c r="N170" s="4" t="n">
        <v>69.93000000000001</v>
      </c>
      <c r="O170" s="2" t="n">
        <v>70</v>
      </c>
      <c r="P170" s="4" t="n">
        <v>33.35</v>
      </c>
      <c r="Q170" s="4" t="n">
        <v>48.87</v>
      </c>
      <c r="R170" s="4">
        <f>G170*(L170/100)*(O170/100)</f>
        <v/>
      </c>
      <c r="S170" s="4">
        <f>G170*(K170/360/100)*J170*(O170/100)</f>
        <v/>
      </c>
      <c r="T170" s="4">
        <f>P170-R170+Q170-S170</f>
        <v/>
      </c>
    </row>
    <row r="171">
      <c r="A171" s="2" t="inlineStr">
        <is>
          <t>Oro</t>
        </is>
      </c>
      <c r="B171" s="2" t="inlineStr">
        <is>
          <t>Amarillo</t>
        </is>
      </c>
      <c r="C171" s="3" t="n">
        <v>46027</v>
      </c>
      <c r="D171" s="2" t="inlineStr">
        <is>
          <t>A17217931</t>
        </is>
      </c>
      <c r="E171" s="2" t="inlineStr">
        <is>
          <t>Embalajes…</t>
        </is>
      </c>
      <c r="F171" s="2" t="n">
        <v>4675193</v>
      </c>
      <c r="G171" s="4" t="n">
        <v>1550.73</v>
      </c>
      <c r="H171" s="3" t="n">
        <v>45997</v>
      </c>
      <c r="I171" s="3" t="n">
        <v>46066</v>
      </c>
      <c r="J171" s="2" t="n">
        <v>44</v>
      </c>
      <c r="K171" s="2" t="n">
        <v>21.34</v>
      </c>
      <c r="L171" s="2" t="n">
        <v>0.99</v>
      </c>
      <c r="M171" s="4" t="n">
        <v>15.35</v>
      </c>
      <c r="N171" s="4" t="n">
        <v>40.45</v>
      </c>
      <c r="O171" s="2" t="n">
        <v>30</v>
      </c>
      <c r="P171" s="4" t="n">
        <v>4.31</v>
      </c>
      <c r="Q171" s="4" t="n">
        <v>12.01</v>
      </c>
      <c r="R171" s="4">
        <f>G171*(L171/100)*(O171/100)</f>
        <v/>
      </c>
      <c r="S171" s="4">
        <f>G171*(K171/360/100)*J171*(O171/100)</f>
        <v/>
      </c>
      <c r="T171" s="4">
        <f>P171-R171+Q171-S171</f>
        <v/>
      </c>
    </row>
    <row r="172">
      <c r="A172" s="2" t="inlineStr">
        <is>
          <t>Oro</t>
        </is>
      </c>
      <c r="B172" s="2" t="inlineStr">
        <is>
          <t>Amarillo</t>
        </is>
      </c>
      <c r="C172" s="3" t="n">
        <v>46027</v>
      </c>
      <c r="D172" s="2" t="inlineStr">
        <is>
          <t>B23345947</t>
        </is>
      </c>
      <c r="E172" s="2" t="inlineStr">
        <is>
          <t>Acumulado…</t>
        </is>
      </c>
      <c r="F172" s="2" t="n">
        <v>3879982</v>
      </c>
      <c r="G172" s="4" t="n">
        <v>8349.67</v>
      </c>
      <c r="H172" s="3" t="n">
        <v>46013</v>
      </c>
      <c r="I172" s="3" t="n">
        <v>46188</v>
      </c>
      <c r="J172" s="2" t="n">
        <v>81</v>
      </c>
      <c r="K172" s="2" t="n">
        <v>14.43</v>
      </c>
      <c r="L172" s="2" t="n">
        <v>2.4</v>
      </c>
      <c r="M172" s="4" t="n">
        <v>200.39</v>
      </c>
      <c r="N172" s="4" t="n">
        <v>271.09</v>
      </c>
      <c r="O172" s="2" t="n">
        <v>30</v>
      </c>
      <c r="P172" s="4" t="n">
        <v>60.07</v>
      </c>
      <c r="Q172" s="4" t="n">
        <v>81.23999999999999</v>
      </c>
      <c r="R172" s="4">
        <f>G172*(L172/100)*(O172/100)</f>
        <v/>
      </c>
      <c r="S172" s="4">
        <f>G172*(K172/360/100)*J172*(O172/100)</f>
        <v/>
      </c>
      <c r="T172" s="4">
        <f>P172-R172+Q172-S172</f>
        <v/>
      </c>
    </row>
    <row r="173">
      <c r="A173" s="2" t="inlineStr">
        <is>
          <t>Oro</t>
        </is>
      </c>
      <c r="B173" s="2" t="inlineStr">
        <is>
          <t>Amarillo</t>
        </is>
      </c>
      <c r="C173" s="3" t="n">
        <v>46027</v>
      </c>
      <c r="D173" s="2" t="inlineStr">
        <is>
          <t>B30636448</t>
        </is>
      </c>
      <c r="E173" s="2" t="inlineStr">
        <is>
          <t>Embalajes…</t>
        </is>
      </c>
      <c r="F173" s="2" t="n">
        <v>1075034</v>
      </c>
      <c r="G173" s="4" t="n">
        <v>625.1</v>
      </c>
      <c r="H173" s="3" t="n">
        <v>46005</v>
      </c>
      <c r="I173" s="3" t="n">
        <v>46198</v>
      </c>
      <c r="J173" s="2" t="n">
        <v>43</v>
      </c>
      <c r="K173" s="2" t="n">
        <v>47.77</v>
      </c>
      <c r="L173" s="2" t="n">
        <v>0.71</v>
      </c>
      <c r="M173" s="4" t="n">
        <v>4.44</v>
      </c>
      <c r="N173" s="4" t="n">
        <v>35.67</v>
      </c>
      <c r="O173" s="2" t="n">
        <v>70</v>
      </c>
      <c r="P173" s="4" t="n">
        <v>2.99</v>
      </c>
      <c r="Q173" s="4" t="n">
        <v>25.06</v>
      </c>
      <c r="R173" s="4">
        <f>G173*(L173/100)*(O173/100)</f>
        <v/>
      </c>
      <c r="S173" s="4">
        <f>G173*(K173/360/100)*J173*(O173/100)</f>
        <v/>
      </c>
      <c r="T173" s="4">
        <f>P173-R173+Q173-S173</f>
        <v/>
      </c>
    </row>
    <row r="174">
      <c r="A174" s="2" t="inlineStr">
        <is>
          <t>Oro</t>
        </is>
      </c>
      <c r="B174" s="2" t="inlineStr">
        <is>
          <t>Amarillo</t>
        </is>
      </c>
      <c r="C174" s="3" t="n">
        <v>46027</v>
      </c>
      <c r="D174" s="2" t="inlineStr">
        <is>
          <t>A57243039</t>
        </is>
      </c>
      <c r="E174" s="2" t="inlineStr">
        <is>
          <t>Aluminios…</t>
        </is>
      </c>
      <c r="F174" s="2" t="n">
        <v>1629583</v>
      </c>
      <c r="G174" s="4" t="n">
        <v>743.33</v>
      </c>
      <c r="H174" s="3" t="n">
        <v>46013</v>
      </c>
      <c r="I174" s="3" t="n">
        <v>46166</v>
      </c>
      <c r="J174" s="2" t="n">
        <v>27</v>
      </c>
      <c r="K174" s="2" t="n">
        <v>21.61</v>
      </c>
      <c r="L174" s="2" t="n">
        <v>1.07</v>
      </c>
      <c r="M174" s="4" t="n">
        <v>7.95</v>
      </c>
      <c r="N174" s="4" t="n">
        <v>12.05</v>
      </c>
      <c r="O174" s="2" t="n">
        <v>60</v>
      </c>
      <c r="P174" s="4" t="n">
        <v>5.04</v>
      </c>
      <c r="Q174" s="4" t="n">
        <v>7.16</v>
      </c>
      <c r="R174" s="4">
        <f>G174*(L174/100)*(O174/100)</f>
        <v/>
      </c>
      <c r="S174" s="4">
        <f>G174*(K174/360/100)*J174*(O174/100)</f>
        <v/>
      </c>
      <c r="T174" s="4">
        <f>P174-R174+Q174-S174</f>
        <v/>
      </c>
    </row>
    <row r="175">
      <c r="A175" s="2" t="inlineStr">
        <is>
          <t>Oro</t>
        </is>
      </c>
      <c r="B175" s="2" t="inlineStr">
        <is>
          <t>Amarillo</t>
        </is>
      </c>
      <c r="C175" s="3" t="n">
        <v>46027</v>
      </c>
      <c r="D175" s="2" t="inlineStr">
        <is>
          <t>B33965757</t>
        </is>
      </c>
      <c r="E175" s="2" t="inlineStr">
        <is>
          <t>Paneles Re…</t>
        </is>
      </c>
      <c r="F175" s="2" t="n">
        <v>2337423</v>
      </c>
      <c r="G175" s="4" t="n">
        <v>5341.17</v>
      </c>
      <c r="H175" s="3" t="n">
        <v>46015</v>
      </c>
      <c r="I175" s="3" t="n">
        <v>46139</v>
      </c>
      <c r="J175" s="2" t="n">
        <v>63</v>
      </c>
      <c r="K175" s="2" t="n">
        <v>22.63</v>
      </c>
      <c r="L175" s="2" t="n">
        <v>1.88</v>
      </c>
      <c r="M175" s="4" t="n">
        <v>100.41</v>
      </c>
      <c r="N175" s="4" t="n">
        <v>211.52</v>
      </c>
      <c r="O175" s="2" t="n">
        <v>50</v>
      </c>
      <c r="P175" s="4" t="n">
        <v>50.19</v>
      </c>
      <c r="Q175" s="4" t="n">
        <v>105.89</v>
      </c>
      <c r="R175" s="4">
        <f>G175*(L175/100)*(O175/100)</f>
        <v/>
      </c>
      <c r="S175" s="4">
        <f>G175*(K175/360/100)*J175*(O175/100)</f>
        <v/>
      </c>
      <c r="T175" s="4">
        <f>P175-R175+Q175-S175</f>
        <v/>
      </c>
    </row>
    <row r="176">
      <c r="A176" s="2" t="inlineStr">
        <is>
          <t>Oro</t>
        </is>
      </c>
      <c r="B176" s="2" t="inlineStr">
        <is>
          <t>Amarillo</t>
        </is>
      </c>
      <c r="C176" s="3" t="n">
        <v>46027</v>
      </c>
      <c r="D176" s="2" t="inlineStr">
        <is>
          <t>A63044454</t>
        </is>
      </c>
      <c r="E176" s="2" t="inlineStr">
        <is>
          <t>Inoxidables…</t>
        </is>
      </c>
      <c r="F176" s="2" t="n">
        <v>2101683</v>
      </c>
      <c r="G176" s="4" t="n">
        <v>755.89</v>
      </c>
      <c r="H176" s="3" t="n">
        <v>46012</v>
      </c>
      <c r="I176" s="3" t="n">
        <v>46200</v>
      </c>
      <c r="J176" s="2" t="n">
        <v>82</v>
      </c>
      <c r="K176" s="2" t="n">
        <v>35.98</v>
      </c>
      <c r="L176" s="2" t="n">
        <v>2.16</v>
      </c>
      <c r="M176" s="4" t="n">
        <v>16.33</v>
      </c>
      <c r="N176" s="4" t="n">
        <v>61.95</v>
      </c>
      <c r="O176" s="2" t="n">
        <v>40</v>
      </c>
      <c r="P176" s="4" t="n">
        <v>6.32</v>
      </c>
      <c r="Q176" s="4" t="n">
        <v>24.75</v>
      </c>
      <c r="R176" s="4">
        <f>G176*(L176/100)*(O176/100)</f>
        <v/>
      </c>
      <c r="S176" s="4">
        <f>G176*(K176/360/100)*J176*(O176/100)</f>
        <v/>
      </c>
      <c r="T176" s="4">
        <f>P176-R176+Q176-S176</f>
        <v/>
      </c>
    </row>
    <row r="177">
      <c r="A177" s="2" t="inlineStr">
        <is>
          <t>Oro</t>
        </is>
      </c>
      <c r="B177" s="2" t="inlineStr">
        <is>
          <t>Amarillo</t>
        </is>
      </c>
      <c r="C177" s="3" t="n">
        <v>46027</v>
      </c>
      <c r="D177" s="2" t="inlineStr">
        <is>
          <t>A02265641</t>
        </is>
      </c>
      <c r="E177" s="2" t="inlineStr">
        <is>
          <t>Yesos Diná…</t>
        </is>
      </c>
      <c r="F177" s="2" t="n">
        <v>3159251</v>
      </c>
      <c r="G177" s="4" t="n">
        <v>543.01</v>
      </c>
      <c r="H177" s="3" t="n">
        <v>45998</v>
      </c>
      <c r="I177" s="3" t="n">
        <v>46158</v>
      </c>
      <c r="J177" s="2" t="n">
        <v>20</v>
      </c>
      <c r="K177" s="2" t="n">
        <v>28.31</v>
      </c>
      <c r="L177" s="2" t="n">
        <v>2.38</v>
      </c>
      <c r="M177" s="4" t="n">
        <v>12.92</v>
      </c>
      <c r="N177" s="4" t="n">
        <v>8.539999999999999</v>
      </c>
      <c r="O177" s="2" t="n">
        <v>40</v>
      </c>
      <c r="P177" s="4" t="n">
        <v>5.34</v>
      </c>
      <c r="Q177" s="4" t="n">
        <v>3.48</v>
      </c>
      <c r="R177" s="4">
        <f>G177*(L177/100)*(O177/100)</f>
        <v/>
      </c>
      <c r="S177" s="4">
        <f>G177*(K177/360/100)*J177*(O177/100)</f>
        <v/>
      </c>
      <c r="T177" s="4">
        <f>P177-R177+Q177-S177</f>
        <v/>
      </c>
    </row>
    <row r="178">
      <c r="A178" s="2" t="inlineStr">
        <is>
          <t>Oro</t>
        </is>
      </c>
      <c r="B178" s="2" t="inlineStr">
        <is>
          <t>Amarillo</t>
        </is>
      </c>
      <c r="C178" s="3" t="n">
        <v>46027</v>
      </c>
      <c r="D178" s="2" t="inlineStr">
        <is>
          <t>A14295487</t>
        </is>
      </c>
      <c r="E178" s="2" t="inlineStr">
        <is>
          <t>Poliésteres…</t>
        </is>
      </c>
      <c r="F178" s="2" t="n">
        <v>1584455</v>
      </c>
      <c r="G178" s="4" t="n">
        <v>921.0700000000001</v>
      </c>
      <c r="H178" s="3" t="n">
        <v>46000</v>
      </c>
      <c r="I178" s="3" t="n">
        <v>46187</v>
      </c>
      <c r="J178" s="2" t="n">
        <v>12</v>
      </c>
      <c r="K178" s="2" t="n">
        <v>46.33</v>
      </c>
      <c r="L178" s="2" t="n">
        <v>2.77</v>
      </c>
      <c r="M178" s="4" t="n">
        <v>25.51</v>
      </c>
      <c r="N178" s="4" t="n">
        <v>14.22</v>
      </c>
      <c r="O178" s="2" t="n">
        <v>20</v>
      </c>
      <c r="P178" s="4" t="n">
        <v>4.87</v>
      </c>
      <c r="Q178" s="4" t="n">
        <v>2.98</v>
      </c>
      <c r="R178" s="4">
        <f>G178*(L178/100)*(O178/100)</f>
        <v/>
      </c>
      <c r="S178" s="4">
        <f>G178*(K178/360/100)*J178*(O178/100)</f>
        <v/>
      </c>
      <c r="T178" s="4">
        <f>P178-R178+Q178-S178</f>
        <v/>
      </c>
    </row>
    <row r="179">
      <c r="A179" s="2" t="inlineStr">
        <is>
          <t>Oro</t>
        </is>
      </c>
      <c r="B179" s="2" t="inlineStr">
        <is>
          <t>Amarillo</t>
        </is>
      </c>
      <c r="C179" s="3" t="n">
        <v>46027</v>
      </c>
      <c r="D179" s="2" t="inlineStr">
        <is>
          <t>A63625900</t>
        </is>
      </c>
      <c r="E179" s="2" t="inlineStr">
        <is>
          <t>Alcalis Sect…</t>
        </is>
      </c>
      <c r="F179" s="2" t="n">
        <v>1454249</v>
      </c>
      <c r="G179" s="4" t="n">
        <v>985.75</v>
      </c>
      <c r="H179" s="3" t="n">
        <v>46010</v>
      </c>
      <c r="I179" s="3" t="n">
        <v>46072</v>
      </c>
      <c r="J179" s="2" t="n">
        <v>22</v>
      </c>
      <c r="K179" s="2" t="n">
        <v>18.11</v>
      </c>
      <c r="L179" s="2" t="n">
        <v>2.19</v>
      </c>
      <c r="M179" s="4" t="n">
        <v>21.59</v>
      </c>
      <c r="N179" s="4" t="n">
        <v>10.91</v>
      </c>
      <c r="O179" s="2" t="n">
        <v>60</v>
      </c>
      <c r="P179" s="4" t="n">
        <v>13.19</v>
      </c>
      <c r="Q179" s="4" t="n">
        <v>6.6</v>
      </c>
      <c r="R179" s="4">
        <f>G179*(L179/100)*(O179/100)</f>
        <v/>
      </c>
      <c r="S179" s="4">
        <f>G179*(K179/360/100)*J179*(O179/100)</f>
        <v/>
      </c>
      <c r="T179" s="4">
        <f>P179-R179+Q179-S179</f>
        <v/>
      </c>
    </row>
    <row r="180">
      <c r="A180" s="2" t="inlineStr">
        <is>
          <t>Oro</t>
        </is>
      </c>
      <c r="B180" s="2" t="inlineStr">
        <is>
          <t>Amarillo</t>
        </is>
      </c>
      <c r="C180" s="3" t="n">
        <v>46027</v>
      </c>
      <c r="D180" s="2" t="inlineStr">
        <is>
          <t>B81778269</t>
        </is>
      </c>
      <c r="E180" s="2" t="inlineStr">
        <is>
          <t>Azúcares T…</t>
        </is>
      </c>
      <c r="F180" s="2" t="n">
        <v>1447859</v>
      </c>
      <c r="G180" s="4" t="n">
        <v>585.12</v>
      </c>
      <c r="H180" s="3" t="n">
        <v>46004</v>
      </c>
      <c r="I180" s="3" t="n">
        <v>46136</v>
      </c>
      <c r="J180" s="2" t="n">
        <v>28</v>
      </c>
      <c r="K180" s="2" t="n">
        <v>43.42</v>
      </c>
      <c r="L180" s="2" t="n">
        <v>2.84</v>
      </c>
      <c r="M180" s="4" t="n">
        <v>16.62</v>
      </c>
      <c r="N180" s="4" t="n">
        <v>19.76</v>
      </c>
      <c r="O180" s="2" t="n">
        <v>70</v>
      </c>
      <c r="P180" s="4" t="n">
        <v>11.45</v>
      </c>
      <c r="Q180" s="4" t="n">
        <v>13.65</v>
      </c>
      <c r="R180" s="4">
        <f>G180*(L180/100)*(O180/100)</f>
        <v/>
      </c>
      <c r="S180" s="4">
        <f>G180*(K180/360/100)*J180*(O180/100)</f>
        <v/>
      </c>
      <c r="T180" s="4">
        <f>P180-R180+Q180-S180</f>
        <v/>
      </c>
    </row>
    <row r="181">
      <c r="A181" s="2" t="inlineStr">
        <is>
          <t>Oro</t>
        </is>
      </c>
      <c r="B181" s="2" t="inlineStr">
        <is>
          <t>Amarillo</t>
        </is>
      </c>
      <c r="C181" s="3" t="n">
        <v>46027</v>
      </c>
      <c r="D181" s="2" t="inlineStr">
        <is>
          <t>A30221486</t>
        </is>
      </c>
      <c r="E181" s="2" t="inlineStr">
        <is>
          <t>Insecticidas…</t>
        </is>
      </c>
      <c r="F181" s="2" t="n">
        <v>1432122</v>
      </c>
      <c r="G181" s="4" t="n">
        <v>265.66</v>
      </c>
      <c r="H181" s="3" t="n">
        <v>46011</v>
      </c>
      <c r="I181" s="3" t="n">
        <v>46182</v>
      </c>
      <c r="J181" s="2" t="n">
        <v>16</v>
      </c>
      <c r="K181" s="2" t="n">
        <v>21.99</v>
      </c>
      <c r="L181" s="2" t="n">
        <v>1.53</v>
      </c>
      <c r="M181" s="4" t="n">
        <v>4.06</v>
      </c>
      <c r="N181" s="4" t="n">
        <v>2.6</v>
      </c>
      <c r="O181" s="2" t="n">
        <v>70</v>
      </c>
      <c r="P181" s="4" t="n">
        <v>2.81</v>
      </c>
      <c r="Q181" s="4" t="n">
        <v>1.86</v>
      </c>
      <c r="R181" s="4">
        <f>G181*(L181/100)*(O181/100)</f>
        <v/>
      </c>
      <c r="S181" s="4">
        <f>G181*(K181/360/100)*J181*(O181/100)</f>
        <v/>
      </c>
      <c r="T181" s="4">
        <f>P181-R181+Q181-S181</f>
        <v/>
      </c>
    </row>
    <row r="182">
      <c r="A182" s="2" t="inlineStr">
        <is>
          <t>Oro</t>
        </is>
      </c>
      <c r="B182" s="2" t="inlineStr">
        <is>
          <t>Amarillo</t>
        </is>
      </c>
      <c r="C182" s="3" t="n">
        <v>46027</v>
      </c>
      <c r="D182" s="2" t="inlineStr">
        <is>
          <t>A42105204</t>
        </is>
      </c>
      <c r="E182" s="2" t="inlineStr">
        <is>
          <t>Component…</t>
        </is>
      </c>
      <c r="F182" s="2" t="n">
        <v>3224689</v>
      </c>
      <c r="G182" s="4" t="n">
        <v>255.27</v>
      </c>
      <c r="H182" s="3" t="n">
        <v>45992</v>
      </c>
      <c r="I182" s="3" t="n">
        <v>46198</v>
      </c>
      <c r="J182" s="2" t="n">
        <v>11</v>
      </c>
      <c r="K182" s="2" t="n">
        <v>29.59</v>
      </c>
      <c r="L182" s="2" t="n">
        <v>1.77</v>
      </c>
      <c r="M182" s="4" t="n">
        <v>4.52</v>
      </c>
      <c r="N182" s="4" t="n">
        <v>2.31</v>
      </c>
      <c r="O182" s="2" t="n">
        <v>20</v>
      </c>
      <c r="P182" s="4" t="n">
        <v>0.86</v>
      </c>
      <c r="Q182" s="4" t="n">
        <v>0.48</v>
      </c>
      <c r="R182" s="4">
        <f>G182*(L182/100)*(O182/100)</f>
        <v/>
      </c>
      <c r="S182" s="4">
        <f>G182*(K182/360/100)*J182*(O182/100)</f>
        <v/>
      </c>
      <c r="T182" s="4">
        <f>P182-R182+Q182-S182</f>
        <v/>
      </c>
    </row>
    <row r="183">
      <c r="A183" s="2" t="inlineStr">
        <is>
          <t>Oro</t>
        </is>
      </c>
      <c r="B183" s="2" t="inlineStr">
        <is>
          <t>Amarillo</t>
        </is>
      </c>
      <c r="C183" s="3" t="n">
        <v>46027</v>
      </c>
      <c r="D183" s="2" t="inlineStr">
        <is>
          <t>A68844647</t>
        </is>
      </c>
      <c r="E183" s="2" t="inlineStr">
        <is>
          <t>Alcantarilla…</t>
        </is>
      </c>
      <c r="F183" s="2" t="n">
        <v>3628856</v>
      </c>
      <c r="G183" s="4" t="n">
        <v>818.3200000000001</v>
      </c>
      <c r="H183" s="3" t="n">
        <v>46015</v>
      </c>
      <c r="I183" s="3" t="n">
        <v>46125</v>
      </c>
      <c r="J183" s="2" t="n">
        <v>77</v>
      </c>
      <c r="K183" s="2" t="n">
        <v>15.93</v>
      </c>
      <c r="L183" s="2" t="n">
        <v>1.37</v>
      </c>
      <c r="M183" s="4" t="n">
        <v>11.21</v>
      </c>
      <c r="N183" s="4" t="n">
        <v>27.88</v>
      </c>
      <c r="O183" s="2" t="n">
        <v>60</v>
      </c>
      <c r="P183" s="4" t="n">
        <v>6.75</v>
      </c>
      <c r="Q183" s="4" t="n">
        <v>16.67</v>
      </c>
      <c r="R183" s="4">
        <f>G183*(L183/100)*(O183/100)</f>
        <v/>
      </c>
      <c r="S183" s="4">
        <f>G183*(K183/360/100)*J183*(O183/100)</f>
        <v/>
      </c>
      <c r="T183" s="4">
        <f>P183-R183+Q183-S183</f>
        <v/>
      </c>
    </row>
    <row r="184">
      <c r="A184" s="2" t="inlineStr">
        <is>
          <t>Oro</t>
        </is>
      </c>
      <c r="B184" s="2" t="inlineStr">
        <is>
          <t>Amarillo</t>
        </is>
      </c>
      <c r="C184" s="3" t="n">
        <v>46027</v>
      </c>
      <c r="D184" s="2" t="inlineStr">
        <is>
          <t>B14225478</t>
        </is>
      </c>
      <c r="E184" s="2" t="inlineStr">
        <is>
          <t>Oleicos So…</t>
        </is>
      </c>
      <c r="F184" s="2" t="n">
        <v>1224210</v>
      </c>
      <c r="G184" s="4" t="n">
        <v>6184.82</v>
      </c>
      <c r="H184" s="3" t="n">
        <v>46009</v>
      </c>
      <c r="I184" s="3" t="n">
        <v>46069</v>
      </c>
      <c r="J184" s="2" t="n">
        <v>50</v>
      </c>
      <c r="K184" s="2" t="n">
        <v>12.48</v>
      </c>
      <c r="L184" s="2" t="n">
        <v>0.83</v>
      </c>
      <c r="M184" s="4" t="n">
        <v>51.33</v>
      </c>
      <c r="N184" s="4" t="n">
        <v>107.2</v>
      </c>
      <c r="O184" s="2" t="n">
        <v>70</v>
      </c>
      <c r="P184" s="4" t="n">
        <v>35.78</v>
      </c>
      <c r="Q184" s="4" t="n">
        <v>75.31999999999999</v>
      </c>
      <c r="R184" s="4">
        <f>G184*(L184/100)*(O184/100)</f>
        <v/>
      </c>
      <c r="S184" s="4">
        <f>G184*(K184/360/100)*J184*(O184/100)</f>
        <v/>
      </c>
      <c r="T184" s="4">
        <f>P184-R184+Q184-S184</f>
        <v/>
      </c>
    </row>
    <row r="185">
      <c r="A185" s="2" t="inlineStr">
        <is>
          <t>Oro</t>
        </is>
      </c>
      <c r="B185" s="2" t="inlineStr">
        <is>
          <t>Amarillo</t>
        </is>
      </c>
      <c r="C185" s="3" t="n">
        <v>46027</v>
      </c>
      <c r="D185" s="2" t="inlineStr">
        <is>
          <t>B16656758</t>
        </is>
      </c>
      <c r="E185" s="2" t="inlineStr">
        <is>
          <t>Acumulado…</t>
        </is>
      </c>
      <c r="F185" s="2" t="n">
        <v>4016208</v>
      </c>
      <c r="G185" s="4" t="n">
        <v>709.3</v>
      </c>
      <c r="H185" s="3" t="n">
        <v>46019</v>
      </c>
      <c r="I185" s="3" t="n">
        <v>46185</v>
      </c>
      <c r="J185" s="2" t="n">
        <v>53</v>
      </c>
      <c r="K185" s="2" t="n">
        <v>20.58</v>
      </c>
      <c r="L185" s="2" t="n">
        <v>1.36</v>
      </c>
      <c r="M185" s="4" t="n">
        <v>9.65</v>
      </c>
      <c r="N185" s="4" t="n">
        <v>21.49</v>
      </c>
      <c r="O185" s="2" t="n">
        <v>60</v>
      </c>
      <c r="P185" s="4" t="n">
        <v>5.69</v>
      </c>
      <c r="Q185" s="4" t="n">
        <v>12.91</v>
      </c>
      <c r="R185" s="4">
        <f>G185*(L185/100)*(O185/100)</f>
        <v/>
      </c>
      <c r="S185" s="4">
        <f>G185*(K185/360/100)*J185*(O185/100)</f>
        <v/>
      </c>
      <c r="T185" s="4">
        <f>P185-R185+Q185-S185</f>
        <v/>
      </c>
    </row>
    <row r="186">
      <c r="A186" s="2" t="inlineStr">
        <is>
          <t>Oro</t>
        </is>
      </c>
      <c r="B186" s="2" t="inlineStr">
        <is>
          <t>Amarillo</t>
        </is>
      </c>
      <c r="C186" s="3" t="n">
        <v>46027</v>
      </c>
      <c r="D186" s="2" t="inlineStr">
        <is>
          <t>A70814947</t>
        </is>
      </c>
      <c r="E186" s="2" t="inlineStr">
        <is>
          <t>Transistore…</t>
        </is>
      </c>
      <c r="F186" s="2" t="n">
        <v>2278429</v>
      </c>
      <c r="G186" s="4" t="n">
        <v>531.72</v>
      </c>
      <c r="H186" s="3" t="n">
        <v>46009</v>
      </c>
      <c r="I186" s="3" t="n">
        <v>46179</v>
      </c>
      <c r="J186" s="2" t="n">
        <v>67</v>
      </c>
      <c r="K186" s="2" t="n">
        <v>17.28</v>
      </c>
      <c r="L186" s="2" t="n">
        <v>1.99</v>
      </c>
      <c r="M186" s="4" t="n">
        <v>10.58</v>
      </c>
      <c r="N186" s="4" t="n">
        <v>17.1</v>
      </c>
      <c r="O186" s="2" t="n">
        <v>30</v>
      </c>
      <c r="P186" s="4" t="n">
        <v>3.31</v>
      </c>
      <c r="Q186" s="4" t="n">
        <v>5.35</v>
      </c>
      <c r="R186" s="4">
        <f>G186*(L186/100)*(O186/100)</f>
        <v/>
      </c>
      <c r="S186" s="4">
        <f>G186*(K186/360/100)*J186*(O186/100)</f>
        <v/>
      </c>
      <c r="T186" s="4">
        <f>P186-R186+Q186-S186</f>
        <v/>
      </c>
    </row>
    <row r="187">
      <c r="A187" s="2" t="inlineStr">
        <is>
          <t>Oro</t>
        </is>
      </c>
      <c r="B187" s="2" t="inlineStr">
        <is>
          <t>Amarillo</t>
        </is>
      </c>
      <c r="C187" s="3" t="n">
        <v>46027</v>
      </c>
      <c r="D187" s="2" t="inlineStr">
        <is>
          <t>A57530620</t>
        </is>
      </c>
      <c r="E187" s="2" t="inlineStr">
        <is>
          <t>Bioresiduos…</t>
        </is>
      </c>
      <c r="F187" s="2" t="n">
        <v>2439926</v>
      </c>
      <c r="G187" s="4" t="n">
        <v>750.61</v>
      </c>
      <c r="H187" s="3" t="n">
        <v>46013</v>
      </c>
      <c r="I187" s="3" t="n">
        <v>46201</v>
      </c>
      <c r="J187" s="2" t="n">
        <v>38</v>
      </c>
      <c r="K187" s="2" t="n">
        <v>37.74</v>
      </c>
      <c r="L187" s="2" t="n">
        <v>0.8100000000000001</v>
      </c>
      <c r="M187" s="4" t="n">
        <v>6.08</v>
      </c>
      <c r="N187" s="4" t="n">
        <v>29.9</v>
      </c>
      <c r="O187" s="2" t="n">
        <v>50</v>
      </c>
      <c r="P187" s="4" t="n">
        <v>3.11</v>
      </c>
      <c r="Q187" s="4" t="n">
        <v>14.84</v>
      </c>
      <c r="R187" s="4">
        <f>G187*(L187/100)*(O187/100)</f>
        <v/>
      </c>
      <c r="S187" s="4">
        <f>G187*(K187/360/100)*J187*(O187/100)</f>
        <v/>
      </c>
      <c r="T187" s="4">
        <f>P187-R187+Q187-S187</f>
        <v/>
      </c>
    </row>
    <row r="188">
      <c r="A188" s="2" t="inlineStr">
        <is>
          <t>Oro</t>
        </is>
      </c>
      <c r="B188" s="2" t="inlineStr">
        <is>
          <t>Amarillo</t>
        </is>
      </c>
      <c r="C188" s="3" t="n">
        <v>46027</v>
      </c>
      <c r="D188" s="2" t="inlineStr">
        <is>
          <t>B57999838</t>
        </is>
      </c>
      <c r="E188" s="2" t="inlineStr">
        <is>
          <t>Módulos M…</t>
        </is>
      </c>
      <c r="F188" s="2" t="n">
        <v>4959128</v>
      </c>
      <c r="G188" s="4" t="n">
        <v>523.02</v>
      </c>
      <c r="H188" s="3" t="n">
        <v>45999</v>
      </c>
      <c r="I188" s="3" t="n">
        <v>46162</v>
      </c>
      <c r="J188" s="2" t="n">
        <v>49</v>
      </c>
      <c r="K188" s="2" t="n">
        <v>21.4</v>
      </c>
      <c r="L188" s="2" t="n">
        <v>1.66</v>
      </c>
      <c r="M188" s="4" t="n">
        <v>8.68</v>
      </c>
      <c r="N188" s="4" t="n">
        <v>15.23</v>
      </c>
      <c r="O188" s="2" t="n">
        <v>60</v>
      </c>
      <c r="P188" s="4" t="n">
        <v>5.47</v>
      </c>
      <c r="Q188" s="4" t="n">
        <v>9.289999999999999</v>
      </c>
      <c r="R188" s="4">
        <f>G188*(L188/100)*(O188/100)</f>
        <v/>
      </c>
      <c r="S188" s="4">
        <f>G188*(K188/360/100)*J188*(O188/100)</f>
        <v/>
      </c>
      <c r="T188" s="4">
        <f>P188-R188+Q188-S188</f>
        <v/>
      </c>
    </row>
    <row r="189">
      <c r="A189" s="2" t="inlineStr">
        <is>
          <t>Oro</t>
        </is>
      </c>
      <c r="B189" s="2" t="inlineStr">
        <is>
          <t>Amarillo</t>
        </is>
      </c>
      <c r="C189" s="3" t="n">
        <v>46027</v>
      </c>
      <c r="D189" s="2" t="inlineStr">
        <is>
          <t>B00867074</t>
        </is>
      </c>
      <c r="E189" s="2" t="inlineStr">
        <is>
          <t>Aditivos E…</t>
        </is>
      </c>
      <c r="F189" s="2" t="n">
        <v>4561331</v>
      </c>
      <c r="G189" s="4" t="n">
        <v>567.71</v>
      </c>
      <c r="H189" s="3" t="n">
        <v>46003</v>
      </c>
      <c r="I189" s="3" t="n">
        <v>46097</v>
      </c>
      <c r="J189" s="2" t="n">
        <v>37</v>
      </c>
      <c r="K189" s="2" t="n">
        <v>36.64</v>
      </c>
      <c r="L189" s="2" t="n">
        <v>0.95</v>
      </c>
      <c r="M189" s="4" t="n">
        <v>5.39</v>
      </c>
      <c r="N189" s="4" t="n">
        <v>21.38</v>
      </c>
      <c r="O189" s="2" t="n">
        <v>30</v>
      </c>
      <c r="P189" s="4" t="n">
        <v>1.36</v>
      </c>
      <c r="Q189" s="4" t="n">
        <v>6.33</v>
      </c>
      <c r="R189" s="4">
        <f>G189*(L189/100)*(O189/100)</f>
        <v/>
      </c>
      <c r="S189" s="4">
        <f>G189*(K189/360/100)*J189*(O189/100)</f>
        <v/>
      </c>
      <c r="T189" s="4">
        <f>P189-R189+Q189-S189</f>
        <v/>
      </c>
    </row>
    <row r="190">
      <c r="A190" s="2" t="inlineStr">
        <is>
          <t>Oro</t>
        </is>
      </c>
      <c r="B190" s="2" t="inlineStr">
        <is>
          <t>Amarillo</t>
        </is>
      </c>
      <c r="C190" s="3" t="n">
        <v>46027</v>
      </c>
      <c r="D190" s="2" t="inlineStr">
        <is>
          <t>A90636169</t>
        </is>
      </c>
      <c r="E190" s="2" t="inlineStr">
        <is>
          <t>Actuadores…</t>
        </is>
      </c>
      <c r="F190" s="2" t="n">
        <v>2801492</v>
      </c>
      <c r="G190" s="4" t="n">
        <v>751.75</v>
      </c>
      <c r="H190" s="3" t="n">
        <v>46004</v>
      </c>
      <c r="I190" s="3" t="n">
        <v>46045</v>
      </c>
      <c r="J190" s="2" t="n">
        <v>28</v>
      </c>
      <c r="K190" s="2" t="n">
        <v>11.08</v>
      </c>
      <c r="L190" s="2" t="n">
        <v>2.83</v>
      </c>
      <c r="M190" s="4" t="n">
        <v>21.27</v>
      </c>
      <c r="N190" s="4" t="n">
        <v>6.48</v>
      </c>
      <c r="O190" s="2" t="n">
        <v>70</v>
      </c>
      <c r="P190" s="4" t="n">
        <v>14.7</v>
      </c>
      <c r="Q190" s="4" t="n">
        <v>4.41</v>
      </c>
      <c r="R190" s="4">
        <f>G190*(L190/100)*(O190/100)</f>
        <v/>
      </c>
      <c r="S190" s="4">
        <f>G190*(K190/360/100)*J190*(O190/100)</f>
        <v/>
      </c>
      <c r="T190" s="4">
        <f>P190-R190+Q190-S190</f>
        <v/>
      </c>
    </row>
    <row r="191">
      <c r="A191" s="2" t="inlineStr">
        <is>
          <t>Oro</t>
        </is>
      </c>
      <c r="B191" s="2" t="inlineStr">
        <is>
          <t>Amarillo</t>
        </is>
      </c>
      <c r="C191" s="3" t="n">
        <v>46027</v>
      </c>
      <c r="D191" s="2" t="inlineStr">
        <is>
          <t>A23488966</t>
        </is>
      </c>
      <c r="E191" s="2" t="inlineStr">
        <is>
          <t>Licores Pro…</t>
        </is>
      </c>
      <c r="F191" s="2" t="n">
        <v>2768459</v>
      </c>
      <c r="G191" s="4" t="n">
        <v>261.25</v>
      </c>
      <c r="H191" s="3" t="n">
        <v>46018</v>
      </c>
      <c r="I191" s="3" t="n">
        <v>46120</v>
      </c>
      <c r="J191" s="2" t="n">
        <v>25</v>
      </c>
      <c r="K191" s="2" t="n">
        <v>11.53</v>
      </c>
      <c r="L191" s="2" t="n">
        <v>0.52</v>
      </c>
      <c r="M191" s="4" t="n">
        <v>1.36</v>
      </c>
      <c r="N191" s="4" t="n">
        <v>2.09</v>
      </c>
      <c r="O191" s="2" t="n">
        <v>70</v>
      </c>
      <c r="P191" s="4" t="n">
        <v>0.91</v>
      </c>
      <c r="Q191" s="4" t="n">
        <v>1.39</v>
      </c>
      <c r="R191" s="4">
        <f>G191*(L191/100)*(O191/100)</f>
        <v/>
      </c>
      <c r="S191" s="4">
        <f>G191*(K191/360/100)*J191*(O191/100)</f>
        <v/>
      </c>
      <c r="T191" s="4">
        <f>P191-R191+Q191-S191</f>
        <v/>
      </c>
    </row>
    <row r="192">
      <c r="A192" s="2" t="inlineStr">
        <is>
          <t>Oro</t>
        </is>
      </c>
      <c r="B192" s="2" t="inlineStr">
        <is>
          <t>Amarillo</t>
        </is>
      </c>
      <c r="C192" s="3" t="n">
        <v>46027</v>
      </c>
      <c r="D192" s="2" t="inlineStr">
        <is>
          <t>A47886485</t>
        </is>
      </c>
      <c r="E192" s="2" t="inlineStr">
        <is>
          <t>Tinturas So…</t>
        </is>
      </c>
      <c r="F192" s="2" t="n">
        <v>4667718</v>
      </c>
      <c r="G192" s="4" t="n">
        <v>830.27</v>
      </c>
      <c r="H192" s="3" t="n">
        <v>46008</v>
      </c>
      <c r="I192" s="3" t="n">
        <v>46116</v>
      </c>
      <c r="J192" s="2" t="n">
        <v>36</v>
      </c>
      <c r="K192" s="2" t="n">
        <v>46.6</v>
      </c>
      <c r="L192" s="2" t="n">
        <v>0.5600000000000001</v>
      </c>
      <c r="M192" s="4" t="n">
        <v>4.65</v>
      </c>
      <c r="N192" s="4" t="n">
        <v>38.69</v>
      </c>
      <c r="O192" s="2" t="n">
        <v>50</v>
      </c>
      <c r="P192" s="4" t="n">
        <v>2.3</v>
      </c>
      <c r="Q192" s="4" t="n">
        <v>19.43</v>
      </c>
      <c r="R192" s="4">
        <f>G192*(L192/100)*(O192/100)</f>
        <v/>
      </c>
      <c r="S192" s="4">
        <f>G192*(K192/360/100)*J192*(O192/100)</f>
        <v/>
      </c>
      <c r="T192" s="4">
        <f>P192-R192+Q192-S192</f>
        <v/>
      </c>
    </row>
    <row r="193">
      <c r="A193" s="2" t="inlineStr">
        <is>
          <t>Oro</t>
        </is>
      </c>
      <c r="B193" s="2" t="inlineStr">
        <is>
          <t>Amarillo</t>
        </is>
      </c>
      <c r="C193" s="3" t="n">
        <v>46027</v>
      </c>
      <c r="D193" s="2" t="inlineStr">
        <is>
          <t>A60657935</t>
        </is>
      </c>
      <c r="E193" s="2" t="inlineStr">
        <is>
          <t>Inductores…</t>
        </is>
      </c>
      <c r="F193" s="2" t="n">
        <v>4550492</v>
      </c>
      <c r="G193" s="4" t="n">
        <v>390.48</v>
      </c>
      <c r="H193" s="3" t="n">
        <v>45995</v>
      </c>
      <c r="I193" s="3" t="n">
        <v>46036</v>
      </c>
      <c r="J193" s="2" t="n">
        <v>83</v>
      </c>
      <c r="K193" s="2" t="n">
        <v>25.89</v>
      </c>
      <c r="L193" s="2" t="n">
        <v>1.72</v>
      </c>
      <c r="M193" s="4" t="n">
        <v>6.72</v>
      </c>
      <c r="N193" s="4" t="n">
        <v>23.31</v>
      </c>
      <c r="O193" s="2" t="n">
        <v>30</v>
      </c>
      <c r="P193" s="4" t="n">
        <v>2.22</v>
      </c>
      <c r="Q193" s="4" t="n">
        <v>7.15</v>
      </c>
      <c r="R193" s="4">
        <f>G193*(L193/100)*(O193/100)</f>
        <v/>
      </c>
      <c r="S193" s="4">
        <f>G193*(K193/360/100)*J193*(O193/100)</f>
        <v/>
      </c>
      <c r="T193" s="4">
        <f>P193-R193+Q193-S193</f>
        <v/>
      </c>
    </row>
    <row r="194">
      <c r="A194" s="2" t="inlineStr">
        <is>
          <t>Oro</t>
        </is>
      </c>
      <c r="B194" s="2" t="inlineStr">
        <is>
          <t>Amarillo</t>
        </is>
      </c>
      <c r="C194" s="3" t="n">
        <v>46027</v>
      </c>
      <c r="D194" s="2" t="inlineStr">
        <is>
          <t>B56677060</t>
        </is>
      </c>
      <c r="E194" s="2" t="inlineStr">
        <is>
          <t>Manipulaci…</t>
        </is>
      </c>
      <c r="F194" s="2" t="n">
        <v>3951223</v>
      </c>
      <c r="G194" s="4" t="n">
        <v>840.92</v>
      </c>
      <c r="H194" s="3" t="n">
        <v>46008</v>
      </c>
      <c r="I194" s="3" t="n">
        <v>46042</v>
      </c>
      <c r="J194" s="2" t="n">
        <v>68</v>
      </c>
      <c r="K194" s="2" t="n">
        <v>15.24</v>
      </c>
      <c r="L194" s="2" t="n">
        <v>1.08</v>
      </c>
      <c r="M194" s="4" t="n">
        <v>9.08</v>
      </c>
      <c r="N194" s="4" t="n">
        <v>24.21</v>
      </c>
      <c r="O194" s="2" t="n">
        <v>40</v>
      </c>
      <c r="P194" s="4" t="n">
        <v>3.73</v>
      </c>
      <c r="Q194" s="4" t="n">
        <v>9.949999999999999</v>
      </c>
      <c r="R194" s="4">
        <f>G194*(L194/100)*(O194/100)</f>
        <v/>
      </c>
      <c r="S194" s="4">
        <f>G194*(K194/360/100)*J194*(O194/100)</f>
        <v/>
      </c>
      <c r="T194" s="4">
        <f>P194-R194+Q194-S194</f>
        <v/>
      </c>
    </row>
    <row r="195">
      <c r="A195" s="2" t="inlineStr">
        <is>
          <t>Oro</t>
        </is>
      </c>
      <c r="B195" s="2" t="inlineStr">
        <is>
          <t>Amarillo</t>
        </is>
      </c>
      <c r="C195" s="3" t="n">
        <v>46027</v>
      </c>
      <c r="D195" s="2" t="inlineStr">
        <is>
          <t>A36766078</t>
        </is>
      </c>
      <c r="E195" s="2" t="inlineStr">
        <is>
          <t>Herbicidas…</t>
        </is>
      </c>
      <c r="F195" s="2" t="n">
        <v>1379149</v>
      </c>
      <c r="G195" s="4" t="n">
        <v>8952.49</v>
      </c>
      <c r="H195" s="3" t="n">
        <v>46011</v>
      </c>
      <c r="I195" s="3" t="n">
        <v>46182</v>
      </c>
      <c r="J195" s="2" t="n">
        <v>75</v>
      </c>
      <c r="K195" s="2" t="n">
        <v>31.5</v>
      </c>
      <c r="L195" s="2" t="n">
        <v>1.24</v>
      </c>
      <c r="M195" s="4" t="n">
        <v>111.01</v>
      </c>
      <c r="N195" s="4" t="n">
        <v>587.51</v>
      </c>
      <c r="O195" s="2" t="n">
        <v>20</v>
      </c>
      <c r="P195" s="4" t="n">
        <v>22.09</v>
      </c>
      <c r="Q195" s="4" t="n">
        <v>117.73</v>
      </c>
      <c r="R195" s="4">
        <f>G195*(L195/100)*(O195/100)</f>
        <v/>
      </c>
      <c r="S195" s="4">
        <f>G195*(K195/360/100)*J195*(O195/100)</f>
        <v/>
      </c>
      <c r="T195" s="4">
        <f>P195-R195+Q195-S195</f>
        <v/>
      </c>
    </row>
    <row r="196">
      <c r="A196" s="2" t="inlineStr">
        <is>
          <t>Oro</t>
        </is>
      </c>
      <c r="B196" s="2" t="inlineStr">
        <is>
          <t>Amarillo</t>
        </is>
      </c>
      <c r="C196" s="3" t="n">
        <v>46027</v>
      </c>
      <c r="D196" s="2" t="inlineStr">
        <is>
          <t>A48932627</t>
        </is>
      </c>
      <c r="E196" s="2" t="inlineStr">
        <is>
          <t>Depósitos…</t>
        </is>
      </c>
      <c r="F196" s="2" t="n">
        <v>3497222</v>
      </c>
      <c r="G196" s="4" t="n">
        <v>134.83</v>
      </c>
      <c r="H196" s="3" t="n">
        <v>46013</v>
      </c>
      <c r="I196" s="3" t="n">
        <v>46043</v>
      </c>
      <c r="J196" s="2" t="n">
        <v>37</v>
      </c>
      <c r="K196" s="2" t="n">
        <v>17.43</v>
      </c>
      <c r="L196" s="2" t="n">
        <v>2</v>
      </c>
      <c r="M196" s="4" t="n">
        <v>2.7</v>
      </c>
      <c r="N196" s="4" t="n">
        <v>2.42</v>
      </c>
      <c r="O196" s="2" t="n">
        <v>20</v>
      </c>
      <c r="P196" s="4" t="n">
        <v>0.43</v>
      </c>
      <c r="Q196" s="4" t="n">
        <v>0.33</v>
      </c>
      <c r="R196" s="4">
        <f>G196*(L196/100)*(O196/100)</f>
        <v/>
      </c>
      <c r="S196" s="4">
        <f>G196*(K196/360/100)*J196*(O196/100)</f>
        <v/>
      </c>
      <c r="T196" s="4">
        <f>P196-R196+Q196-S196</f>
        <v/>
      </c>
    </row>
    <row r="197">
      <c r="A197" s="2" t="inlineStr">
        <is>
          <t>Oro</t>
        </is>
      </c>
      <c r="B197" s="2" t="inlineStr">
        <is>
          <t>Amarillo</t>
        </is>
      </c>
      <c r="C197" s="3" t="n">
        <v>46027</v>
      </c>
      <c r="D197" s="2" t="inlineStr">
        <is>
          <t>A54220732</t>
        </is>
      </c>
      <c r="E197" s="2" t="inlineStr">
        <is>
          <t>Condensad…</t>
        </is>
      </c>
      <c r="F197" s="2" t="n">
        <v>3061438</v>
      </c>
      <c r="G197" s="4" t="n">
        <v>327.51</v>
      </c>
      <c r="H197" s="3" t="n">
        <v>46002</v>
      </c>
      <c r="I197" s="3" t="n">
        <v>46153</v>
      </c>
      <c r="J197" s="2" t="n">
        <v>20</v>
      </c>
      <c r="K197" s="2" t="n">
        <v>44.6</v>
      </c>
      <c r="L197" s="2" t="n">
        <v>1.3</v>
      </c>
      <c r="M197" s="4" t="n">
        <v>4.26</v>
      </c>
      <c r="N197" s="4" t="n">
        <v>8.109999999999999</v>
      </c>
      <c r="O197" s="2" t="n">
        <v>30</v>
      </c>
      <c r="P197" s="4" t="n">
        <v>1.5</v>
      </c>
      <c r="Q197" s="4" t="n">
        <v>2.66</v>
      </c>
      <c r="R197" s="4">
        <f>G197*(L197/100)*(O197/100)</f>
        <v/>
      </c>
      <c r="S197" s="4">
        <f>G197*(K197/360/100)*J197*(O197/100)</f>
        <v/>
      </c>
      <c r="T197" s="4">
        <f>P197-R197+Q197-S197</f>
        <v/>
      </c>
    </row>
    <row r="198">
      <c r="A198" s="2" t="inlineStr">
        <is>
          <t>Oro</t>
        </is>
      </c>
      <c r="B198" s="2" t="inlineStr">
        <is>
          <t>Amarillo</t>
        </is>
      </c>
      <c r="C198" s="3" t="n">
        <v>46027</v>
      </c>
      <c r="D198" s="2" t="inlineStr">
        <is>
          <t>A47419150</t>
        </is>
      </c>
      <c r="E198" s="2" t="inlineStr">
        <is>
          <t>Tubulares…</t>
        </is>
      </c>
      <c r="F198" s="2" t="n">
        <v>4615948</v>
      </c>
      <c r="G198" s="4" t="n">
        <v>600.9400000000001</v>
      </c>
      <c r="H198" s="3" t="n">
        <v>46002</v>
      </c>
      <c r="I198" s="3" t="n">
        <v>46097</v>
      </c>
      <c r="J198" s="2" t="n">
        <v>45</v>
      </c>
      <c r="K198" s="2" t="n">
        <v>24.49</v>
      </c>
      <c r="L198" s="2" t="n">
        <v>1.76</v>
      </c>
      <c r="M198" s="4" t="n">
        <v>10.58</v>
      </c>
      <c r="N198" s="4" t="n">
        <v>18.4</v>
      </c>
      <c r="O198" s="2" t="n">
        <v>40</v>
      </c>
      <c r="P198" s="4" t="n">
        <v>3.93</v>
      </c>
      <c r="Q198" s="4" t="n">
        <v>7.2</v>
      </c>
      <c r="R198" s="4">
        <f>G198*(L198/100)*(O198/100)</f>
        <v/>
      </c>
      <c r="S198" s="4">
        <f>G198*(K198/360/100)*J198*(O198/100)</f>
        <v/>
      </c>
      <c r="T198" s="4">
        <f>P198-R198+Q198-S198</f>
        <v/>
      </c>
    </row>
    <row r="199">
      <c r="A199" s="2" t="inlineStr">
        <is>
          <t>Oro</t>
        </is>
      </c>
      <c r="B199" s="2" t="inlineStr">
        <is>
          <t>Amarillo</t>
        </is>
      </c>
      <c r="C199" s="3" t="n">
        <v>46027</v>
      </c>
      <c r="D199" s="2" t="inlineStr">
        <is>
          <t>A44779992</t>
        </is>
      </c>
      <c r="E199" s="2" t="inlineStr">
        <is>
          <t>Vigas Verd…</t>
        </is>
      </c>
      <c r="F199" s="2" t="n">
        <v>2620400</v>
      </c>
      <c r="G199" s="4" t="n">
        <v>446.39</v>
      </c>
      <c r="H199" s="3" t="n">
        <v>46001</v>
      </c>
      <c r="I199" s="3" t="n">
        <v>46073</v>
      </c>
      <c r="J199" s="2" t="n">
        <v>87</v>
      </c>
      <c r="K199" s="2" t="n">
        <v>24.1</v>
      </c>
      <c r="L199" s="2" t="n">
        <v>2.6</v>
      </c>
      <c r="M199" s="4" t="n">
        <v>11.61</v>
      </c>
      <c r="N199" s="4" t="n">
        <v>26</v>
      </c>
      <c r="O199" s="2" t="n">
        <v>30</v>
      </c>
      <c r="P199" s="4" t="n">
        <v>3.43</v>
      </c>
      <c r="Q199" s="4" t="n">
        <v>7.88</v>
      </c>
      <c r="R199" s="4">
        <f>G199*(L199/100)*(O199/100)</f>
        <v/>
      </c>
      <c r="S199" s="4">
        <f>G199*(K199/360/100)*J199*(O199/100)</f>
        <v/>
      </c>
      <c r="T199" s="4">
        <f>P199-R199+Q199-S199</f>
        <v/>
      </c>
    </row>
    <row r="200">
      <c r="A200" s="2" t="inlineStr">
        <is>
          <t>Oro</t>
        </is>
      </c>
      <c r="B200" s="2" t="inlineStr">
        <is>
          <t>Amarillo</t>
        </is>
      </c>
      <c r="C200" s="3" t="n">
        <v>46027</v>
      </c>
      <c r="D200" s="2" t="inlineStr">
        <is>
          <t>B13637077</t>
        </is>
      </c>
      <c r="E200" s="2" t="inlineStr">
        <is>
          <t>Tractores C…</t>
        </is>
      </c>
      <c r="F200" s="2" t="n">
        <v>1664324</v>
      </c>
      <c r="G200" s="4" t="n">
        <v>538.45</v>
      </c>
      <c r="H200" s="3" t="n">
        <v>46005</v>
      </c>
      <c r="I200" s="3" t="n">
        <v>46099</v>
      </c>
      <c r="J200" s="2" t="n">
        <v>90</v>
      </c>
      <c r="K200" s="2" t="n">
        <v>18.07</v>
      </c>
      <c r="L200" s="2" t="n">
        <v>2.58</v>
      </c>
      <c r="M200" s="4" t="n">
        <v>13.89</v>
      </c>
      <c r="N200" s="4" t="n">
        <v>24.32</v>
      </c>
      <c r="O200" s="2" t="n">
        <v>30</v>
      </c>
      <c r="P200" s="4" t="n">
        <v>4.15</v>
      </c>
      <c r="Q200" s="4" t="n">
        <v>7.35</v>
      </c>
      <c r="R200" s="4">
        <f>G200*(L200/100)*(O200/100)</f>
        <v/>
      </c>
      <c r="S200" s="4">
        <f>G200*(K200/360/100)*J200*(O200/100)</f>
        <v/>
      </c>
      <c r="T200" s="4">
        <f>P200-R200+Q200-S200</f>
        <v/>
      </c>
    </row>
    <row r="201">
      <c r="A201" s="2" t="inlineStr">
        <is>
          <t>Oro</t>
        </is>
      </c>
      <c r="B201" s="2" t="inlineStr">
        <is>
          <t>Amarillo</t>
        </is>
      </c>
      <c r="C201" s="3" t="n">
        <v>46027</v>
      </c>
      <c r="D201" s="2" t="inlineStr">
        <is>
          <t>B69222962</t>
        </is>
      </c>
      <c r="E201" s="2" t="inlineStr">
        <is>
          <t>Component…</t>
        </is>
      </c>
      <c r="F201" s="2" t="n">
        <v>3270650</v>
      </c>
      <c r="G201" s="4" t="n">
        <v>281.09</v>
      </c>
      <c r="H201" s="3" t="n">
        <v>46004</v>
      </c>
      <c r="I201" s="3" t="n">
        <v>46024</v>
      </c>
      <c r="J201" s="2" t="n">
        <v>59</v>
      </c>
      <c r="K201" s="2" t="n">
        <v>22.82</v>
      </c>
      <c r="L201" s="2" t="n">
        <v>1.45</v>
      </c>
      <c r="M201" s="4" t="n">
        <v>4.08</v>
      </c>
      <c r="N201" s="4" t="n">
        <v>10.51</v>
      </c>
      <c r="O201" s="2" t="n">
        <v>70</v>
      </c>
      <c r="P201" s="4" t="n">
        <v>2.74</v>
      </c>
      <c r="Q201" s="4" t="n">
        <v>7.21</v>
      </c>
      <c r="R201" s="4">
        <f>G201*(L201/100)*(O201/100)</f>
        <v/>
      </c>
      <c r="S201" s="4">
        <f>G201*(K201/360/100)*J201*(O201/100)</f>
        <v/>
      </c>
      <c r="T201" s="4">
        <f>P201-R201+Q201-S201</f>
        <v/>
      </c>
    </row>
    <row r="202">
      <c r="A202" s="2" t="inlineStr">
        <is>
          <t>Oro</t>
        </is>
      </c>
      <c r="B202" s="2" t="inlineStr">
        <is>
          <t>Amarillo</t>
        </is>
      </c>
      <c r="C202" s="3" t="n">
        <v>46027</v>
      </c>
      <c r="D202" s="2" t="inlineStr">
        <is>
          <t>A00748575</t>
        </is>
      </c>
      <c r="E202" s="2" t="inlineStr">
        <is>
          <t>Resinas Te…</t>
        </is>
      </c>
      <c r="F202" s="2" t="n">
        <v>2167138</v>
      </c>
      <c r="G202" s="4" t="n">
        <v>818.17</v>
      </c>
      <c r="H202" s="3" t="n">
        <v>46009</v>
      </c>
      <c r="I202" s="3" t="n">
        <v>46131</v>
      </c>
      <c r="J202" s="2" t="n">
        <v>53</v>
      </c>
      <c r="K202" s="2" t="n">
        <v>41.01</v>
      </c>
      <c r="L202" s="2" t="n">
        <v>0.57</v>
      </c>
      <c r="M202" s="4" t="n">
        <v>4.66</v>
      </c>
      <c r="N202" s="4" t="n">
        <v>49.4</v>
      </c>
      <c r="O202" s="2" t="n">
        <v>20</v>
      </c>
      <c r="P202" s="4" t="n">
        <v>0.77</v>
      </c>
      <c r="Q202" s="4" t="n">
        <v>9.619999999999999</v>
      </c>
      <c r="R202" s="4">
        <f>G202*(L202/100)*(O202/100)</f>
        <v/>
      </c>
      <c r="S202" s="4">
        <f>G202*(K202/360/100)*J202*(O202/100)</f>
        <v/>
      </c>
      <c r="T202" s="4">
        <f>P202-R202+Q202-S202</f>
        <v/>
      </c>
    </row>
    <row r="203">
      <c r="A203" s="2" t="inlineStr">
        <is>
          <t>Oro</t>
        </is>
      </c>
      <c r="B203" s="2" t="inlineStr">
        <is>
          <t>Amarillo</t>
        </is>
      </c>
      <c r="C203" s="3" t="n">
        <v>46027</v>
      </c>
      <c r="D203" s="2" t="inlineStr">
        <is>
          <t>B57580049</t>
        </is>
      </c>
      <c r="E203" s="2" t="inlineStr">
        <is>
          <t>Ferrosos U…</t>
        </is>
      </c>
      <c r="F203" s="2" t="n">
        <v>2976011</v>
      </c>
      <c r="G203" s="4" t="n">
        <v>312.37</v>
      </c>
      <c r="H203" s="3" t="n">
        <v>46011</v>
      </c>
      <c r="I203" s="3" t="n">
        <v>46135</v>
      </c>
      <c r="J203" s="2" t="n">
        <v>87</v>
      </c>
      <c r="K203" s="2" t="n">
        <v>13.06</v>
      </c>
      <c r="L203" s="2" t="n">
        <v>0.71</v>
      </c>
      <c r="M203" s="4" t="n">
        <v>2.22</v>
      </c>
      <c r="N203" s="4" t="n">
        <v>9.859999999999999</v>
      </c>
      <c r="O203" s="2" t="n">
        <v>70</v>
      </c>
      <c r="P203" s="4" t="n">
        <v>1.52</v>
      </c>
      <c r="Q203" s="4" t="n">
        <v>6.86</v>
      </c>
      <c r="R203" s="4">
        <f>G203*(L203/100)*(O203/100)</f>
        <v/>
      </c>
      <c r="S203" s="4">
        <f>G203*(K203/360/100)*J203*(O203/100)</f>
        <v/>
      </c>
      <c r="T203" s="4">
        <f>P203-R203+Q203-S203</f>
        <v/>
      </c>
    </row>
    <row r="204">
      <c r="A204" s="2" t="inlineStr">
        <is>
          <t>Oro</t>
        </is>
      </c>
      <c r="B204" s="2" t="inlineStr">
        <is>
          <t>Amarillo</t>
        </is>
      </c>
      <c r="C204" s="3" t="n">
        <v>46027</v>
      </c>
      <c r="D204" s="2" t="inlineStr">
        <is>
          <t>B77831415</t>
        </is>
      </c>
      <c r="E204" s="2" t="inlineStr">
        <is>
          <t>Cápsulas V…</t>
        </is>
      </c>
      <c r="F204" s="2" t="n">
        <v>3841968</v>
      </c>
      <c r="G204" s="4" t="n">
        <v>5699.27</v>
      </c>
      <c r="H204" s="3" t="n">
        <v>46002</v>
      </c>
      <c r="I204" s="3" t="n">
        <v>46144</v>
      </c>
      <c r="J204" s="2" t="n">
        <v>70</v>
      </c>
      <c r="K204" s="2" t="n">
        <v>11.02</v>
      </c>
      <c r="L204" s="2" t="n">
        <v>0.6899999999999999</v>
      </c>
      <c r="M204" s="4" t="n">
        <v>39.32</v>
      </c>
      <c r="N204" s="4" t="n">
        <v>122.12</v>
      </c>
      <c r="O204" s="2" t="n">
        <v>50</v>
      </c>
      <c r="P204" s="4" t="n">
        <v>19.48</v>
      </c>
      <c r="Q204" s="4" t="n">
        <v>61</v>
      </c>
      <c r="R204" s="4">
        <f>G204*(L204/100)*(O204/100)</f>
        <v/>
      </c>
      <c r="S204" s="4">
        <f>G204*(K204/360/100)*J204*(O204/100)</f>
        <v/>
      </c>
      <c r="T204" s="4">
        <f>P204-R204+Q204-S204</f>
        <v/>
      </c>
    </row>
    <row r="205">
      <c r="A205" s="2" t="inlineStr">
        <is>
          <t>Oro</t>
        </is>
      </c>
      <c r="B205" s="2" t="inlineStr">
        <is>
          <t>Amarillo</t>
        </is>
      </c>
      <c r="C205" s="3" t="n">
        <v>46027</v>
      </c>
      <c r="D205" s="2" t="inlineStr">
        <is>
          <t>A29004650</t>
        </is>
      </c>
      <c r="E205" s="2" t="inlineStr">
        <is>
          <t>Automatiza…</t>
        </is>
      </c>
      <c r="F205" s="2" t="n">
        <v>4681805</v>
      </c>
      <c r="G205" s="4" t="n">
        <v>843.24</v>
      </c>
      <c r="H205" s="3" t="n">
        <v>45992</v>
      </c>
      <c r="I205" s="3" t="n">
        <v>46155</v>
      </c>
      <c r="J205" s="2" t="n">
        <v>76</v>
      </c>
      <c r="K205" s="2" t="n">
        <v>31.08</v>
      </c>
      <c r="L205" s="2" t="n">
        <v>1.34</v>
      </c>
      <c r="M205" s="4" t="n">
        <v>11.3</v>
      </c>
      <c r="N205" s="4" t="n">
        <v>55.33</v>
      </c>
      <c r="O205" s="2" t="n">
        <v>70</v>
      </c>
      <c r="P205" s="4" t="n">
        <v>7.64</v>
      </c>
      <c r="Q205" s="4" t="n">
        <v>38.84</v>
      </c>
      <c r="R205" s="4">
        <f>G205*(L205/100)*(O205/100)</f>
        <v/>
      </c>
      <c r="S205" s="4">
        <f>G205*(K205/360/100)*J205*(O205/100)</f>
        <v/>
      </c>
      <c r="T205" s="4">
        <f>P205-R205+Q205-S205</f>
        <v/>
      </c>
    </row>
    <row r="206">
      <c r="A206" s="2" t="inlineStr">
        <is>
          <t>Oro</t>
        </is>
      </c>
      <c r="B206" s="2" t="inlineStr">
        <is>
          <t>Amarillo</t>
        </is>
      </c>
      <c r="C206" s="3" t="n">
        <v>46027</v>
      </c>
      <c r="D206" s="2" t="inlineStr">
        <is>
          <t>A97519892</t>
        </is>
      </c>
      <c r="E206" s="2" t="inlineStr">
        <is>
          <t>Telas Cone…</t>
        </is>
      </c>
      <c r="F206" s="2" t="n">
        <v>3722002</v>
      </c>
      <c r="G206" s="4" t="n">
        <v>9312.309999999999</v>
      </c>
      <c r="H206" s="3" t="n">
        <v>45995</v>
      </c>
      <c r="I206" s="3" t="n">
        <v>46118</v>
      </c>
      <c r="J206" s="2" t="n">
        <v>31</v>
      </c>
      <c r="K206" s="2" t="n">
        <v>11.82</v>
      </c>
      <c r="L206" s="2" t="n">
        <v>2.73</v>
      </c>
      <c r="M206" s="4" t="n">
        <v>254.23</v>
      </c>
      <c r="N206" s="4" t="n">
        <v>94.78</v>
      </c>
      <c r="O206" s="2" t="n">
        <v>40</v>
      </c>
      <c r="P206" s="4" t="n">
        <v>101.5</v>
      </c>
      <c r="Q206" s="4" t="n">
        <v>37.97</v>
      </c>
      <c r="R206" s="4">
        <f>G206*(L206/100)*(O206/100)</f>
        <v/>
      </c>
      <c r="S206" s="4">
        <f>G206*(K206/360/100)*J206*(O206/100)</f>
        <v/>
      </c>
      <c r="T206" s="4">
        <f>P206-R206+Q206-S206</f>
        <v/>
      </c>
    </row>
    <row r="207">
      <c r="A207" s="2" t="inlineStr">
        <is>
          <t>Oro</t>
        </is>
      </c>
      <c r="B207" s="2" t="inlineStr">
        <is>
          <t>Amarillo</t>
        </is>
      </c>
      <c r="C207" s="3" t="n">
        <v>46027</v>
      </c>
      <c r="D207" s="2" t="inlineStr">
        <is>
          <t>A81058085</t>
        </is>
      </c>
      <c r="E207" s="2" t="inlineStr">
        <is>
          <t>Cárnicos Pr…</t>
        </is>
      </c>
      <c r="F207" s="2" t="n">
        <v>4250269</v>
      </c>
      <c r="G207" s="4" t="n">
        <v>677.84</v>
      </c>
      <c r="H207" s="3" t="n">
        <v>46019</v>
      </c>
      <c r="I207" s="3" t="n">
        <v>46180</v>
      </c>
      <c r="J207" s="2" t="n">
        <v>19</v>
      </c>
      <c r="K207" s="2" t="n">
        <v>28.64</v>
      </c>
      <c r="L207" s="2" t="n">
        <v>1.11</v>
      </c>
      <c r="M207" s="4" t="n">
        <v>7.52</v>
      </c>
      <c r="N207" s="4" t="n">
        <v>10.25</v>
      </c>
      <c r="O207" s="2" t="n">
        <v>30</v>
      </c>
      <c r="P207" s="4" t="n">
        <v>1.98</v>
      </c>
      <c r="Q207" s="4" t="n">
        <v>3.17</v>
      </c>
      <c r="R207" s="4">
        <f>G207*(L207/100)*(O207/100)</f>
        <v/>
      </c>
      <c r="S207" s="4">
        <f>G207*(K207/360/100)*J207*(O207/100)</f>
        <v/>
      </c>
      <c r="T207" s="4">
        <f>P207-R207+Q207-S207</f>
        <v/>
      </c>
    </row>
    <row r="208">
      <c r="A208" s="2" t="inlineStr">
        <is>
          <t>Oro</t>
        </is>
      </c>
      <c r="B208" s="2" t="inlineStr">
        <is>
          <t>Amarillo</t>
        </is>
      </c>
      <c r="C208" s="3" t="n">
        <v>46027</v>
      </c>
      <c r="D208" s="2" t="inlineStr">
        <is>
          <t>A28468606</t>
        </is>
      </c>
      <c r="E208" s="2" t="inlineStr">
        <is>
          <t>Correas Re…</t>
        </is>
      </c>
      <c r="F208" s="2" t="n">
        <v>1742630</v>
      </c>
      <c r="G208" s="4" t="n">
        <v>6899.06</v>
      </c>
      <c r="H208" s="3" t="n">
        <v>46004</v>
      </c>
      <c r="I208" s="3" t="n">
        <v>46157</v>
      </c>
      <c r="J208" s="2" t="n">
        <v>64</v>
      </c>
      <c r="K208" s="2" t="n">
        <v>20.08</v>
      </c>
      <c r="L208" s="2" t="n">
        <v>1.3</v>
      </c>
      <c r="M208" s="4" t="n">
        <v>89.69</v>
      </c>
      <c r="N208" s="4" t="n">
        <v>246.28</v>
      </c>
      <c r="O208" s="2" t="n">
        <v>60</v>
      </c>
      <c r="P208" s="4" t="n">
        <v>53.99</v>
      </c>
      <c r="Q208" s="4" t="n">
        <v>147.6</v>
      </c>
      <c r="R208" s="4">
        <f>G208*(L208/100)*(O208/100)</f>
        <v/>
      </c>
      <c r="S208" s="4">
        <f>G208*(K208/360/100)*J208*(O208/100)</f>
        <v/>
      </c>
      <c r="T208" s="4">
        <f>P208-R208+Q208-S208</f>
        <v/>
      </c>
    </row>
    <row r="209">
      <c r="A209" s="2" t="inlineStr">
        <is>
          <t>Oro</t>
        </is>
      </c>
      <c r="B209" s="2" t="inlineStr">
        <is>
          <t>Amarillo</t>
        </is>
      </c>
      <c r="C209" s="3" t="n">
        <v>46027</v>
      </c>
      <c r="D209" s="2" t="inlineStr">
        <is>
          <t>A92050707</t>
        </is>
      </c>
      <c r="E209" s="2" t="inlineStr">
        <is>
          <t>Alcantarilla…</t>
        </is>
      </c>
      <c r="F209" s="2" t="n">
        <v>3408835</v>
      </c>
      <c r="G209" s="4" t="n">
        <v>213.01</v>
      </c>
      <c r="H209" s="3" t="n">
        <v>46010</v>
      </c>
      <c r="I209" s="3" t="n">
        <v>46094</v>
      </c>
      <c r="J209" s="2" t="n">
        <v>11</v>
      </c>
      <c r="K209" s="2" t="n">
        <v>19.46</v>
      </c>
      <c r="L209" s="2" t="n">
        <v>0.8</v>
      </c>
      <c r="M209" s="4" t="n">
        <v>1.7</v>
      </c>
      <c r="N209" s="4" t="n">
        <v>1.27</v>
      </c>
      <c r="O209" s="2" t="n">
        <v>40</v>
      </c>
      <c r="P209" s="4" t="n">
        <v>0.62</v>
      </c>
      <c r="Q209" s="4" t="n">
        <v>0.45</v>
      </c>
      <c r="R209" s="4">
        <f>G209*(L209/100)*(O209/100)</f>
        <v/>
      </c>
      <c r="S209" s="4">
        <f>G209*(K209/360/100)*J209*(O209/100)</f>
        <v/>
      </c>
      <c r="T209" s="4">
        <f>P209-R209+Q209-S209</f>
        <v/>
      </c>
    </row>
    <row r="210">
      <c r="A210" s="2" t="inlineStr">
        <is>
          <t>Oro</t>
        </is>
      </c>
      <c r="B210" s="2" t="inlineStr">
        <is>
          <t>Amarillo</t>
        </is>
      </c>
      <c r="C210" s="3" t="n">
        <v>46027</v>
      </c>
      <c r="D210" s="2" t="inlineStr">
        <is>
          <t>A83320138</t>
        </is>
      </c>
      <c r="E210" s="2" t="inlineStr">
        <is>
          <t>Cápsulas S…</t>
        </is>
      </c>
      <c r="F210" s="2" t="n">
        <v>3303440</v>
      </c>
      <c r="G210" s="4" t="n">
        <v>690.1799999999999</v>
      </c>
      <c r="H210" s="3" t="n">
        <v>46000</v>
      </c>
      <c r="I210" s="3" t="n">
        <v>46138</v>
      </c>
      <c r="J210" s="2" t="n">
        <v>49</v>
      </c>
      <c r="K210" s="2" t="n">
        <v>23.33</v>
      </c>
      <c r="L210" s="2" t="n">
        <v>1.45</v>
      </c>
      <c r="M210" s="4" t="n">
        <v>10.01</v>
      </c>
      <c r="N210" s="4" t="n">
        <v>21.92</v>
      </c>
      <c r="O210" s="2" t="n">
        <v>20</v>
      </c>
      <c r="P210" s="4" t="n">
        <v>2.01</v>
      </c>
      <c r="Q210" s="4" t="n">
        <v>4.66</v>
      </c>
      <c r="R210" s="4">
        <f>G210*(L210/100)*(O210/100)</f>
        <v/>
      </c>
      <c r="S210" s="4">
        <f>G210*(K210/360/100)*J210*(O210/100)</f>
        <v/>
      </c>
      <c r="T210" s="4">
        <f>P210-R210+Q210-S210</f>
        <v/>
      </c>
    </row>
    <row r="211">
      <c r="A211" s="2" t="inlineStr">
        <is>
          <t>Oro</t>
        </is>
      </c>
      <c r="B211" s="2" t="inlineStr">
        <is>
          <t>Amarillo</t>
        </is>
      </c>
      <c r="C211" s="3" t="n">
        <v>46027</v>
      </c>
      <c r="D211" s="2" t="inlineStr">
        <is>
          <t>B86599173</t>
        </is>
      </c>
      <c r="E211" s="2" t="inlineStr">
        <is>
          <t>Certificacio…</t>
        </is>
      </c>
      <c r="F211" s="2" t="n">
        <v>3115816</v>
      </c>
      <c r="G211" s="4" t="n">
        <v>6442.09</v>
      </c>
      <c r="H211" s="3" t="n">
        <v>46014</v>
      </c>
      <c r="I211" s="3" t="n">
        <v>46048</v>
      </c>
      <c r="J211" s="2" t="n">
        <v>50</v>
      </c>
      <c r="K211" s="2" t="n">
        <v>38.11</v>
      </c>
      <c r="L211" s="2" t="n">
        <v>1.44</v>
      </c>
      <c r="M211" s="4" t="n">
        <v>92.77</v>
      </c>
      <c r="N211" s="4" t="n">
        <v>340.98</v>
      </c>
      <c r="O211" s="2" t="n">
        <v>40</v>
      </c>
      <c r="P211" s="4" t="n">
        <v>37.19</v>
      </c>
      <c r="Q211" s="4" t="n">
        <v>136.3</v>
      </c>
      <c r="R211" s="4">
        <f>G211*(L211/100)*(O211/100)</f>
        <v/>
      </c>
      <c r="S211" s="4">
        <f>G211*(K211/360/100)*J211*(O211/100)</f>
        <v/>
      </c>
      <c r="T211" s="4">
        <f>P211-R211+Q211-S211</f>
        <v/>
      </c>
    </row>
    <row r="212">
      <c r="A212" s="2" t="inlineStr">
        <is>
          <t>Oro</t>
        </is>
      </c>
      <c r="B212" s="2" t="inlineStr">
        <is>
          <t>Amarillo</t>
        </is>
      </c>
      <c r="C212" s="3" t="n">
        <v>46027</v>
      </c>
      <c r="D212" s="2" t="inlineStr">
        <is>
          <t>A55687689</t>
        </is>
      </c>
      <c r="E212" s="2" t="inlineStr">
        <is>
          <t>Aditivos Bio…</t>
        </is>
      </c>
      <c r="F212" s="2" t="n">
        <v>3856623</v>
      </c>
      <c r="G212" s="4" t="n">
        <v>909.5700000000001</v>
      </c>
      <c r="H212" s="3" t="n">
        <v>46017</v>
      </c>
      <c r="I212" s="3" t="n">
        <v>46122</v>
      </c>
      <c r="J212" s="2" t="n">
        <v>66</v>
      </c>
      <c r="K212" s="2" t="n">
        <v>18.16</v>
      </c>
      <c r="L212" s="2" t="n">
        <v>2.46</v>
      </c>
      <c r="M212" s="4" t="n">
        <v>22.38</v>
      </c>
      <c r="N212" s="4" t="n">
        <v>30.28</v>
      </c>
      <c r="O212" s="2" t="n">
        <v>20</v>
      </c>
      <c r="P212" s="4" t="n">
        <v>4.74</v>
      </c>
      <c r="Q212" s="4" t="n">
        <v>5.95</v>
      </c>
      <c r="R212" s="4">
        <f>G212*(L212/100)*(O212/100)</f>
        <v/>
      </c>
      <c r="S212" s="4">
        <f>G212*(K212/360/100)*J212*(O212/100)</f>
        <v/>
      </c>
      <c r="T212" s="4">
        <f>P212-R212+Q212-S212</f>
        <v/>
      </c>
    </row>
    <row r="213">
      <c r="A213" s="2" t="inlineStr">
        <is>
          <t>Oro</t>
        </is>
      </c>
      <c r="B213" s="2" t="inlineStr">
        <is>
          <t>Amarillo</t>
        </is>
      </c>
      <c r="C213" s="3" t="n">
        <v>46027</v>
      </c>
      <c r="D213" s="2" t="inlineStr">
        <is>
          <t>A90754893</t>
        </is>
      </c>
      <c r="E213" s="2" t="inlineStr">
        <is>
          <t>Cables Es…</t>
        </is>
      </c>
      <c r="F213" s="2" t="n">
        <v>1172321</v>
      </c>
      <c r="G213" s="4" t="n">
        <v>350.34</v>
      </c>
      <c r="H213" s="3" t="n">
        <v>46017</v>
      </c>
      <c r="I213" s="3" t="n">
        <v>46024</v>
      </c>
      <c r="J213" s="2" t="n">
        <v>79</v>
      </c>
      <c r="K213" s="2" t="n">
        <v>36.23</v>
      </c>
      <c r="L213" s="2" t="n">
        <v>1.18</v>
      </c>
      <c r="M213" s="4" t="n">
        <v>4.13</v>
      </c>
      <c r="N213" s="4" t="n">
        <v>27.85</v>
      </c>
      <c r="O213" s="2" t="n">
        <v>70</v>
      </c>
      <c r="P213" s="4" t="n">
        <v>3.04</v>
      </c>
      <c r="Q213" s="4" t="n">
        <v>19.4</v>
      </c>
      <c r="R213" s="4">
        <f>G213*(L213/100)*(O213/100)</f>
        <v/>
      </c>
      <c r="S213" s="4">
        <f>G213*(K213/360/100)*J213*(O213/100)</f>
        <v/>
      </c>
      <c r="T213" s="4">
        <f>P213-R213+Q213-S213</f>
        <v/>
      </c>
    </row>
    <row r="214">
      <c r="A214" s="2" t="inlineStr">
        <is>
          <t>Oro</t>
        </is>
      </c>
      <c r="B214" s="2" t="inlineStr">
        <is>
          <t>Amarillo</t>
        </is>
      </c>
      <c r="C214" s="3" t="n">
        <v>46027</v>
      </c>
      <c r="D214" s="2" t="inlineStr">
        <is>
          <t>A34220234</t>
        </is>
      </c>
      <c r="E214" s="2" t="inlineStr">
        <is>
          <t>Normativas…</t>
        </is>
      </c>
      <c r="F214" s="2" t="n">
        <v>4809503</v>
      </c>
      <c r="G214" s="4" t="n">
        <v>590.75</v>
      </c>
      <c r="H214" s="3" t="n">
        <v>46017</v>
      </c>
      <c r="I214" s="3" t="n">
        <v>46143</v>
      </c>
      <c r="J214" s="2" t="n">
        <v>28</v>
      </c>
      <c r="K214" s="2" t="n">
        <v>19.74</v>
      </c>
      <c r="L214" s="2" t="n">
        <v>2.34</v>
      </c>
      <c r="M214" s="4" t="n">
        <v>13.82</v>
      </c>
      <c r="N214" s="4" t="n">
        <v>9.07</v>
      </c>
      <c r="O214" s="2" t="n">
        <v>40</v>
      </c>
      <c r="P214" s="4" t="n">
        <v>5.33</v>
      </c>
      <c r="Q214" s="4" t="n">
        <v>3.93</v>
      </c>
      <c r="R214" s="4">
        <f>G214*(L214/100)*(O214/100)</f>
        <v/>
      </c>
      <c r="S214" s="4">
        <f>G214*(K214/360/100)*J214*(O214/100)</f>
        <v/>
      </c>
      <c r="T214" s="4">
        <f>P214-R214+Q214-S214</f>
        <v/>
      </c>
    </row>
    <row r="215">
      <c r="A215" s="2" t="inlineStr">
        <is>
          <t>Oro</t>
        </is>
      </c>
      <c r="B215" s="2" t="inlineStr">
        <is>
          <t>Amarillo</t>
        </is>
      </c>
      <c r="C215" s="3" t="n">
        <v>46027</v>
      </c>
      <c r="D215" s="2" t="inlineStr">
        <is>
          <t>B65167516</t>
        </is>
      </c>
      <c r="E215" s="2" t="inlineStr">
        <is>
          <t>Bronces M…</t>
        </is>
      </c>
      <c r="F215" s="2" t="n">
        <v>3937151</v>
      </c>
      <c r="G215" s="4" t="n">
        <v>621.11</v>
      </c>
      <c r="H215" s="3" t="n">
        <v>46004</v>
      </c>
      <c r="I215" s="3" t="n">
        <v>46201</v>
      </c>
      <c r="J215" s="2" t="n">
        <v>39</v>
      </c>
      <c r="K215" s="2" t="n">
        <v>16.92</v>
      </c>
      <c r="L215" s="2" t="n">
        <v>1.76</v>
      </c>
      <c r="M215" s="4" t="n">
        <v>10.93</v>
      </c>
      <c r="N215" s="4" t="n">
        <v>11.38</v>
      </c>
      <c r="O215" s="2" t="n">
        <v>50</v>
      </c>
      <c r="P215" s="4" t="n">
        <v>5.57</v>
      </c>
      <c r="Q215" s="4" t="n">
        <v>5.56</v>
      </c>
      <c r="R215" s="4">
        <f>G215*(L215/100)*(O215/100)</f>
        <v/>
      </c>
      <c r="S215" s="4">
        <f>G215*(K215/360/100)*J215*(O215/100)</f>
        <v/>
      </c>
      <c r="T215" s="4">
        <f>P215-R215+Q215-S215</f>
        <v/>
      </c>
    </row>
    <row r="216">
      <c r="A216" s="2" t="inlineStr">
        <is>
          <t>Oro</t>
        </is>
      </c>
      <c r="B216" s="2" t="inlineStr">
        <is>
          <t>Amarillo</t>
        </is>
      </c>
      <c r="C216" s="3" t="n">
        <v>46027</v>
      </c>
      <c r="D216" s="2" t="inlineStr">
        <is>
          <t>B39254477</t>
        </is>
      </c>
      <c r="E216" s="2" t="inlineStr">
        <is>
          <t>Piensos Ex…</t>
        </is>
      </c>
      <c r="F216" s="2" t="n">
        <v>2269721</v>
      </c>
      <c r="G216" s="4" t="n">
        <v>257.57</v>
      </c>
      <c r="H216" s="3" t="n">
        <v>46012</v>
      </c>
      <c r="I216" s="3" t="n">
        <v>46028</v>
      </c>
      <c r="J216" s="2" t="n">
        <v>65</v>
      </c>
      <c r="K216" s="2" t="n">
        <v>31.96</v>
      </c>
      <c r="L216" s="2" t="n">
        <v>1.29</v>
      </c>
      <c r="M216" s="4" t="n">
        <v>3.32</v>
      </c>
      <c r="N216" s="4" t="n">
        <v>14.86</v>
      </c>
      <c r="O216" s="2" t="n">
        <v>20</v>
      </c>
      <c r="P216" s="4" t="n">
        <v>0.95</v>
      </c>
      <c r="Q216" s="4" t="n">
        <v>3.27</v>
      </c>
      <c r="R216" s="4">
        <f>G216*(L216/100)*(O216/100)</f>
        <v/>
      </c>
      <c r="S216" s="4">
        <f>G216*(K216/360/100)*J216*(O216/100)</f>
        <v/>
      </c>
      <c r="T216" s="4">
        <f>P216-R216+Q216-S216</f>
        <v/>
      </c>
    </row>
    <row r="217">
      <c r="A217" s="2" t="inlineStr">
        <is>
          <t>Oro</t>
        </is>
      </c>
      <c r="B217" s="2" t="inlineStr">
        <is>
          <t>Amarillo</t>
        </is>
      </c>
      <c r="C217" s="3" t="n">
        <v>46027</v>
      </c>
      <c r="D217" s="2" t="inlineStr">
        <is>
          <t>A11034947</t>
        </is>
      </c>
      <c r="E217" s="2" t="inlineStr">
        <is>
          <t>Programas…</t>
        </is>
      </c>
      <c r="F217" s="2" t="n">
        <v>3919949</v>
      </c>
      <c r="G217" s="4" t="n">
        <v>208.51</v>
      </c>
      <c r="H217" s="3" t="n">
        <v>46008</v>
      </c>
      <c r="I217" s="3" t="n">
        <v>46103</v>
      </c>
      <c r="J217" s="2" t="n">
        <v>41</v>
      </c>
      <c r="K217" s="2" t="n">
        <v>16.27</v>
      </c>
      <c r="L217" s="2" t="n">
        <v>1.3</v>
      </c>
      <c r="M217" s="4" t="n">
        <v>2.71</v>
      </c>
      <c r="N217" s="4" t="n">
        <v>3.86</v>
      </c>
      <c r="O217" s="2" t="n">
        <v>60</v>
      </c>
      <c r="P217" s="4" t="n">
        <v>1.51</v>
      </c>
      <c r="Q217" s="4" t="n">
        <v>2.36</v>
      </c>
      <c r="R217" s="4">
        <f>G217*(L217/100)*(O217/100)</f>
        <v/>
      </c>
      <c r="S217" s="4">
        <f>G217*(K217/360/100)*J217*(O217/100)</f>
        <v/>
      </c>
      <c r="T217" s="4">
        <f>P217-R217+Q217-S217</f>
        <v/>
      </c>
    </row>
    <row r="218">
      <c r="A218" s="2" t="inlineStr">
        <is>
          <t>Oro</t>
        </is>
      </c>
      <c r="B218" s="2" t="inlineStr">
        <is>
          <t>Amarillo</t>
        </is>
      </c>
      <c r="C218" s="3" t="n">
        <v>46027</v>
      </c>
      <c r="D218" s="2" t="inlineStr">
        <is>
          <t>B34898548</t>
        </is>
      </c>
      <c r="E218" s="2" t="inlineStr">
        <is>
          <t>Programas…</t>
        </is>
      </c>
      <c r="F218" s="2" t="n">
        <v>4644422</v>
      </c>
      <c r="G218" s="4" t="n">
        <v>753.42</v>
      </c>
      <c r="H218" s="3" t="n">
        <v>46015</v>
      </c>
      <c r="I218" s="3" t="n">
        <v>46136</v>
      </c>
      <c r="J218" s="2" t="n">
        <v>80</v>
      </c>
      <c r="K218" s="2" t="n">
        <v>36.11</v>
      </c>
      <c r="L218" s="2" t="n">
        <v>1.76</v>
      </c>
      <c r="M218" s="4" t="n">
        <v>13.26</v>
      </c>
      <c r="N218" s="4" t="n">
        <v>60.46</v>
      </c>
      <c r="O218" s="2" t="n">
        <v>70</v>
      </c>
      <c r="P218" s="4" t="n">
        <v>9.34</v>
      </c>
      <c r="Q218" s="4" t="n">
        <v>42.38</v>
      </c>
      <c r="R218" s="4">
        <f>G218*(L218/100)*(O218/100)</f>
        <v/>
      </c>
      <c r="S218" s="4">
        <f>G218*(K218/360/100)*J218*(O218/100)</f>
        <v/>
      </c>
      <c r="T218" s="4">
        <f>P218-R218+Q218-S218</f>
        <v/>
      </c>
    </row>
    <row r="219">
      <c r="A219" s="2" t="inlineStr">
        <is>
          <t>Oro</t>
        </is>
      </c>
      <c r="B219" s="2" t="inlineStr">
        <is>
          <t>Amarillo</t>
        </is>
      </c>
      <c r="C219" s="3" t="n">
        <v>46027</v>
      </c>
      <c r="D219" s="2" t="inlineStr">
        <is>
          <t>A82845401</t>
        </is>
      </c>
      <c r="E219" s="2" t="inlineStr">
        <is>
          <t>Resinas Pu…</t>
        </is>
      </c>
      <c r="F219" s="2" t="n">
        <v>1178963</v>
      </c>
      <c r="G219" s="4" t="n">
        <v>892.95</v>
      </c>
      <c r="H219" s="3" t="n">
        <v>46006</v>
      </c>
      <c r="I219" s="3" t="n">
        <v>46154</v>
      </c>
      <c r="J219" s="2" t="n">
        <v>23</v>
      </c>
      <c r="K219" s="2" t="n">
        <v>12.99</v>
      </c>
      <c r="L219" s="2" t="n">
        <v>1.25</v>
      </c>
      <c r="M219" s="4" t="n">
        <v>11.16</v>
      </c>
      <c r="N219" s="4" t="n">
        <v>7.41</v>
      </c>
      <c r="O219" s="2" t="n">
        <v>40</v>
      </c>
      <c r="P219" s="4" t="n">
        <v>4.31</v>
      </c>
      <c r="Q219" s="4" t="n">
        <v>2.95</v>
      </c>
      <c r="R219" s="4">
        <f>G219*(L219/100)*(O219/100)</f>
        <v/>
      </c>
      <c r="S219" s="4">
        <f>G219*(K219/360/100)*J219*(O219/100)</f>
        <v/>
      </c>
      <c r="T219" s="4">
        <f>P219-R219+Q219-S219</f>
        <v/>
      </c>
    </row>
    <row r="220">
      <c r="A220" s="2" t="inlineStr">
        <is>
          <t>Oro</t>
        </is>
      </c>
      <c r="B220" s="2" t="inlineStr">
        <is>
          <t>Amarillo</t>
        </is>
      </c>
      <c r="C220" s="3" t="n">
        <v>46027</v>
      </c>
      <c r="D220" s="2" t="inlineStr">
        <is>
          <t>A92698121</t>
        </is>
      </c>
      <c r="E220" s="2" t="inlineStr">
        <is>
          <t>Tintes Esta…</t>
        </is>
      </c>
      <c r="F220" s="2" t="n">
        <v>1846516</v>
      </c>
      <c r="G220" s="4" t="n">
        <v>5561.29</v>
      </c>
      <c r="H220" s="3" t="n">
        <v>46012</v>
      </c>
      <c r="I220" s="3" t="n">
        <v>46037</v>
      </c>
      <c r="J220" s="2" t="n">
        <v>69</v>
      </c>
      <c r="K220" s="2" t="n">
        <v>15.08</v>
      </c>
      <c r="L220" s="2" t="n">
        <v>2.51</v>
      </c>
      <c r="M220" s="4" t="n">
        <v>139.59</v>
      </c>
      <c r="N220" s="4" t="n">
        <v>160.74</v>
      </c>
      <c r="O220" s="2" t="n">
        <v>40</v>
      </c>
      <c r="P220" s="4" t="n">
        <v>55.8</v>
      </c>
      <c r="Q220" s="4" t="n">
        <v>64.28</v>
      </c>
      <c r="R220" s="4">
        <f>G220*(L220/100)*(O220/100)</f>
        <v/>
      </c>
      <c r="S220" s="4">
        <f>G220*(K220/360/100)*J220*(O220/100)</f>
        <v/>
      </c>
      <c r="T220" s="4">
        <f>P220-R220+Q220-S220</f>
        <v/>
      </c>
    </row>
    <row r="221">
      <c r="A221" s="2" t="inlineStr">
        <is>
          <t>Oro</t>
        </is>
      </c>
      <c r="B221" s="2" t="inlineStr">
        <is>
          <t>Amarillo</t>
        </is>
      </c>
      <c r="C221" s="3" t="n">
        <v>46027</v>
      </c>
      <c r="D221" s="2" t="inlineStr">
        <is>
          <t>A28953658</t>
        </is>
      </c>
      <c r="E221" s="2" t="inlineStr">
        <is>
          <t>Mediciones…</t>
        </is>
      </c>
      <c r="F221" s="2" t="n">
        <v>1158303</v>
      </c>
      <c r="G221" s="4" t="n">
        <v>692</v>
      </c>
      <c r="H221" s="3" t="n">
        <v>45992</v>
      </c>
      <c r="I221" s="3" t="n">
        <v>46156</v>
      </c>
      <c r="J221" s="2" t="n">
        <v>27</v>
      </c>
      <c r="K221" s="2" t="n">
        <v>41.74</v>
      </c>
      <c r="L221" s="2" t="n">
        <v>2.34</v>
      </c>
      <c r="M221" s="4" t="n">
        <v>16.19</v>
      </c>
      <c r="N221" s="4" t="n">
        <v>21.66</v>
      </c>
      <c r="O221" s="2" t="n">
        <v>40</v>
      </c>
      <c r="P221" s="4" t="n">
        <v>6.72</v>
      </c>
      <c r="Q221" s="4" t="n">
        <v>8.42</v>
      </c>
      <c r="R221" s="4">
        <f>G221*(L221/100)*(O221/100)</f>
        <v/>
      </c>
      <c r="S221" s="4">
        <f>G221*(K221/360/100)*J221*(O221/100)</f>
        <v/>
      </c>
      <c r="T221" s="4">
        <f>P221-R221+Q221-S221</f>
        <v/>
      </c>
    </row>
    <row r="222">
      <c r="A222" s="2" t="inlineStr">
        <is>
          <t>Oro</t>
        </is>
      </c>
      <c r="B222" s="2" t="inlineStr">
        <is>
          <t>Amarillo</t>
        </is>
      </c>
      <c r="C222" s="3" t="n">
        <v>46027</v>
      </c>
      <c r="D222" s="2" t="inlineStr">
        <is>
          <t>A82223757</t>
        </is>
      </c>
      <c r="E222" s="2" t="inlineStr">
        <is>
          <t>Compostaj…</t>
        </is>
      </c>
      <c r="F222" s="2" t="n">
        <v>1973577</v>
      </c>
      <c r="G222" s="4" t="n">
        <v>704.05</v>
      </c>
      <c r="H222" s="3" t="n">
        <v>46019</v>
      </c>
      <c r="I222" s="3" t="n">
        <v>46201</v>
      </c>
      <c r="J222" s="2" t="n">
        <v>26</v>
      </c>
      <c r="K222" s="2" t="n">
        <v>28.55</v>
      </c>
      <c r="L222" s="2" t="n">
        <v>2.51</v>
      </c>
      <c r="M222" s="4" t="n">
        <v>17.67</v>
      </c>
      <c r="N222" s="4" t="n">
        <v>14.52</v>
      </c>
      <c r="O222" s="2" t="n">
        <v>40</v>
      </c>
      <c r="P222" s="4" t="n">
        <v>6.92</v>
      </c>
      <c r="Q222" s="4" t="n">
        <v>5.88</v>
      </c>
      <c r="R222" s="4">
        <f>G222*(L222/100)*(O222/100)</f>
        <v/>
      </c>
      <c r="S222" s="4">
        <f>G222*(K222/360/100)*J222*(O222/100)</f>
        <v/>
      </c>
      <c r="T222" s="4">
        <f>P222-R222+Q222-S222</f>
        <v/>
      </c>
    </row>
    <row r="223">
      <c r="A223" s="2" t="inlineStr">
        <is>
          <t>Oro</t>
        </is>
      </c>
      <c r="B223" s="2" t="inlineStr">
        <is>
          <t>Amarillo</t>
        </is>
      </c>
      <c r="C223" s="3" t="n">
        <v>46027</v>
      </c>
      <c r="D223" s="2" t="inlineStr">
        <is>
          <t>B39380211</t>
        </is>
      </c>
      <c r="E223" s="2" t="inlineStr">
        <is>
          <t>Minerales…</t>
        </is>
      </c>
      <c r="F223" s="2" t="n">
        <v>1113964</v>
      </c>
      <c r="G223" s="4" t="n">
        <v>143.42</v>
      </c>
      <c r="H223" s="3" t="n">
        <v>46012</v>
      </c>
      <c r="I223" s="3" t="n">
        <v>46023</v>
      </c>
      <c r="J223" s="2" t="n">
        <v>88</v>
      </c>
      <c r="K223" s="2" t="n">
        <v>30.73</v>
      </c>
      <c r="L223" s="2" t="n">
        <v>2.99</v>
      </c>
      <c r="M223" s="4" t="n">
        <v>4.29</v>
      </c>
      <c r="N223" s="4" t="n">
        <v>10.77</v>
      </c>
      <c r="O223" s="2" t="n">
        <v>50</v>
      </c>
      <c r="P223" s="4" t="n">
        <v>2.23</v>
      </c>
      <c r="Q223" s="4" t="n">
        <v>5.16</v>
      </c>
      <c r="R223" s="4">
        <f>G223*(L223/100)*(O223/100)</f>
        <v/>
      </c>
      <c r="S223" s="4">
        <f>G223*(K223/360/100)*J223*(O223/100)</f>
        <v/>
      </c>
      <c r="T223" s="4">
        <f>P223-R223+Q223-S223</f>
        <v/>
      </c>
    </row>
    <row r="224">
      <c r="A224" s="2" t="inlineStr">
        <is>
          <t>Oro</t>
        </is>
      </c>
      <c r="B224" s="2" t="inlineStr">
        <is>
          <t>Amarillo</t>
        </is>
      </c>
      <c r="C224" s="3" t="n">
        <v>46027</v>
      </c>
      <c r="D224" s="2" t="inlineStr">
        <is>
          <t>A66406114</t>
        </is>
      </c>
      <c r="E224" s="2" t="inlineStr">
        <is>
          <t>Talcos Met…</t>
        </is>
      </c>
      <c r="F224" s="2" t="n">
        <v>3123183</v>
      </c>
      <c r="G224" s="4" t="n">
        <v>700.8200000000001</v>
      </c>
      <c r="H224" s="3" t="n">
        <v>45997</v>
      </c>
      <c r="I224" s="3" t="n">
        <v>46193</v>
      </c>
      <c r="J224" s="2" t="n">
        <v>49</v>
      </c>
      <c r="K224" s="2" t="n">
        <v>49.78</v>
      </c>
      <c r="L224" s="2" t="n">
        <v>0.6</v>
      </c>
      <c r="M224" s="4" t="n">
        <v>4.2</v>
      </c>
      <c r="N224" s="4" t="n">
        <v>47.48</v>
      </c>
      <c r="O224" s="2" t="n">
        <v>30</v>
      </c>
      <c r="P224" s="4" t="n">
        <v>1.08</v>
      </c>
      <c r="Q224" s="4" t="n">
        <v>14.34</v>
      </c>
      <c r="R224" s="4">
        <f>G224*(L224/100)*(O224/100)</f>
        <v/>
      </c>
      <c r="S224" s="4">
        <f>G224*(K224/360/100)*J224*(O224/100)</f>
        <v/>
      </c>
      <c r="T224" s="4">
        <f>P224-R224+Q224-S224</f>
        <v/>
      </c>
    </row>
    <row r="225">
      <c r="A225" s="2" t="inlineStr">
        <is>
          <t>Oro</t>
        </is>
      </c>
      <c r="B225" s="2" t="inlineStr">
        <is>
          <t>Amarillo</t>
        </is>
      </c>
      <c r="C225" s="3" t="n">
        <v>46027</v>
      </c>
      <c r="D225" s="2" t="inlineStr">
        <is>
          <t>A38371798</t>
        </is>
      </c>
      <c r="E225" s="2" t="inlineStr">
        <is>
          <t>Latones Es…</t>
        </is>
      </c>
      <c r="F225" s="2" t="n">
        <v>2166563</v>
      </c>
      <c r="G225" s="4" t="n">
        <v>6520.87</v>
      </c>
      <c r="H225" s="3" t="n">
        <v>46007</v>
      </c>
      <c r="I225" s="3" t="n">
        <v>46197</v>
      </c>
      <c r="J225" s="2" t="n">
        <v>56</v>
      </c>
      <c r="K225" s="2" t="n">
        <v>20.22</v>
      </c>
      <c r="L225" s="2" t="n">
        <v>2.01</v>
      </c>
      <c r="M225" s="4" t="n">
        <v>131.07</v>
      </c>
      <c r="N225" s="4" t="n">
        <v>205.1</v>
      </c>
      <c r="O225" s="2" t="n">
        <v>40</v>
      </c>
      <c r="P225" s="4" t="n">
        <v>52.25</v>
      </c>
      <c r="Q225" s="4" t="n">
        <v>82.19</v>
      </c>
      <c r="R225" s="4">
        <f>G225*(L225/100)*(O225/100)</f>
        <v/>
      </c>
      <c r="S225" s="4">
        <f>G225*(K225/360/100)*J225*(O225/100)</f>
        <v/>
      </c>
      <c r="T225" s="4">
        <f>P225-R225+Q225-S225</f>
        <v/>
      </c>
    </row>
    <row r="226">
      <c r="A226" s="2" t="inlineStr">
        <is>
          <t>Oro</t>
        </is>
      </c>
      <c r="B226" s="2" t="inlineStr">
        <is>
          <t>Amarillo</t>
        </is>
      </c>
      <c r="C226" s="3" t="n">
        <v>46027</v>
      </c>
      <c r="D226" s="2" t="inlineStr">
        <is>
          <t>B50149591</t>
        </is>
      </c>
      <c r="E226" s="2" t="inlineStr">
        <is>
          <t>Pizarras Do…</t>
        </is>
      </c>
      <c r="F226" s="2" t="n">
        <v>2246715</v>
      </c>
      <c r="G226" s="4" t="n">
        <v>265.55</v>
      </c>
      <c r="H226" s="3" t="n">
        <v>46011</v>
      </c>
      <c r="I226" s="3" t="n">
        <v>46069</v>
      </c>
      <c r="J226" s="2" t="n">
        <v>75</v>
      </c>
      <c r="K226" s="2" t="n">
        <v>46.42</v>
      </c>
      <c r="L226" s="2" t="n">
        <v>1.6</v>
      </c>
      <c r="M226" s="4" t="n">
        <v>4.25</v>
      </c>
      <c r="N226" s="4" t="n">
        <v>25.68</v>
      </c>
      <c r="O226" s="2" t="n">
        <v>60</v>
      </c>
      <c r="P226" s="4" t="n">
        <v>2.34</v>
      </c>
      <c r="Q226" s="4" t="n">
        <v>15.43</v>
      </c>
      <c r="R226" s="4">
        <f>G226*(L226/100)*(O226/100)</f>
        <v/>
      </c>
      <c r="S226" s="4">
        <f>G226*(K226/360/100)*J226*(O226/100)</f>
        <v/>
      </c>
      <c r="T226" s="4">
        <f>P226-R226+Q226-S226</f>
        <v/>
      </c>
    </row>
    <row r="227">
      <c r="A227" s="2" t="inlineStr">
        <is>
          <t>Oro</t>
        </is>
      </c>
      <c r="B227" s="2" t="inlineStr">
        <is>
          <t>Amarillo</t>
        </is>
      </c>
      <c r="C227" s="3" t="n">
        <v>46027</v>
      </c>
      <c r="D227" s="2" t="inlineStr">
        <is>
          <t>B65922674</t>
        </is>
      </c>
      <c r="E227" s="2" t="inlineStr">
        <is>
          <t>Titanios Co…</t>
        </is>
      </c>
      <c r="F227" s="2" t="n">
        <v>1459672</v>
      </c>
      <c r="G227" s="4" t="n">
        <v>277.59</v>
      </c>
      <c r="H227" s="3" t="n">
        <v>46000</v>
      </c>
      <c r="I227" s="3" t="n">
        <v>46156</v>
      </c>
      <c r="J227" s="2" t="n">
        <v>20</v>
      </c>
      <c r="K227" s="2" t="n">
        <v>12.5</v>
      </c>
      <c r="L227" s="2" t="n">
        <v>0.72</v>
      </c>
      <c r="M227" s="4" t="n">
        <v>2</v>
      </c>
      <c r="N227" s="4" t="n">
        <v>1.93</v>
      </c>
      <c r="O227" s="2" t="n">
        <v>70</v>
      </c>
      <c r="P227" s="4" t="n">
        <v>1.27</v>
      </c>
      <c r="Q227" s="4" t="n">
        <v>1.26</v>
      </c>
      <c r="R227" s="4">
        <f>G227*(L227/100)*(O227/100)</f>
        <v/>
      </c>
      <c r="S227" s="4">
        <f>G227*(K227/360/100)*J227*(O227/100)</f>
        <v/>
      </c>
      <c r="T227" s="4">
        <f>P227-R227+Q227-S227</f>
        <v/>
      </c>
    </row>
    <row r="228">
      <c r="A228" s="2" t="inlineStr">
        <is>
          <t>Oro</t>
        </is>
      </c>
      <c r="B228" s="2" t="inlineStr">
        <is>
          <t>Amarillo</t>
        </is>
      </c>
      <c r="C228" s="3" t="n">
        <v>46027</v>
      </c>
      <c r="D228" s="2" t="inlineStr">
        <is>
          <t>A04678513</t>
        </is>
      </c>
      <c r="E228" s="2" t="inlineStr">
        <is>
          <t>Biogases E…</t>
        </is>
      </c>
      <c r="F228" s="2" t="n">
        <v>4229550</v>
      </c>
      <c r="G228" s="4" t="n">
        <v>218.69</v>
      </c>
      <c r="H228" s="3" t="n">
        <v>46013</v>
      </c>
      <c r="I228" s="3" t="n">
        <v>46080</v>
      </c>
      <c r="J228" s="2" t="n">
        <v>18</v>
      </c>
      <c r="K228" s="2" t="n">
        <v>11.31</v>
      </c>
      <c r="L228" s="2" t="n">
        <v>2.05</v>
      </c>
      <c r="M228" s="4" t="n">
        <v>4.48</v>
      </c>
      <c r="N228" s="4" t="n">
        <v>1.24</v>
      </c>
      <c r="O228" s="2" t="n">
        <v>50</v>
      </c>
      <c r="P228" s="4" t="n">
        <v>2.09</v>
      </c>
      <c r="Q228" s="4" t="n">
        <v>0.86</v>
      </c>
      <c r="R228" s="4">
        <f>G228*(L228/100)*(O228/100)</f>
        <v/>
      </c>
      <c r="S228" s="4">
        <f>G228*(K228/360/100)*J228*(O228/100)</f>
        <v/>
      </c>
      <c r="T228" s="4">
        <f>P228-R228+Q228-S228</f>
        <v/>
      </c>
    </row>
    <row r="229">
      <c r="A229" s="2" t="inlineStr">
        <is>
          <t>Oro</t>
        </is>
      </c>
      <c r="B229" s="2" t="inlineStr">
        <is>
          <t>Amarillo</t>
        </is>
      </c>
      <c r="C229" s="3" t="n">
        <v>46027</v>
      </c>
      <c r="D229" s="2" t="inlineStr">
        <is>
          <t>A84495282</t>
        </is>
      </c>
      <c r="E229" s="2" t="inlineStr">
        <is>
          <t>Aromas Se…</t>
        </is>
      </c>
      <c r="F229" s="2" t="n">
        <v>2906788</v>
      </c>
      <c r="G229" s="4" t="n">
        <v>123.71</v>
      </c>
      <c r="H229" s="3" t="n">
        <v>45998</v>
      </c>
      <c r="I229" s="3" t="n">
        <v>46108</v>
      </c>
      <c r="J229" s="2" t="n">
        <v>30</v>
      </c>
      <c r="K229" s="2" t="n">
        <v>37.76</v>
      </c>
      <c r="L229" s="2" t="n">
        <v>1.4</v>
      </c>
      <c r="M229" s="4" t="n">
        <v>1.73</v>
      </c>
      <c r="N229" s="4" t="n">
        <v>3.89</v>
      </c>
      <c r="O229" s="2" t="n">
        <v>30</v>
      </c>
      <c r="P229" s="4" t="n">
        <v>0.71</v>
      </c>
      <c r="Q229" s="4" t="n">
        <v>1.21</v>
      </c>
      <c r="R229" s="4">
        <f>G229*(L229/100)*(O229/100)</f>
        <v/>
      </c>
      <c r="S229" s="4">
        <f>G229*(K229/360/100)*J229*(O229/100)</f>
        <v/>
      </c>
      <c r="T229" s="4">
        <f>P229-R229+Q229-S229</f>
        <v/>
      </c>
    </row>
    <row r="230">
      <c r="A230" s="2" t="inlineStr">
        <is>
          <t>Oro</t>
        </is>
      </c>
      <c r="B230" s="2" t="inlineStr">
        <is>
          <t>Amarillo</t>
        </is>
      </c>
      <c r="C230" s="3" t="n">
        <v>46027</v>
      </c>
      <c r="D230" s="2" t="inlineStr">
        <is>
          <t>A19789309</t>
        </is>
      </c>
      <c r="E230" s="2" t="inlineStr">
        <is>
          <t>Bioresiduos…</t>
        </is>
      </c>
      <c r="F230" s="2" t="n">
        <v>2487880</v>
      </c>
      <c r="G230" s="4" t="n">
        <v>134.07</v>
      </c>
      <c r="H230" s="3" t="n">
        <v>46018</v>
      </c>
      <c r="I230" s="3" t="n">
        <v>46185</v>
      </c>
      <c r="J230" s="2" t="n">
        <v>68</v>
      </c>
      <c r="K230" s="2" t="n">
        <v>24.22</v>
      </c>
      <c r="L230" s="2" t="n">
        <v>2.28</v>
      </c>
      <c r="M230" s="4" t="n">
        <v>3.06</v>
      </c>
      <c r="N230" s="4" t="n">
        <v>6.13</v>
      </c>
      <c r="O230" s="2" t="n">
        <v>60</v>
      </c>
      <c r="P230" s="4" t="n">
        <v>2.13</v>
      </c>
      <c r="Q230" s="4" t="n">
        <v>3.98</v>
      </c>
      <c r="R230" s="4">
        <f>G230*(L230/100)*(O230/100)</f>
        <v/>
      </c>
      <c r="S230" s="4">
        <f>G230*(K230/360/100)*J230*(O230/100)</f>
        <v/>
      </c>
      <c r="T230" s="4">
        <f>P230-R230+Q230-S230</f>
        <v/>
      </c>
    </row>
    <row r="231">
      <c r="A231" s="2" t="inlineStr">
        <is>
          <t>Oro</t>
        </is>
      </c>
      <c r="B231" s="2" t="inlineStr">
        <is>
          <t>Amarillo</t>
        </is>
      </c>
      <c r="C231" s="3" t="n">
        <v>46027</v>
      </c>
      <c r="D231" s="2" t="inlineStr">
        <is>
          <t>A34982925</t>
        </is>
      </c>
      <c r="E231" s="2" t="inlineStr">
        <is>
          <t>Precursore…</t>
        </is>
      </c>
      <c r="F231" s="2" t="n">
        <v>4149458</v>
      </c>
      <c r="G231" s="4" t="n">
        <v>3214.08</v>
      </c>
      <c r="H231" s="3" t="n">
        <v>45993</v>
      </c>
      <c r="I231" s="3" t="n">
        <v>46085</v>
      </c>
      <c r="J231" s="2" t="n">
        <v>58</v>
      </c>
      <c r="K231" s="2" t="n">
        <v>46.47</v>
      </c>
      <c r="L231" s="2" t="n">
        <v>2.5</v>
      </c>
      <c r="M231" s="4" t="n">
        <v>80.34999999999999</v>
      </c>
      <c r="N231" s="4" t="n">
        <v>240.63</v>
      </c>
      <c r="O231" s="2" t="n">
        <v>20</v>
      </c>
      <c r="P231" s="4" t="n">
        <v>16.31</v>
      </c>
      <c r="Q231" s="4" t="n">
        <v>47.91</v>
      </c>
      <c r="R231" s="4">
        <f>G231*(L231/100)*(O231/100)</f>
        <v/>
      </c>
      <c r="S231" s="4">
        <f>G231*(K231/360/100)*J231*(O231/100)</f>
        <v/>
      </c>
      <c r="T231" s="4">
        <f>P231-R231+Q231-S231</f>
        <v/>
      </c>
    </row>
    <row r="232">
      <c r="A232" s="2" t="inlineStr">
        <is>
          <t>Oro</t>
        </is>
      </c>
      <c r="B232" s="2" t="inlineStr">
        <is>
          <t>Amarillo</t>
        </is>
      </c>
      <c r="C232" s="3" t="n">
        <v>46027</v>
      </c>
      <c r="D232" s="2" t="inlineStr">
        <is>
          <t>B98336942</t>
        </is>
      </c>
      <c r="E232" s="2" t="inlineStr">
        <is>
          <t>Azúcares G…</t>
        </is>
      </c>
      <c r="F232" s="2" t="n">
        <v>4314227</v>
      </c>
      <c r="G232" s="4" t="n">
        <v>733.01</v>
      </c>
      <c r="H232" s="3" t="n">
        <v>46012</v>
      </c>
      <c r="I232" s="3" t="n">
        <v>46028</v>
      </c>
      <c r="J232" s="2" t="n">
        <v>70</v>
      </c>
      <c r="K232" s="2" t="n">
        <v>38.46</v>
      </c>
      <c r="L232" s="2" t="n">
        <v>1.58</v>
      </c>
      <c r="M232" s="4" t="n">
        <v>11.58</v>
      </c>
      <c r="N232" s="4" t="n">
        <v>54.82</v>
      </c>
      <c r="O232" s="2" t="n">
        <v>60</v>
      </c>
      <c r="P232" s="4" t="n">
        <v>6.7</v>
      </c>
      <c r="Q232" s="4" t="n">
        <v>32.64</v>
      </c>
      <c r="R232" s="4">
        <f>G232*(L232/100)*(O232/100)</f>
        <v/>
      </c>
      <c r="S232" s="4">
        <f>G232*(K232/360/100)*J232*(O232/100)</f>
        <v/>
      </c>
      <c r="T232" s="4">
        <f>P232-R232+Q232-S232</f>
        <v/>
      </c>
    </row>
    <row r="233">
      <c r="A233" s="2" t="inlineStr">
        <is>
          <t>Oro</t>
        </is>
      </c>
      <c r="B233" s="2" t="inlineStr">
        <is>
          <t>Amarillo</t>
        </is>
      </c>
      <c r="C233" s="3" t="n">
        <v>46027</v>
      </c>
      <c r="D233" s="2" t="inlineStr">
        <is>
          <t>A35720637</t>
        </is>
      </c>
      <c r="E233" s="2" t="inlineStr">
        <is>
          <t>Derivados…</t>
        </is>
      </c>
      <c r="F233" s="2" t="n">
        <v>2933109</v>
      </c>
      <c r="G233" s="4" t="n">
        <v>303.07</v>
      </c>
      <c r="H233" s="3" t="n">
        <v>46011</v>
      </c>
      <c r="I233" s="3" t="n">
        <v>46135</v>
      </c>
      <c r="J233" s="2" t="n">
        <v>79</v>
      </c>
      <c r="K233" s="2" t="n">
        <v>48.74</v>
      </c>
      <c r="L233" s="2" t="n">
        <v>1.26</v>
      </c>
      <c r="M233" s="4" t="n">
        <v>3.82</v>
      </c>
      <c r="N233" s="4" t="n">
        <v>32.42</v>
      </c>
      <c r="O233" s="2" t="n">
        <v>40</v>
      </c>
      <c r="P233" s="4" t="n">
        <v>1.82</v>
      </c>
      <c r="Q233" s="4" t="n">
        <v>13.08</v>
      </c>
      <c r="R233" s="4">
        <f>G233*(L233/100)*(O233/100)</f>
        <v/>
      </c>
      <c r="S233" s="4">
        <f>G233*(K233/360/100)*J233*(O233/100)</f>
        <v/>
      </c>
      <c r="T233" s="4">
        <f>P233-R233+Q233-S233</f>
        <v/>
      </c>
    </row>
    <row r="234">
      <c r="A234" s="2" t="inlineStr">
        <is>
          <t>Oro</t>
        </is>
      </c>
      <c r="B234" s="2" t="inlineStr">
        <is>
          <t>Amarillo</t>
        </is>
      </c>
      <c r="C234" s="3" t="n">
        <v>46027</v>
      </c>
      <c r="D234" s="2" t="inlineStr">
        <is>
          <t>A48023323</t>
        </is>
      </c>
      <c r="E234" s="2" t="inlineStr">
        <is>
          <t>Grafitos Un…</t>
        </is>
      </c>
      <c r="F234" s="2" t="n">
        <v>4634575</v>
      </c>
      <c r="G234" s="4" t="n">
        <v>8797.709999999999</v>
      </c>
      <c r="H234" s="3" t="n">
        <v>45995</v>
      </c>
      <c r="I234" s="3" t="n">
        <v>46100</v>
      </c>
      <c r="J234" s="2" t="n">
        <v>29</v>
      </c>
      <c r="K234" s="2" t="n">
        <v>30.21</v>
      </c>
      <c r="L234" s="2" t="n">
        <v>0.88</v>
      </c>
      <c r="M234" s="4" t="n">
        <v>77.42</v>
      </c>
      <c r="N234" s="4" t="n">
        <v>214.1</v>
      </c>
      <c r="O234" s="2" t="n">
        <v>40</v>
      </c>
      <c r="P234" s="4" t="n">
        <v>30.85</v>
      </c>
      <c r="Q234" s="4" t="n">
        <v>85.7</v>
      </c>
      <c r="R234" s="4">
        <f>G234*(L234/100)*(O234/100)</f>
        <v/>
      </c>
      <c r="S234" s="4">
        <f>G234*(K234/360/100)*J234*(O234/100)</f>
        <v/>
      </c>
      <c r="T234" s="4">
        <f>P234-R234+Q234-S234</f>
        <v/>
      </c>
    </row>
    <row r="235">
      <c r="A235" s="2" t="inlineStr">
        <is>
          <t>Oro</t>
        </is>
      </c>
      <c r="B235" s="2" t="inlineStr">
        <is>
          <t>Amarillo</t>
        </is>
      </c>
      <c r="C235" s="3" t="n">
        <v>46027</v>
      </c>
      <c r="D235" s="2" t="inlineStr">
        <is>
          <t>A63628922</t>
        </is>
      </c>
      <c r="E235" s="2" t="inlineStr">
        <is>
          <t>Auditorías…</t>
        </is>
      </c>
      <c r="F235" s="2" t="n">
        <v>3771383</v>
      </c>
      <c r="G235" s="4" t="n">
        <v>3029.13</v>
      </c>
      <c r="H235" s="3" t="n">
        <v>45995</v>
      </c>
      <c r="I235" s="3" t="n">
        <v>46153</v>
      </c>
      <c r="J235" s="2" t="n">
        <v>49</v>
      </c>
      <c r="K235" s="2" t="n">
        <v>21.16</v>
      </c>
      <c r="L235" s="2" t="n">
        <v>2.26</v>
      </c>
      <c r="M235" s="4" t="n">
        <v>68.45999999999999</v>
      </c>
      <c r="N235" s="4" t="n">
        <v>87.23999999999999</v>
      </c>
      <c r="O235" s="2" t="n">
        <v>20</v>
      </c>
      <c r="P235" s="4" t="n">
        <v>13.67</v>
      </c>
      <c r="Q235" s="4" t="n">
        <v>17.3</v>
      </c>
      <c r="R235" s="4">
        <f>G235*(L235/100)*(O235/100)</f>
        <v/>
      </c>
      <c r="S235" s="4">
        <f>G235*(K235/360/100)*J235*(O235/100)</f>
        <v/>
      </c>
      <c r="T235" s="4">
        <f>P235-R235+Q235-S235</f>
        <v/>
      </c>
    </row>
    <row r="236">
      <c r="A236" s="2" t="inlineStr">
        <is>
          <t>Oro</t>
        </is>
      </c>
      <c r="B236" s="2" t="inlineStr">
        <is>
          <t>Amarillo</t>
        </is>
      </c>
      <c r="C236" s="3" t="n">
        <v>46027</v>
      </c>
      <c r="D236" s="2" t="inlineStr">
        <is>
          <t>A32591255</t>
        </is>
      </c>
      <c r="E236" s="2" t="inlineStr">
        <is>
          <t>Granos Fia…</t>
        </is>
      </c>
      <c r="F236" s="2" t="n">
        <v>2172632</v>
      </c>
      <c r="G236" s="4" t="n">
        <v>9993.440000000001</v>
      </c>
      <c r="H236" s="3" t="n">
        <v>46008</v>
      </c>
      <c r="I236" s="3" t="n">
        <v>46160</v>
      </c>
      <c r="J236" s="2" t="n">
        <v>33</v>
      </c>
      <c r="K236" s="2" t="n">
        <v>20.92</v>
      </c>
      <c r="L236" s="2" t="n">
        <v>1.07</v>
      </c>
      <c r="M236" s="4" t="n">
        <v>106.93</v>
      </c>
      <c r="N236" s="4" t="n">
        <v>191.64</v>
      </c>
      <c r="O236" s="2" t="n">
        <v>40</v>
      </c>
      <c r="P236" s="4" t="n">
        <v>42.73</v>
      </c>
      <c r="Q236" s="4" t="n">
        <v>76.59999999999999</v>
      </c>
      <c r="R236" s="4">
        <f>G236*(L236/100)*(O236/100)</f>
        <v/>
      </c>
      <c r="S236" s="4">
        <f>G236*(K236/360/100)*J236*(O236/100)</f>
        <v/>
      </c>
      <c r="T236" s="4">
        <f>P236-R236+Q236-S236</f>
        <v/>
      </c>
    </row>
    <row r="237">
      <c r="A237" s="2" t="inlineStr">
        <is>
          <t>Oro</t>
        </is>
      </c>
      <c r="B237" s="2" t="inlineStr">
        <is>
          <t>Amarillo</t>
        </is>
      </c>
      <c r="C237" s="3" t="n">
        <v>46027</v>
      </c>
      <c r="D237" s="2" t="inlineStr">
        <is>
          <t>B33965757</t>
        </is>
      </c>
      <c r="E237" s="2" t="inlineStr">
        <is>
          <t>Paneles Re…</t>
        </is>
      </c>
      <c r="F237" s="2" t="n">
        <v>3817723</v>
      </c>
      <c r="G237" s="4" t="n">
        <v>1371.53</v>
      </c>
      <c r="H237" s="3" t="n">
        <v>46004</v>
      </c>
      <c r="I237" s="3" t="n">
        <v>46186</v>
      </c>
      <c r="J237" s="2" t="n">
        <v>59</v>
      </c>
      <c r="K237" s="2" t="n">
        <v>36.97</v>
      </c>
      <c r="L237" s="2" t="n">
        <v>1.37</v>
      </c>
      <c r="M237" s="4" t="n">
        <v>18.79</v>
      </c>
      <c r="N237" s="4" t="n">
        <v>83.09999999999999</v>
      </c>
      <c r="O237" s="2" t="n">
        <v>40</v>
      </c>
      <c r="P237" s="4" t="n">
        <v>7.6</v>
      </c>
      <c r="Q237" s="4" t="n">
        <v>33.26</v>
      </c>
      <c r="R237" s="4">
        <f>G237*(L237/100)*(O237/100)</f>
        <v/>
      </c>
      <c r="S237" s="4">
        <f>G237*(K237/360/100)*J237*(O237/100)</f>
        <v/>
      </c>
      <c r="T237" s="4">
        <f>P237-R237+Q237-S237</f>
        <v/>
      </c>
    </row>
    <row r="238">
      <c r="A238" s="2" t="inlineStr">
        <is>
          <t>Oro</t>
        </is>
      </c>
      <c r="B238" s="2" t="inlineStr">
        <is>
          <t>Amarillo</t>
        </is>
      </c>
      <c r="C238" s="3" t="n">
        <v>46027</v>
      </c>
      <c r="D238" s="2" t="inlineStr">
        <is>
          <t>B66083614</t>
        </is>
      </c>
      <c r="E238" s="2" t="inlineStr">
        <is>
          <t>Silicatos Im…</t>
        </is>
      </c>
      <c r="F238" s="2" t="n">
        <v>1694291</v>
      </c>
      <c r="G238" s="4" t="n">
        <v>7574.05</v>
      </c>
      <c r="H238" s="3" t="n">
        <v>45996</v>
      </c>
      <c r="I238" s="3" t="n">
        <v>46094</v>
      </c>
      <c r="J238" s="2" t="n">
        <v>36</v>
      </c>
      <c r="K238" s="2" t="n">
        <v>41.8</v>
      </c>
      <c r="L238" s="2" t="n">
        <v>2.3</v>
      </c>
      <c r="M238" s="4" t="n">
        <v>174.2</v>
      </c>
      <c r="N238" s="4" t="n">
        <v>316.6</v>
      </c>
      <c r="O238" s="2" t="n">
        <v>40</v>
      </c>
      <c r="P238" s="4" t="n">
        <v>69.54000000000001</v>
      </c>
      <c r="Q238" s="4" t="n">
        <v>126.83</v>
      </c>
      <c r="R238" s="4">
        <f>G238*(L238/100)*(O238/100)</f>
        <v/>
      </c>
      <c r="S238" s="4">
        <f>G238*(K238/360/100)*J238*(O238/100)</f>
        <v/>
      </c>
      <c r="T238" s="4">
        <f>P238-R238+Q238-S238</f>
        <v/>
      </c>
    </row>
    <row r="239">
      <c r="A239" s="2" t="inlineStr">
        <is>
          <t>Oro</t>
        </is>
      </c>
      <c r="B239" s="2" t="inlineStr">
        <is>
          <t>Amarillo</t>
        </is>
      </c>
      <c r="C239" s="3" t="n">
        <v>46027</v>
      </c>
      <c r="D239" s="2" t="inlineStr">
        <is>
          <t>A78687274</t>
        </is>
      </c>
      <c r="E239" s="2" t="inlineStr">
        <is>
          <t>Cojinetes R…</t>
        </is>
      </c>
      <c r="F239" s="2" t="n">
        <v>4008586</v>
      </c>
      <c r="G239" s="4" t="n">
        <v>106.74</v>
      </c>
      <c r="H239" s="3" t="n">
        <v>46005</v>
      </c>
      <c r="I239" s="3" t="n">
        <v>46130</v>
      </c>
      <c r="J239" s="2" t="n">
        <v>71</v>
      </c>
      <c r="K239" s="2" t="n">
        <v>38.22</v>
      </c>
      <c r="L239" s="2" t="n">
        <v>1.1</v>
      </c>
      <c r="M239" s="4" t="n">
        <v>1.17</v>
      </c>
      <c r="N239" s="4" t="n">
        <v>8.050000000000001</v>
      </c>
      <c r="O239" s="2" t="n">
        <v>60</v>
      </c>
      <c r="P239" s="4" t="n">
        <v>0.93</v>
      </c>
      <c r="Q239" s="4" t="n">
        <v>4.77</v>
      </c>
      <c r="R239" s="4">
        <f>G239*(L239/100)*(O239/100)</f>
        <v/>
      </c>
      <c r="S239" s="4">
        <f>G239*(K239/360/100)*J239*(O239/100)</f>
        <v/>
      </c>
      <c r="T239" s="4">
        <f>P239-R239+Q239-S239</f>
        <v/>
      </c>
    </row>
    <row r="240">
      <c r="A240" s="2" t="inlineStr">
        <is>
          <t>Oro</t>
        </is>
      </c>
      <c r="B240" s="2" t="inlineStr">
        <is>
          <t>Amarillo</t>
        </is>
      </c>
      <c r="C240" s="3" t="n">
        <v>46027</v>
      </c>
      <c r="D240" s="2" t="inlineStr">
        <is>
          <t>B30636448</t>
        </is>
      </c>
      <c r="E240" s="2" t="inlineStr">
        <is>
          <t>Embalajes…</t>
        </is>
      </c>
      <c r="F240" s="2" t="n">
        <v>2243374</v>
      </c>
      <c r="G240" s="4" t="n">
        <v>993.71</v>
      </c>
      <c r="H240" s="3" t="n">
        <v>46015</v>
      </c>
      <c r="I240" s="3" t="n">
        <v>46067</v>
      </c>
      <c r="J240" s="2" t="n">
        <v>85</v>
      </c>
      <c r="K240" s="2" t="n">
        <v>47.31</v>
      </c>
      <c r="L240" s="2" t="n">
        <v>2.61</v>
      </c>
      <c r="M240" s="4" t="n">
        <v>25.94</v>
      </c>
      <c r="N240" s="4" t="n">
        <v>111</v>
      </c>
      <c r="O240" s="2" t="n">
        <v>30</v>
      </c>
      <c r="P240" s="4" t="n">
        <v>7.62</v>
      </c>
      <c r="Q240" s="4" t="n">
        <v>33.11</v>
      </c>
      <c r="R240" s="4">
        <f>G240*(L240/100)*(O240/100)</f>
        <v/>
      </c>
      <c r="S240" s="4">
        <f>G240*(K240/360/100)*J240*(O240/100)</f>
        <v/>
      </c>
      <c r="T240" s="4">
        <f>P240-R240+Q240-S240</f>
        <v/>
      </c>
    </row>
    <row r="241">
      <c r="A241" s="2" t="inlineStr">
        <is>
          <t>Oro</t>
        </is>
      </c>
      <c r="B241" s="2" t="inlineStr">
        <is>
          <t>Amarillo</t>
        </is>
      </c>
      <c r="C241" s="3" t="n">
        <v>46027</v>
      </c>
      <c r="D241" s="2" t="inlineStr">
        <is>
          <t>A33047560</t>
        </is>
      </c>
      <c r="E241" s="2" t="inlineStr">
        <is>
          <t>Polímeros…</t>
        </is>
      </c>
      <c r="F241" s="2" t="n">
        <v>3821267</v>
      </c>
      <c r="G241" s="4" t="n">
        <v>7625.08</v>
      </c>
      <c r="H241" s="3" t="n">
        <v>45996</v>
      </c>
      <c r="I241" s="3" t="n">
        <v>46170</v>
      </c>
      <c r="J241" s="2" t="n">
        <v>64</v>
      </c>
      <c r="K241" s="2" t="n">
        <v>46.95</v>
      </c>
      <c r="L241" s="2" t="n">
        <v>1.04</v>
      </c>
      <c r="M241" s="4" t="n">
        <v>79.3</v>
      </c>
      <c r="N241" s="4" t="n">
        <v>636.4400000000001</v>
      </c>
      <c r="O241" s="2" t="n">
        <v>60</v>
      </c>
      <c r="P241" s="4" t="n">
        <v>47.5</v>
      </c>
      <c r="Q241" s="4" t="n">
        <v>381.7</v>
      </c>
      <c r="R241" s="4">
        <f>G241*(L241/100)*(O241/100)</f>
        <v/>
      </c>
      <c r="S241" s="4">
        <f>G241*(K241/360/100)*J241*(O241/100)</f>
        <v/>
      </c>
      <c r="T241" s="4">
        <f>P241-R241+Q241-S241</f>
        <v/>
      </c>
    </row>
    <row r="242">
      <c r="A242" s="2" t="inlineStr">
        <is>
          <t>Oro</t>
        </is>
      </c>
      <c r="B242" s="2" t="inlineStr">
        <is>
          <t>Amarillo</t>
        </is>
      </c>
      <c r="C242" s="3" t="n">
        <v>46027</v>
      </c>
      <c r="D242" s="2" t="inlineStr">
        <is>
          <t>A28953658</t>
        </is>
      </c>
      <c r="E242" s="2" t="inlineStr">
        <is>
          <t>Mediciones…</t>
        </is>
      </c>
      <c r="F242" s="2" t="n">
        <v>2741750</v>
      </c>
      <c r="G242" s="4" t="n">
        <v>4233.73</v>
      </c>
      <c r="H242" s="3" t="n">
        <v>46016</v>
      </c>
      <c r="I242" s="3" t="n">
        <v>46037</v>
      </c>
      <c r="J242" s="2" t="n">
        <v>15</v>
      </c>
      <c r="K242" s="2" t="n">
        <v>46.19</v>
      </c>
      <c r="L242" s="2" t="n">
        <v>0.79</v>
      </c>
      <c r="M242" s="4" t="n">
        <v>33.45</v>
      </c>
      <c r="N242" s="4" t="n">
        <v>81.48</v>
      </c>
      <c r="O242" s="2" t="n">
        <v>40</v>
      </c>
      <c r="P242" s="4" t="n">
        <v>13.45</v>
      </c>
      <c r="Q242" s="4" t="n">
        <v>32.32</v>
      </c>
      <c r="R242" s="4">
        <f>G242*(L242/100)*(O242/100)</f>
        <v/>
      </c>
      <c r="S242" s="4">
        <f>G242*(K242/360/100)*J242*(O242/100)</f>
        <v/>
      </c>
      <c r="T242" s="4">
        <f>P242-R242+Q242-S242</f>
        <v/>
      </c>
    </row>
    <row r="243">
      <c r="A243" s="2" t="inlineStr">
        <is>
          <t>Oro</t>
        </is>
      </c>
      <c r="B243" s="2" t="inlineStr">
        <is>
          <t>Amarillo</t>
        </is>
      </c>
      <c r="C243" s="3" t="n">
        <v>46027</v>
      </c>
      <c r="D243" s="2" t="inlineStr">
        <is>
          <t>A47417591</t>
        </is>
      </c>
      <c r="E243" s="2" t="inlineStr">
        <is>
          <t>Caolines S…</t>
        </is>
      </c>
      <c r="F243" s="2" t="n">
        <v>1033102</v>
      </c>
      <c r="G243" s="4" t="n">
        <v>911.71</v>
      </c>
      <c r="H243" s="3" t="n">
        <v>46002</v>
      </c>
      <c r="I243" s="3" t="n">
        <v>46044</v>
      </c>
      <c r="J243" s="2" t="n">
        <v>33</v>
      </c>
      <c r="K243" s="2" t="n">
        <v>45.44</v>
      </c>
      <c r="L243" s="2" t="n">
        <v>0.95</v>
      </c>
      <c r="M243" s="4" t="n">
        <v>8.66</v>
      </c>
      <c r="N243" s="4" t="n">
        <v>37.98</v>
      </c>
      <c r="O243" s="2" t="n">
        <v>60</v>
      </c>
      <c r="P243" s="4" t="n">
        <v>4.95</v>
      </c>
      <c r="Q243" s="4" t="n">
        <v>22.89</v>
      </c>
      <c r="R243" s="4">
        <f>G243*(L243/100)*(O243/100)</f>
        <v/>
      </c>
      <c r="S243" s="4">
        <f>G243*(K243/360/100)*J243*(O243/100)</f>
        <v/>
      </c>
      <c r="T243" s="4">
        <f>P243-R243+Q243-S243</f>
        <v/>
      </c>
    </row>
    <row r="244">
      <c r="A244" s="2" t="inlineStr">
        <is>
          <t>Oro</t>
        </is>
      </c>
      <c r="B244" s="2" t="inlineStr">
        <is>
          <t>Amarillo</t>
        </is>
      </c>
      <c r="C244" s="3" t="n">
        <v>46027</v>
      </c>
      <c r="D244" s="2" t="inlineStr">
        <is>
          <t>A15582903</t>
        </is>
      </c>
      <c r="E244" s="2" t="inlineStr">
        <is>
          <t>Vehículos…</t>
        </is>
      </c>
      <c r="F244" s="2" t="n">
        <v>1870272</v>
      </c>
      <c r="G244" s="4" t="n">
        <v>383.65</v>
      </c>
      <c r="H244" s="3" t="n">
        <v>46016</v>
      </c>
      <c r="I244" s="3" t="n">
        <v>46093</v>
      </c>
      <c r="J244" s="2" t="n">
        <v>85</v>
      </c>
      <c r="K244" s="2" t="n">
        <v>29.98</v>
      </c>
      <c r="L244" s="2" t="n">
        <v>1.07</v>
      </c>
      <c r="M244" s="4" t="n">
        <v>4.11</v>
      </c>
      <c r="N244" s="4" t="n">
        <v>27.16</v>
      </c>
      <c r="O244" s="2" t="n">
        <v>30</v>
      </c>
      <c r="P244" s="4" t="n">
        <v>1.25</v>
      </c>
      <c r="Q244" s="4" t="n">
        <v>7.99</v>
      </c>
      <c r="R244" s="4">
        <f>G244*(L244/100)*(O244/100)</f>
        <v/>
      </c>
      <c r="S244" s="4">
        <f>G244*(K244/360/100)*J244*(O244/100)</f>
        <v/>
      </c>
      <c r="T244" s="4">
        <f>P244-R244+Q244-S244</f>
        <v/>
      </c>
    </row>
    <row r="245">
      <c r="A245" s="2" t="inlineStr">
        <is>
          <t>Oro</t>
        </is>
      </c>
      <c r="B245" s="2" t="inlineStr">
        <is>
          <t>Amarillo</t>
        </is>
      </c>
      <c r="C245" s="3" t="n">
        <v>46027</v>
      </c>
      <c r="D245" s="2" t="inlineStr">
        <is>
          <t>A94663659</t>
        </is>
      </c>
      <c r="E245" s="2" t="inlineStr">
        <is>
          <t>Adoquines…</t>
        </is>
      </c>
      <c r="F245" s="2" t="n">
        <v>4131649</v>
      </c>
      <c r="G245" s="4" t="n">
        <v>5245.5</v>
      </c>
      <c r="H245" s="3" t="n">
        <v>45995</v>
      </c>
      <c r="I245" s="3" t="n">
        <v>46076</v>
      </c>
      <c r="J245" s="2" t="n">
        <v>14</v>
      </c>
      <c r="K245" s="2" t="n">
        <v>28.57</v>
      </c>
      <c r="L245" s="2" t="n">
        <v>2.63</v>
      </c>
      <c r="M245" s="4" t="n">
        <v>137.96</v>
      </c>
      <c r="N245" s="4" t="n">
        <v>58.28</v>
      </c>
      <c r="O245" s="2" t="n">
        <v>60</v>
      </c>
      <c r="P245" s="4" t="n">
        <v>82.7</v>
      </c>
      <c r="Q245" s="4" t="n">
        <v>34.85</v>
      </c>
      <c r="R245" s="4">
        <f>G245*(L245/100)*(O245/100)</f>
        <v/>
      </c>
      <c r="S245" s="4">
        <f>G245*(K245/360/100)*J245*(O245/100)</f>
        <v/>
      </c>
      <c r="T245" s="4">
        <f>P245-R245+Q245-S245</f>
        <v/>
      </c>
    </row>
    <row r="246">
      <c r="A246" s="2" t="inlineStr">
        <is>
          <t>Oro</t>
        </is>
      </c>
      <c r="B246" s="2" t="inlineStr">
        <is>
          <t>Amarillo</t>
        </is>
      </c>
      <c r="C246" s="3" t="n">
        <v>46027</v>
      </c>
      <c r="D246" s="2" t="inlineStr">
        <is>
          <t>B99553113</t>
        </is>
      </c>
      <c r="E246" s="2" t="inlineStr">
        <is>
          <t>Reactivos…</t>
        </is>
      </c>
      <c r="F246" s="2" t="n">
        <v>2132951</v>
      </c>
      <c r="G246" s="4" t="n">
        <v>5805.92</v>
      </c>
      <c r="H246" s="3" t="n">
        <v>45997</v>
      </c>
      <c r="I246" s="3" t="n">
        <v>46089</v>
      </c>
      <c r="J246" s="2" t="n">
        <v>57</v>
      </c>
      <c r="K246" s="2" t="n">
        <v>32.9</v>
      </c>
      <c r="L246" s="2" t="n">
        <v>2.14</v>
      </c>
      <c r="M246" s="4" t="n">
        <v>124.25</v>
      </c>
      <c r="N246" s="4" t="n">
        <v>302.44</v>
      </c>
      <c r="O246" s="2" t="n">
        <v>60</v>
      </c>
      <c r="P246" s="4" t="n">
        <v>74.26000000000001</v>
      </c>
      <c r="Q246" s="4" t="n">
        <v>181.27</v>
      </c>
      <c r="R246" s="4">
        <f>G246*(L246/100)*(O246/100)</f>
        <v/>
      </c>
      <c r="S246" s="4">
        <f>G246*(K246/360/100)*J246*(O246/100)</f>
        <v/>
      </c>
      <c r="T246" s="4">
        <f>P246-R246+Q246-S246</f>
        <v/>
      </c>
    </row>
    <row r="247">
      <c r="A247" s="2" t="inlineStr">
        <is>
          <t>Oro</t>
        </is>
      </c>
      <c r="B247" s="2" t="inlineStr">
        <is>
          <t>Amarillo</t>
        </is>
      </c>
      <c r="C247" s="3" t="n">
        <v>46027</v>
      </c>
      <c r="D247" s="2" t="inlineStr">
        <is>
          <t>A66137362</t>
        </is>
      </c>
      <c r="E247" s="2" t="inlineStr">
        <is>
          <t>Cereales R…</t>
        </is>
      </c>
      <c r="F247" s="2" t="n">
        <v>3283165</v>
      </c>
      <c r="G247" s="4" t="n">
        <v>632.1</v>
      </c>
      <c r="H247" s="3" t="n">
        <v>46002</v>
      </c>
      <c r="I247" s="3" t="n">
        <v>46059</v>
      </c>
      <c r="J247" s="2" t="n">
        <v>69</v>
      </c>
      <c r="K247" s="2" t="n">
        <v>21.35</v>
      </c>
      <c r="L247" s="2" t="n">
        <v>2.82</v>
      </c>
      <c r="M247" s="4" t="n">
        <v>17.83</v>
      </c>
      <c r="N247" s="4" t="n">
        <v>25.87</v>
      </c>
      <c r="O247" s="2" t="n">
        <v>70</v>
      </c>
      <c r="P247" s="4" t="n">
        <v>12.43</v>
      </c>
      <c r="Q247" s="4" t="n">
        <v>17.85</v>
      </c>
      <c r="R247" s="4">
        <f>G247*(L247/100)*(O247/100)</f>
        <v/>
      </c>
      <c r="S247" s="4">
        <f>G247*(K247/360/100)*J247*(O247/100)</f>
        <v/>
      </c>
      <c r="T247" s="4">
        <f>P247-R247+Q247-S247</f>
        <v/>
      </c>
    </row>
    <row r="248">
      <c r="A248" s="2" t="inlineStr">
        <is>
          <t>Oro</t>
        </is>
      </c>
      <c r="B248" s="2" t="inlineStr">
        <is>
          <t>Amarillo</t>
        </is>
      </c>
      <c r="C248" s="3" t="n">
        <v>46027</v>
      </c>
      <c r="D248" s="2" t="inlineStr">
        <is>
          <t>B90104474</t>
        </is>
      </c>
      <c r="E248" s="2" t="inlineStr">
        <is>
          <t>Alcantarilla…</t>
        </is>
      </c>
      <c r="F248" s="2" t="n">
        <v>3930704</v>
      </c>
      <c r="G248" s="4" t="n">
        <v>198.97</v>
      </c>
      <c r="H248" s="3" t="n">
        <v>46017</v>
      </c>
      <c r="I248" s="3" t="n">
        <v>46125</v>
      </c>
      <c r="J248" s="2" t="n">
        <v>47</v>
      </c>
      <c r="K248" s="2" t="n">
        <v>16.52</v>
      </c>
      <c r="L248" s="2" t="n">
        <v>1.64</v>
      </c>
      <c r="M248" s="4" t="n">
        <v>3.26</v>
      </c>
      <c r="N248" s="4" t="n">
        <v>4.29</v>
      </c>
      <c r="O248" s="2" t="n">
        <v>40</v>
      </c>
      <c r="P248" s="4" t="n">
        <v>1.04</v>
      </c>
      <c r="Q248" s="4" t="n">
        <v>1.86</v>
      </c>
      <c r="R248" s="4">
        <f>G248*(L248/100)*(O248/100)</f>
        <v/>
      </c>
      <c r="S248" s="4">
        <f>G248*(K248/360/100)*J248*(O248/100)</f>
        <v/>
      </c>
      <c r="T248" s="4">
        <f>P248-R248+Q248-S248</f>
        <v/>
      </c>
    </row>
    <row r="249">
      <c r="A249" s="2" t="inlineStr">
        <is>
          <t>Oro</t>
        </is>
      </c>
      <c r="B249" s="2" t="inlineStr">
        <is>
          <t>Amarillo</t>
        </is>
      </c>
      <c r="C249" s="3" t="n">
        <v>46027</v>
      </c>
      <c r="D249" s="2" t="inlineStr">
        <is>
          <t>B23121122</t>
        </is>
      </c>
      <c r="E249" s="2" t="inlineStr">
        <is>
          <t>Proyectos I…</t>
        </is>
      </c>
      <c r="F249" s="2" t="n">
        <v>3935835</v>
      </c>
      <c r="G249" s="4" t="n">
        <v>6936.93</v>
      </c>
      <c r="H249" s="3" t="n">
        <v>46012</v>
      </c>
      <c r="I249" s="3" t="n">
        <v>46169</v>
      </c>
      <c r="J249" s="2" t="n">
        <v>46</v>
      </c>
      <c r="K249" s="2" t="n">
        <v>21.43</v>
      </c>
      <c r="L249" s="2" t="n">
        <v>1.43</v>
      </c>
      <c r="M249" s="4" t="n">
        <v>99.2</v>
      </c>
      <c r="N249" s="4" t="n">
        <v>189.95</v>
      </c>
      <c r="O249" s="2" t="n">
        <v>40</v>
      </c>
      <c r="P249" s="4" t="n">
        <v>39.94</v>
      </c>
      <c r="Q249" s="4" t="n">
        <v>76.17</v>
      </c>
      <c r="R249" s="4">
        <f>G249*(L249/100)*(O249/100)</f>
        <v/>
      </c>
      <c r="S249" s="4">
        <f>G249*(K249/360/100)*J249*(O249/100)</f>
        <v/>
      </c>
      <c r="T249" s="4">
        <f>P249-R249+Q249-S249</f>
        <v/>
      </c>
    </row>
    <row r="250">
      <c r="A250" s="2" t="inlineStr">
        <is>
          <t>Oro</t>
        </is>
      </c>
      <c r="B250" s="2" t="inlineStr">
        <is>
          <t>Amarillo</t>
        </is>
      </c>
      <c r="C250" s="3" t="n">
        <v>46027</v>
      </c>
      <c r="D250" s="2" t="inlineStr">
        <is>
          <t>B53704916</t>
        </is>
      </c>
      <c r="E250" s="2" t="inlineStr">
        <is>
          <t>Fármacos…</t>
        </is>
      </c>
      <c r="F250" s="2" t="n">
        <v>2524372</v>
      </c>
      <c r="G250" s="4" t="n">
        <v>2173.3</v>
      </c>
      <c r="H250" s="3" t="n">
        <v>46005</v>
      </c>
      <c r="I250" s="3" t="n">
        <v>46067</v>
      </c>
      <c r="J250" s="2" t="n">
        <v>71</v>
      </c>
      <c r="K250" s="2" t="n">
        <v>22.25</v>
      </c>
      <c r="L250" s="2" t="n">
        <v>2.54</v>
      </c>
      <c r="M250" s="4" t="n">
        <v>55.2</v>
      </c>
      <c r="N250" s="4" t="n">
        <v>95.37</v>
      </c>
      <c r="O250" s="2" t="n">
        <v>50</v>
      </c>
      <c r="P250" s="4" t="n">
        <v>27.73</v>
      </c>
      <c r="Q250" s="4" t="n">
        <v>47.67</v>
      </c>
      <c r="R250" s="4">
        <f>G250*(L250/100)*(O250/100)</f>
        <v/>
      </c>
      <c r="S250" s="4">
        <f>G250*(K250/360/100)*J250*(O250/100)</f>
        <v/>
      </c>
      <c r="T250" s="4">
        <f>P250-R250+Q250-S250</f>
        <v/>
      </c>
    </row>
    <row r="251">
      <c r="A251" s="2" t="inlineStr">
        <is>
          <t>Oro</t>
        </is>
      </c>
      <c r="B251" s="2" t="inlineStr">
        <is>
          <t>Amarillo</t>
        </is>
      </c>
      <c r="C251" s="3" t="n">
        <v>46027</v>
      </c>
      <c r="D251" s="2" t="inlineStr">
        <is>
          <t>A90286180</t>
        </is>
      </c>
      <c r="E251" s="2" t="inlineStr">
        <is>
          <t>Iluminacion…</t>
        </is>
      </c>
      <c r="F251" s="2" t="n">
        <v>2061029</v>
      </c>
      <c r="G251" s="4" t="n">
        <v>322.2</v>
      </c>
      <c r="H251" s="3" t="n">
        <v>46009</v>
      </c>
      <c r="I251" s="3" t="n">
        <v>46147</v>
      </c>
      <c r="J251" s="2" t="n">
        <v>43</v>
      </c>
      <c r="K251" s="2" t="n">
        <v>31.12</v>
      </c>
      <c r="L251" s="2" t="n">
        <v>0.8</v>
      </c>
      <c r="M251" s="4" t="n">
        <v>2.58</v>
      </c>
      <c r="N251" s="4" t="n">
        <v>11.98</v>
      </c>
      <c r="O251" s="2" t="n">
        <v>50</v>
      </c>
      <c r="P251" s="4" t="n">
        <v>1.26</v>
      </c>
      <c r="Q251" s="4" t="n">
        <v>5.81</v>
      </c>
      <c r="R251" s="4">
        <f>G251*(L251/100)*(O251/100)</f>
        <v/>
      </c>
      <c r="S251" s="4">
        <f>G251*(K251/360/100)*J251*(O251/100)</f>
        <v/>
      </c>
      <c r="T251" s="4">
        <f>P251-R251+Q251-S251</f>
        <v/>
      </c>
    </row>
    <row r="252">
      <c r="A252" s="2" t="inlineStr">
        <is>
          <t>Oro</t>
        </is>
      </c>
      <c r="B252" s="2" t="inlineStr">
        <is>
          <t>Amarillo</t>
        </is>
      </c>
      <c r="C252" s="3" t="n">
        <v>46027</v>
      </c>
      <c r="D252" s="2" t="inlineStr">
        <is>
          <t>B29630838</t>
        </is>
      </c>
      <c r="E252" s="2" t="inlineStr">
        <is>
          <t>Cromados…</t>
        </is>
      </c>
      <c r="F252" s="2" t="n">
        <v>1067360</v>
      </c>
      <c r="G252" s="4" t="n">
        <v>595.88</v>
      </c>
      <c r="H252" s="3" t="n">
        <v>46016</v>
      </c>
      <c r="I252" s="3" t="n">
        <v>46028</v>
      </c>
      <c r="J252" s="2" t="n">
        <v>65</v>
      </c>
      <c r="K252" s="2" t="n">
        <v>18.97</v>
      </c>
      <c r="L252" s="2" t="n">
        <v>1.12</v>
      </c>
      <c r="M252" s="4" t="n">
        <v>6.67</v>
      </c>
      <c r="N252" s="4" t="n">
        <v>20.41</v>
      </c>
      <c r="O252" s="2" t="n">
        <v>60</v>
      </c>
      <c r="P252" s="4" t="n">
        <v>3.83</v>
      </c>
      <c r="Q252" s="4" t="n">
        <v>12.39</v>
      </c>
      <c r="R252" s="4">
        <f>G252*(L252/100)*(O252/100)</f>
        <v/>
      </c>
      <c r="S252" s="4">
        <f>G252*(K252/360/100)*J252*(O252/100)</f>
        <v/>
      </c>
      <c r="T252" s="4">
        <f>P252-R252+Q252-S252</f>
        <v/>
      </c>
    </row>
    <row r="253">
      <c r="A253" s="2" t="inlineStr">
        <is>
          <t>Oro</t>
        </is>
      </c>
      <c r="B253" s="2" t="inlineStr">
        <is>
          <t>Amarillo</t>
        </is>
      </c>
      <c r="C253" s="3" t="n">
        <v>46027</v>
      </c>
      <c r="D253" s="2" t="inlineStr">
        <is>
          <t>A97858736</t>
        </is>
      </c>
      <c r="E253" s="2" t="inlineStr">
        <is>
          <t>Catalizador…</t>
        </is>
      </c>
      <c r="F253" s="2" t="n">
        <v>4559895</v>
      </c>
      <c r="G253" s="4" t="n">
        <v>622.79</v>
      </c>
      <c r="H253" s="3" t="n">
        <v>46019</v>
      </c>
      <c r="I253" s="3" t="n">
        <v>46168</v>
      </c>
      <c r="J253" s="2" t="n">
        <v>42</v>
      </c>
      <c r="K253" s="2" t="n">
        <v>14.28</v>
      </c>
      <c r="L253" s="2" t="n">
        <v>1.37</v>
      </c>
      <c r="M253" s="4" t="n">
        <v>8.529999999999999</v>
      </c>
      <c r="N253" s="4" t="n">
        <v>10.38</v>
      </c>
      <c r="O253" s="2" t="n">
        <v>50</v>
      </c>
      <c r="P253" s="4" t="n">
        <v>4.43</v>
      </c>
      <c r="Q253" s="4" t="n">
        <v>4.91</v>
      </c>
      <c r="R253" s="4">
        <f>G253*(L253/100)*(O253/100)</f>
        <v/>
      </c>
      <c r="S253" s="4">
        <f>G253*(K253/360/100)*J253*(O253/100)</f>
        <v/>
      </c>
      <c r="T253" s="4">
        <f>P253-R253+Q253-S253</f>
        <v/>
      </c>
    </row>
    <row r="254">
      <c r="A254" s="2" t="inlineStr">
        <is>
          <t>Oro</t>
        </is>
      </c>
      <c r="B254" s="2" t="inlineStr">
        <is>
          <t>Amarillo</t>
        </is>
      </c>
      <c r="C254" s="3" t="n">
        <v>46027</v>
      </c>
      <c r="D254" s="2" t="inlineStr">
        <is>
          <t>B53150081</t>
        </is>
      </c>
      <c r="E254" s="2" t="inlineStr">
        <is>
          <t>Hidráulicos…</t>
        </is>
      </c>
      <c r="F254" s="2" t="n">
        <v>2429911</v>
      </c>
      <c r="G254" s="4" t="n">
        <v>487.16</v>
      </c>
      <c r="H254" s="3" t="n">
        <v>45997</v>
      </c>
      <c r="I254" s="3" t="n">
        <v>46077</v>
      </c>
      <c r="J254" s="2" t="n">
        <v>81</v>
      </c>
      <c r="K254" s="2" t="n">
        <v>41.65</v>
      </c>
      <c r="L254" s="2" t="n">
        <v>1.79</v>
      </c>
      <c r="M254" s="4" t="n">
        <v>8.720000000000001</v>
      </c>
      <c r="N254" s="4" t="n">
        <v>45.65</v>
      </c>
      <c r="O254" s="2" t="n">
        <v>30</v>
      </c>
      <c r="P254" s="4" t="n">
        <v>2.33</v>
      </c>
      <c r="Q254" s="4" t="n">
        <v>13.67</v>
      </c>
      <c r="R254" s="4">
        <f>G254*(L254/100)*(O254/100)</f>
        <v/>
      </c>
      <c r="S254" s="4">
        <f>G254*(K254/360/100)*J254*(O254/100)</f>
        <v/>
      </c>
      <c r="T254" s="4">
        <f>P254-R254+Q254-S254</f>
        <v/>
      </c>
    </row>
    <row r="255">
      <c r="A255" s="2" t="inlineStr">
        <is>
          <t>Oro</t>
        </is>
      </c>
      <c r="B255" s="2" t="inlineStr">
        <is>
          <t>Amarillo</t>
        </is>
      </c>
      <c r="C255" s="3" t="n">
        <v>46027</v>
      </c>
      <c r="D255" s="2" t="inlineStr">
        <is>
          <t>A77575454</t>
        </is>
      </c>
      <c r="E255" s="2" t="inlineStr">
        <is>
          <t>Sedas Pres…</t>
        </is>
      </c>
      <c r="F255" s="2" t="n">
        <v>2900159</v>
      </c>
      <c r="G255" s="4" t="n">
        <v>612.33</v>
      </c>
      <c r="H255" s="3" t="n">
        <v>46008</v>
      </c>
      <c r="I255" s="3" t="n">
        <v>46061</v>
      </c>
      <c r="J255" s="2" t="n">
        <v>74</v>
      </c>
      <c r="K255" s="2" t="n">
        <v>11.72</v>
      </c>
      <c r="L255" s="2" t="n">
        <v>0.84</v>
      </c>
      <c r="M255" s="4" t="n">
        <v>5.14</v>
      </c>
      <c r="N255" s="4" t="n">
        <v>14.75</v>
      </c>
      <c r="O255" s="2" t="n">
        <v>40</v>
      </c>
      <c r="P255" s="4" t="n">
        <v>2.25</v>
      </c>
      <c r="Q255" s="4" t="n">
        <v>5.96</v>
      </c>
      <c r="R255" s="4">
        <f>G255*(L255/100)*(O255/100)</f>
        <v/>
      </c>
      <c r="S255" s="4">
        <f>G255*(K255/360/100)*J255*(O255/100)</f>
        <v/>
      </c>
      <c r="T255" s="4">
        <f>P255-R255+Q255-S255</f>
        <v/>
      </c>
    </row>
    <row r="256">
      <c r="A256" s="2" t="inlineStr">
        <is>
          <t>Oro</t>
        </is>
      </c>
      <c r="B256" s="2" t="inlineStr">
        <is>
          <t>Amarillo</t>
        </is>
      </c>
      <c r="C256" s="3" t="n">
        <v>46027</v>
      </c>
      <c r="D256" s="2" t="inlineStr">
        <is>
          <t>A83994559</t>
        </is>
      </c>
      <c r="E256" s="2" t="inlineStr">
        <is>
          <t>Oleicos Int…</t>
        </is>
      </c>
      <c r="F256" s="2" t="n">
        <v>3143834</v>
      </c>
      <c r="G256" s="4" t="n">
        <v>997.77</v>
      </c>
      <c r="H256" s="3" t="n">
        <v>45993</v>
      </c>
      <c r="I256" s="3" t="n">
        <v>46133</v>
      </c>
      <c r="J256" s="2" t="n">
        <v>24</v>
      </c>
      <c r="K256" s="2" t="n">
        <v>17.35</v>
      </c>
      <c r="L256" s="2" t="n">
        <v>2.19</v>
      </c>
      <c r="M256" s="4" t="n">
        <v>21.85</v>
      </c>
      <c r="N256" s="4" t="n">
        <v>11.54</v>
      </c>
      <c r="O256" s="2" t="n">
        <v>40</v>
      </c>
      <c r="P256" s="4" t="n">
        <v>8.98</v>
      </c>
      <c r="Q256" s="4" t="n">
        <v>4.7</v>
      </c>
      <c r="R256" s="4">
        <f>G256*(L256/100)*(O256/100)</f>
        <v/>
      </c>
      <c r="S256" s="4">
        <f>G256*(K256/360/100)*J256*(O256/100)</f>
        <v/>
      </c>
      <c r="T256" s="4">
        <f>P256-R256+Q256-S256</f>
        <v/>
      </c>
    </row>
    <row r="257">
      <c r="A257" s="2" t="inlineStr">
        <is>
          <t>Oro</t>
        </is>
      </c>
      <c r="B257" s="2" t="inlineStr">
        <is>
          <t>Amarillo</t>
        </is>
      </c>
      <c r="C257" s="3" t="n">
        <v>46027</v>
      </c>
      <c r="D257" s="2" t="inlineStr">
        <is>
          <t>A89559900</t>
        </is>
      </c>
      <c r="E257" s="2" t="inlineStr">
        <is>
          <t>Perfiles Ibé…</t>
        </is>
      </c>
      <c r="F257" s="2" t="n">
        <v>1808029</v>
      </c>
      <c r="G257" s="4" t="n">
        <v>411.36</v>
      </c>
      <c r="H257" s="3" t="n">
        <v>45999</v>
      </c>
      <c r="I257" s="3" t="n">
        <v>46091</v>
      </c>
      <c r="J257" s="2" t="n">
        <v>53</v>
      </c>
      <c r="K257" s="2" t="n">
        <v>16.92</v>
      </c>
      <c r="L257" s="2" t="n">
        <v>2.27</v>
      </c>
      <c r="M257" s="4" t="n">
        <v>9.34</v>
      </c>
      <c r="N257" s="4" t="n">
        <v>10.25</v>
      </c>
      <c r="O257" s="2" t="n">
        <v>30</v>
      </c>
      <c r="P257" s="4" t="n">
        <v>2.82</v>
      </c>
      <c r="Q257" s="4" t="n">
        <v>3.08</v>
      </c>
      <c r="R257" s="4">
        <f>G257*(L257/100)*(O257/100)</f>
        <v/>
      </c>
      <c r="S257" s="4">
        <f>G257*(K257/360/100)*J257*(O257/100)</f>
        <v/>
      </c>
      <c r="T257" s="4">
        <f>P257-R257+Q257-S257</f>
        <v/>
      </c>
    </row>
    <row r="258">
      <c r="A258" s="2" t="inlineStr">
        <is>
          <t>Oro</t>
        </is>
      </c>
      <c r="B258" s="2" t="inlineStr">
        <is>
          <t>Amarillo</t>
        </is>
      </c>
      <c r="C258" s="3" t="n">
        <v>46027</v>
      </c>
      <c r="D258" s="2" t="inlineStr">
        <is>
          <t>B39178717</t>
        </is>
      </c>
      <c r="E258" s="2" t="inlineStr">
        <is>
          <t>Pavimentos…</t>
        </is>
      </c>
      <c r="F258" s="2" t="n">
        <v>4456164</v>
      </c>
      <c r="G258" s="4" t="n">
        <v>8939.49</v>
      </c>
      <c r="H258" s="3" t="n">
        <v>46017</v>
      </c>
      <c r="I258" s="3" t="n">
        <v>46057</v>
      </c>
      <c r="J258" s="2" t="n">
        <v>17</v>
      </c>
      <c r="K258" s="2" t="n">
        <v>45.15</v>
      </c>
      <c r="L258" s="2" t="n">
        <v>2.87</v>
      </c>
      <c r="M258" s="4" t="n">
        <v>256.56</v>
      </c>
      <c r="N258" s="4" t="n">
        <v>190.6</v>
      </c>
      <c r="O258" s="2" t="n">
        <v>60</v>
      </c>
      <c r="P258" s="4" t="n">
        <v>154.15</v>
      </c>
      <c r="Q258" s="4" t="n">
        <v>114.62</v>
      </c>
      <c r="R258" s="4">
        <f>G258*(L258/100)*(O258/100)</f>
        <v/>
      </c>
      <c r="S258" s="4">
        <f>G258*(K258/360/100)*J258*(O258/100)</f>
        <v/>
      </c>
      <c r="T258" s="4">
        <f>P258-R258+Q258-S258</f>
        <v/>
      </c>
    </row>
    <row r="259">
      <c r="A259" s="2" t="inlineStr">
        <is>
          <t>Oro</t>
        </is>
      </c>
      <c r="B259" s="2" t="inlineStr">
        <is>
          <t>Amarillo</t>
        </is>
      </c>
      <c r="C259" s="3" t="n">
        <v>46027</v>
      </c>
      <c r="D259" s="2" t="inlineStr">
        <is>
          <t>B81129641</t>
        </is>
      </c>
      <c r="E259" s="2" t="inlineStr">
        <is>
          <t>Transistore…</t>
        </is>
      </c>
      <c r="F259" s="2" t="n">
        <v>4373610</v>
      </c>
      <c r="G259" s="4" t="n">
        <v>796.26</v>
      </c>
      <c r="H259" s="3" t="n">
        <v>46004</v>
      </c>
      <c r="I259" s="3" t="n">
        <v>46100</v>
      </c>
      <c r="J259" s="2" t="n">
        <v>31</v>
      </c>
      <c r="K259" s="2" t="n">
        <v>27.65</v>
      </c>
      <c r="L259" s="2" t="n">
        <v>1.08</v>
      </c>
      <c r="M259" s="4" t="n">
        <v>8.6</v>
      </c>
      <c r="N259" s="4" t="n">
        <v>18.96</v>
      </c>
      <c r="O259" s="2" t="n">
        <v>50</v>
      </c>
      <c r="P259" s="4" t="n">
        <v>4.44</v>
      </c>
      <c r="Q259" s="4" t="n">
        <v>9.25</v>
      </c>
      <c r="R259" s="4">
        <f>G259*(L259/100)*(O259/100)</f>
        <v/>
      </c>
      <c r="S259" s="4">
        <f>G259*(K259/360/100)*J259*(O259/100)</f>
        <v/>
      </c>
      <c r="T259" s="4">
        <f>P259-R259+Q259-S259</f>
        <v/>
      </c>
    </row>
    <row r="260">
      <c r="A260" s="2" t="inlineStr">
        <is>
          <t>Oro</t>
        </is>
      </c>
      <c r="B260" s="2" t="inlineStr">
        <is>
          <t>Amarillo</t>
        </is>
      </c>
      <c r="C260" s="3" t="n">
        <v>46027</v>
      </c>
      <c r="D260" s="2" t="inlineStr">
        <is>
          <t>B64401496</t>
        </is>
      </c>
      <c r="E260" s="2" t="inlineStr">
        <is>
          <t>Microchips…</t>
        </is>
      </c>
      <c r="F260" s="2" t="n">
        <v>1003341</v>
      </c>
      <c r="G260" s="4" t="n">
        <v>348.92</v>
      </c>
      <c r="H260" s="3" t="n">
        <v>45996</v>
      </c>
      <c r="I260" s="3" t="n">
        <v>46059</v>
      </c>
      <c r="J260" s="2" t="n">
        <v>23</v>
      </c>
      <c r="K260" s="2" t="n">
        <v>48.39</v>
      </c>
      <c r="L260" s="2" t="n">
        <v>0.66</v>
      </c>
      <c r="M260" s="4" t="n">
        <v>2.3</v>
      </c>
      <c r="N260" s="4" t="n">
        <v>10.79</v>
      </c>
      <c r="O260" s="2" t="n">
        <v>70</v>
      </c>
      <c r="P260" s="4" t="n">
        <v>1.49</v>
      </c>
      <c r="Q260" s="4" t="n">
        <v>7.65</v>
      </c>
      <c r="R260" s="4">
        <f>G260*(L260/100)*(O260/100)</f>
        <v/>
      </c>
      <c r="S260" s="4">
        <f>G260*(K260/360/100)*J260*(O260/100)</f>
        <v/>
      </c>
      <c r="T260" s="4">
        <f>P260-R260+Q260-S260</f>
        <v/>
      </c>
    </row>
    <row r="261">
      <c r="A261" s="2" t="inlineStr">
        <is>
          <t>Oro</t>
        </is>
      </c>
      <c r="B261" s="2" t="inlineStr">
        <is>
          <t>Amarillo</t>
        </is>
      </c>
      <c r="C261" s="3" t="n">
        <v>46027</v>
      </c>
      <c r="D261" s="2" t="inlineStr">
        <is>
          <t>B05881384</t>
        </is>
      </c>
      <c r="E261" s="2" t="inlineStr">
        <is>
          <t>Depósitos…</t>
        </is>
      </c>
      <c r="F261" s="2" t="n">
        <v>3713782</v>
      </c>
      <c r="G261" s="4" t="n">
        <v>989.4299999999999</v>
      </c>
      <c r="H261" s="3" t="n">
        <v>46003</v>
      </c>
      <c r="I261" s="3" t="n">
        <v>46100</v>
      </c>
      <c r="J261" s="2" t="n">
        <v>57</v>
      </c>
      <c r="K261" s="2" t="n">
        <v>39.36</v>
      </c>
      <c r="L261" s="2" t="n">
        <v>2.57</v>
      </c>
      <c r="M261" s="4" t="n">
        <v>25.43</v>
      </c>
      <c r="N261" s="4" t="n">
        <v>61.66</v>
      </c>
      <c r="O261" s="2" t="n">
        <v>40</v>
      </c>
      <c r="P261" s="4" t="n">
        <v>10.11</v>
      </c>
      <c r="Q261" s="4" t="n">
        <v>24.51</v>
      </c>
      <c r="R261" s="4">
        <f>G261*(L261/100)*(O261/100)</f>
        <v/>
      </c>
      <c r="S261" s="4">
        <f>G261*(K261/360/100)*J261*(O261/100)</f>
        <v/>
      </c>
      <c r="T261" s="4">
        <f>P261-R261+Q261-S261</f>
        <v/>
      </c>
    </row>
    <row r="262">
      <c r="A262" s="2" t="inlineStr">
        <is>
          <t>Oro</t>
        </is>
      </c>
      <c r="B262" s="2" t="inlineStr">
        <is>
          <t>Amarillo</t>
        </is>
      </c>
      <c r="C262" s="3" t="n">
        <v>46027</v>
      </c>
      <c r="D262" s="2" t="inlineStr">
        <is>
          <t>A71708856</t>
        </is>
      </c>
      <c r="E262" s="2" t="inlineStr">
        <is>
          <t>Fondeos C…</t>
        </is>
      </c>
      <c r="F262" s="2" t="n">
        <v>2819501</v>
      </c>
      <c r="G262" s="4" t="n">
        <v>951.5700000000001</v>
      </c>
      <c r="H262" s="3" t="n">
        <v>46016</v>
      </c>
      <c r="I262" s="3" t="n">
        <v>46140</v>
      </c>
      <c r="J262" s="2" t="n">
        <v>86</v>
      </c>
      <c r="K262" s="2" t="n">
        <v>20.06</v>
      </c>
      <c r="L262" s="2" t="n">
        <v>1.66</v>
      </c>
      <c r="M262" s="4" t="n">
        <v>15.8</v>
      </c>
      <c r="N262" s="4" t="n">
        <v>45.6</v>
      </c>
      <c r="O262" s="2" t="n">
        <v>60</v>
      </c>
      <c r="P262" s="4" t="n">
        <v>9.18</v>
      </c>
      <c r="Q262" s="4" t="n">
        <v>27.11</v>
      </c>
      <c r="R262" s="4">
        <f>G262*(L262/100)*(O262/100)</f>
        <v/>
      </c>
      <c r="S262" s="4">
        <f>G262*(K262/360/100)*J262*(O262/100)</f>
        <v/>
      </c>
      <c r="T262" s="4">
        <f>P262-R262+Q262-S262</f>
        <v/>
      </c>
    </row>
    <row r="263">
      <c r="A263" s="2" t="inlineStr">
        <is>
          <t>Oro</t>
        </is>
      </c>
      <c r="B263" s="2" t="inlineStr">
        <is>
          <t>Amarillo</t>
        </is>
      </c>
      <c r="C263" s="3" t="n">
        <v>46027</v>
      </c>
      <c r="D263" s="2" t="inlineStr">
        <is>
          <t>A58630456</t>
        </is>
      </c>
      <c r="E263" s="2" t="inlineStr">
        <is>
          <t>Drenajes A…</t>
        </is>
      </c>
      <c r="F263" s="2" t="n">
        <v>2264816</v>
      </c>
      <c r="G263" s="4" t="n">
        <v>4744.7</v>
      </c>
      <c r="H263" s="3" t="n">
        <v>46011</v>
      </c>
      <c r="I263" s="3" t="n">
        <v>46157</v>
      </c>
      <c r="J263" s="2" t="n">
        <v>47</v>
      </c>
      <c r="K263" s="2" t="n">
        <v>16.39</v>
      </c>
      <c r="L263" s="2" t="n">
        <v>1.03</v>
      </c>
      <c r="M263" s="4" t="n">
        <v>48.87</v>
      </c>
      <c r="N263" s="4" t="n">
        <v>101.53</v>
      </c>
      <c r="O263" s="2" t="n">
        <v>40</v>
      </c>
      <c r="P263" s="4" t="n">
        <v>19.52</v>
      </c>
      <c r="Q263" s="4" t="n">
        <v>40.51</v>
      </c>
      <c r="R263" s="4">
        <f>G263*(L263/100)*(O263/100)</f>
        <v/>
      </c>
      <c r="S263" s="4">
        <f>G263*(K263/360/100)*J263*(O263/100)</f>
        <v/>
      </c>
      <c r="T263" s="4">
        <f>P263-R263+Q263-S263</f>
        <v/>
      </c>
    </row>
    <row r="264">
      <c r="A264" s="2" t="inlineStr">
        <is>
          <t>Oro</t>
        </is>
      </c>
      <c r="B264" s="2" t="inlineStr">
        <is>
          <t>Amarillo</t>
        </is>
      </c>
      <c r="C264" s="3" t="n">
        <v>46027</v>
      </c>
      <c r="D264" s="2" t="inlineStr">
        <is>
          <t>A39063221</t>
        </is>
      </c>
      <c r="E264" s="2" t="inlineStr">
        <is>
          <t>Cobres Ma…</t>
        </is>
      </c>
      <c r="F264" s="2" t="n">
        <v>4661113</v>
      </c>
      <c r="G264" s="4" t="n">
        <v>679.28</v>
      </c>
      <c r="H264" s="3" t="n">
        <v>46006</v>
      </c>
      <c r="I264" s="3" t="n">
        <v>46150</v>
      </c>
      <c r="J264" s="2" t="n">
        <v>80</v>
      </c>
      <c r="K264" s="2" t="n">
        <v>36.6</v>
      </c>
      <c r="L264" s="2" t="n">
        <v>0.55</v>
      </c>
      <c r="M264" s="4" t="n">
        <v>3.74</v>
      </c>
      <c r="N264" s="4" t="n">
        <v>55.25</v>
      </c>
      <c r="O264" s="2" t="n">
        <v>40</v>
      </c>
      <c r="P264" s="4" t="n">
        <v>1.6</v>
      </c>
      <c r="Q264" s="4" t="n">
        <v>22.23</v>
      </c>
      <c r="R264" s="4">
        <f>G264*(L264/100)*(O264/100)</f>
        <v/>
      </c>
      <c r="S264" s="4">
        <f>G264*(K264/360/100)*J264*(O264/100)</f>
        <v/>
      </c>
      <c r="T264" s="4">
        <f>P264-R264+Q264-S264</f>
        <v/>
      </c>
    </row>
    <row r="265">
      <c r="A265" s="2" t="inlineStr">
        <is>
          <t>Oro</t>
        </is>
      </c>
      <c r="B265" s="2" t="inlineStr">
        <is>
          <t>Amarillo</t>
        </is>
      </c>
      <c r="C265" s="3" t="n">
        <v>46027</v>
      </c>
      <c r="D265" s="2" t="inlineStr">
        <is>
          <t>A53714136</t>
        </is>
      </c>
      <c r="E265" s="2" t="inlineStr">
        <is>
          <t>Granitos Gl…</t>
        </is>
      </c>
      <c r="F265" s="2" t="n">
        <v>3605319</v>
      </c>
      <c r="G265" s="4" t="n">
        <v>737.61</v>
      </c>
      <c r="H265" s="3" t="n">
        <v>46000</v>
      </c>
      <c r="I265" s="3" t="n">
        <v>46073</v>
      </c>
      <c r="J265" s="2" t="n">
        <v>41</v>
      </c>
      <c r="K265" s="2" t="n">
        <v>29.17</v>
      </c>
      <c r="L265" s="2" t="n">
        <v>2.47</v>
      </c>
      <c r="M265" s="4" t="n">
        <v>18.22</v>
      </c>
      <c r="N265" s="4" t="n">
        <v>24.5</v>
      </c>
      <c r="O265" s="2" t="n">
        <v>60</v>
      </c>
      <c r="P265" s="4" t="n">
        <v>10.65</v>
      </c>
      <c r="Q265" s="4" t="n">
        <v>14.67</v>
      </c>
      <c r="R265" s="4">
        <f>G265*(L265/100)*(O265/100)</f>
        <v/>
      </c>
      <c r="S265" s="4">
        <f>G265*(K265/360/100)*J265*(O265/100)</f>
        <v/>
      </c>
      <c r="T265" s="4">
        <f>P265-R265+Q265-S265</f>
        <v/>
      </c>
    </row>
    <row r="266">
      <c r="A266" s="2" t="inlineStr">
        <is>
          <t>Oro</t>
        </is>
      </c>
      <c r="B266" s="2" t="inlineStr">
        <is>
          <t>Amarillo</t>
        </is>
      </c>
      <c r="C266" s="3" t="n">
        <v>46027</v>
      </c>
      <c r="D266" s="2" t="inlineStr">
        <is>
          <t>B24639776</t>
        </is>
      </c>
      <c r="E266" s="2" t="inlineStr">
        <is>
          <t>Colas Reci…</t>
        </is>
      </c>
      <c r="F266" s="2" t="n">
        <v>2927862</v>
      </c>
      <c r="G266" s="4" t="n">
        <v>466.31</v>
      </c>
      <c r="H266" s="3" t="n">
        <v>46007</v>
      </c>
      <c r="I266" s="3" t="n">
        <v>46193</v>
      </c>
      <c r="J266" s="2" t="n">
        <v>47</v>
      </c>
      <c r="K266" s="2" t="n">
        <v>15.52</v>
      </c>
      <c r="L266" s="2" t="n">
        <v>0.93</v>
      </c>
      <c r="M266" s="4" t="n">
        <v>4.34</v>
      </c>
      <c r="N266" s="4" t="n">
        <v>9.449999999999999</v>
      </c>
      <c r="O266" s="2" t="n">
        <v>30</v>
      </c>
      <c r="P266" s="4" t="n">
        <v>1.47</v>
      </c>
      <c r="Q266" s="4" t="n">
        <v>2.9</v>
      </c>
      <c r="R266" s="4">
        <f>G266*(L266/100)*(O266/100)</f>
        <v/>
      </c>
      <c r="S266" s="4">
        <f>G266*(K266/360/100)*J266*(O266/100)</f>
        <v/>
      </c>
      <c r="T266" s="4">
        <f>P266-R266+Q266-S266</f>
        <v/>
      </c>
    </row>
    <row r="267">
      <c r="A267" s="2" t="inlineStr">
        <is>
          <t>Oro</t>
        </is>
      </c>
      <c r="B267" s="2" t="inlineStr">
        <is>
          <t>Amarillo</t>
        </is>
      </c>
      <c r="C267" s="3" t="n">
        <v>46027</v>
      </c>
      <c r="D267" s="2" t="inlineStr">
        <is>
          <t>B09286084</t>
        </is>
      </c>
      <c r="E267" s="2" t="inlineStr">
        <is>
          <t>Engranajes…</t>
        </is>
      </c>
      <c r="F267" s="2" t="n">
        <v>1432136</v>
      </c>
      <c r="G267" s="4" t="n">
        <v>521.02</v>
      </c>
      <c r="H267" s="3" t="n">
        <v>46009</v>
      </c>
      <c r="I267" s="3" t="n">
        <v>46193</v>
      </c>
      <c r="J267" s="2" t="n">
        <v>80</v>
      </c>
      <c r="K267" s="2" t="n">
        <v>10.35</v>
      </c>
      <c r="L267" s="2" t="n">
        <v>0.63</v>
      </c>
      <c r="M267" s="4" t="n">
        <v>3.28</v>
      </c>
      <c r="N267" s="4" t="n">
        <v>11.98</v>
      </c>
      <c r="O267" s="2" t="n">
        <v>60</v>
      </c>
      <c r="P267" s="4" t="n">
        <v>2.18</v>
      </c>
      <c r="Q267" s="4" t="n">
        <v>7.05</v>
      </c>
      <c r="R267" s="4">
        <f>G267*(L267/100)*(O267/100)</f>
        <v/>
      </c>
      <c r="S267" s="4">
        <f>G267*(K267/360/100)*J267*(O267/100)</f>
        <v/>
      </c>
      <c r="T267" s="4">
        <f>P267-R267+Q267-S267</f>
        <v/>
      </c>
    </row>
    <row r="268">
      <c r="A268" s="2" t="inlineStr">
        <is>
          <t>Oro</t>
        </is>
      </c>
      <c r="B268" s="2" t="inlineStr">
        <is>
          <t>Amarillo</t>
        </is>
      </c>
      <c r="C268" s="3" t="n">
        <v>46027</v>
      </c>
      <c r="D268" s="2" t="inlineStr">
        <is>
          <t>B55804374</t>
        </is>
      </c>
      <c r="E268" s="2" t="inlineStr">
        <is>
          <t>Cartones P…</t>
        </is>
      </c>
      <c r="F268" s="2" t="n">
        <v>1782440</v>
      </c>
      <c r="G268" s="4" t="n">
        <v>556.42</v>
      </c>
      <c r="H268" s="3" t="n">
        <v>46004</v>
      </c>
      <c r="I268" s="3" t="n">
        <v>46064</v>
      </c>
      <c r="J268" s="2" t="n">
        <v>66</v>
      </c>
      <c r="K268" s="2" t="n">
        <v>26.35</v>
      </c>
      <c r="L268" s="2" t="n">
        <v>2.54</v>
      </c>
      <c r="M268" s="4" t="n">
        <v>14.13</v>
      </c>
      <c r="N268" s="4" t="n">
        <v>26.88</v>
      </c>
      <c r="O268" s="2" t="n">
        <v>30</v>
      </c>
      <c r="P268" s="4" t="n">
        <v>4.29</v>
      </c>
      <c r="Q268" s="4" t="n">
        <v>8.140000000000001</v>
      </c>
      <c r="R268" s="4">
        <f>G268*(L268/100)*(O268/100)</f>
        <v/>
      </c>
      <c r="S268" s="4">
        <f>G268*(K268/360/100)*J268*(O268/100)</f>
        <v/>
      </c>
      <c r="T268" s="4">
        <f>P268-R268+Q268-S268</f>
        <v/>
      </c>
    </row>
    <row r="269">
      <c r="A269" s="2" t="inlineStr">
        <is>
          <t>Oro</t>
        </is>
      </c>
      <c r="B269" s="2" t="inlineStr">
        <is>
          <t>Amarillo</t>
        </is>
      </c>
      <c r="C269" s="3" t="n">
        <v>46027</v>
      </c>
      <c r="D269" s="2" t="inlineStr">
        <is>
          <t>B42360172</t>
        </is>
      </c>
      <c r="E269" s="2" t="inlineStr">
        <is>
          <t>Bioestimula…</t>
        </is>
      </c>
      <c r="F269" s="2" t="n">
        <v>2220769</v>
      </c>
      <c r="G269" s="4" t="n">
        <v>542.3</v>
      </c>
      <c r="H269" s="3" t="n">
        <v>45995</v>
      </c>
      <c r="I269" s="3" t="n">
        <v>46068</v>
      </c>
      <c r="J269" s="2" t="n">
        <v>87</v>
      </c>
      <c r="K269" s="2" t="n">
        <v>10.57</v>
      </c>
      <c r="L269" s="2" t="n">
        <v>0.71</v>
      </c>
      <c r="M269" s="4" t="n">
        <v>3.85</v>
      </c>
      <c r="N269" s="4" t="n">
        <v>13.85</v>
      </c>
      <c r="O269" s="2" t="n">
        <v>60</v>
      </c>
      <c r="P269" s="4" t="n">
        <v>2.37</v>
      </c>
      <c r="Q269" s="4" t="n">
        <v>8.550000000000001</v>
      </c>
      <c r="R269" s="4">
        <f>G269*(L269/100)*(O269/100)</f>
        <v/>
      </c>
      <c r="S269" s="4">
        <f>G269*(K269/360/100)*J269*(O269/100)</f>
        <v/>
      </c>
      <c r="T269" s="4">
        <f>P269-R269+Q269-S269</f>
        <v/>
      </c>
    </row>
    <row r="270">
      <c r="A270" s="2" t="inlineStr">
        <is>
          <t>Oro</t>
        </is>
      </c>
      <c r="B270" s="2" t="inlineStr">
        <is>
          <t>Amarillo</t>
        </is>
      </c>
      <c r="C270" s="3" t="n">
        <v>46027</v>
      </c>
      <c r="D270" s="2" t="inlineStr">
        <is>
          <t>A66238414</t>
        </is>
      </c>
      <c r="E270" s="2" t="inlineStr">
        <is>
          <t>Sistemas Zi…</t>
        </is>
      </c>
      <c r="F270" s="2" t="n">
        <v>1881060</v>
      </c>
      <c r="G270" s="4" t="n">
        <v>476.17</v>
      </c>
      <c r="H270" s="3" t="n">
        <v>46010</v>
      </c>
      <c r="I270" s="3" t="n">
        <v>46058</v>
      </c>
      <c r="J270" s="2" t="n">
        <v>69</v>
      </c>
      <c r="K270" s="2" t="n">
        <v>45.26</v>
      </c>
      <c r="L270" s="2" t="n">
        <v>1.6</v>
      </c>
      <c r="M270" s="4" t="n">
        <v>7.62</v>
      </c>
      <c r="N270" s="4" t="n">
        <v>41.31</v>
      </c>
      <c r="O270" s="2" t="n">
        <v>30</v>
      </c>
      <c r="P270" s="4" t="n">
        <v>2.46</v>
      </c>
      <c r="Q270" s="4" t="n">
        <v>12.32</v>
      </c>
      <c r="R270" s="4">
        <f>G270*(L270/100)*(O270/100)</f>
        <v/>
      </c>
      <c r="S270" s="4">
        <f>G270*(K270/360/100)*J270*(O270/100)</f>
        <v/>
      </c>
      <c r="T270" s="4">
        <f>P270-R270+Q270-S270</f>
        <v/>
      </c>
    </row>
    <row r="271">
      <c r="A271" s="2" t="inlineStr">
        <is>
          <t>Oro</t>
        </is>
      </c>
      <c r="B271" s="2" t="inlineStr">
        <is>
          <t>Amarillo</t>
        </is>
      </c>
      <c r="C271" s="3" t="n">
        <v>46027</v>
      </c>
      <c r="D271" s="2" t="inlineStr">
        <is>
          <t>B86871338</t>
        </is>
      </c>
      <c r="E271" s="2" t="inlineStr">
        <is>
          <t>Hormigone…</t>
        </is>
      </c>
      <c r="F271" s="2" t="n">
        <v>3879540</v>
      </c>
      <c r="G271" s="4" t="n">
        <v>222.58</v>
      </c>
      <c r="H271" s="3" t="n">
        <v>46012</v>
      </c>
      <c r="I271" s="3" t="n">
        <v>46089</v>
      </c>
      <c r="J271" s="2" t="n">
        <v>50</v>
      </c>
      <c r="K271" s="2" t="n">
        <v>49.04</v>
      </c>
      <c r="L271" s="2" t="n">
        <v>0.7</v>
      </c>
      <c r="M271" s="4" t="n">
        <v>1.56</v>
      </c>
      <c r="N271" s="4" t="n">
        <v>15.16</v>
      </c>
      <c r="O271" s="2" t="n">
        <v>60</v>
      </c>
      <c r="P271" s="4" t="n">
        <v>0.87</v>
      </c>
      <c r="Q271" s="4" t="n">
        <v>9.24</v>
      </c>
      <c r="R271" s="4">
        <f>G271*(L271/100)*(O271/100)</f>
        <v/>
      </c>
      <c r="S271" s="4">
        <f>G271*(K271/360/100)*J271*(O271/100)</f>
        <v/>
      </c>
      <c r="T271" s="4">
        <f>P271-R271+Q271-S271</f>
        <v/>
      </c>
    </row>
    <row r="272">
      <c r="A272" s="2" t="inlineStr">
        <is>
          <t>Oro</t>
        </is>
      </c>
      <c r="B272" s="2" t="inlineStr">
        <is>
          <t>Amarillo</t>
        </is>
      </c>
      <c r="C272" s="3" t="n">
        <v>46027</v>
      </c>
      <c r="D272" s="2" t="inlineStr">
        <is>
          <t>B03779904</t>
        </is>
      </c>
      <c r="E272" s="2" t="inlineStr">
        <is>
          <t>Hormigone…</t>
        </is>
      </c>
      <c r="F272" s="2" t="n">
        <v>1282712</v>
      </c>
      <c r="G272" s="4" t="n">
        <v>9388.969999999999</v>
      </c>
      <c r="H272" s="3" t="n">
        <v>46013</v>
      </c>
      <c r="I272" s="3" t="n">
        <v>46066</v>
      </c>
      <c r="J272" s="2" t="n">
        <v>79</v>
      </c>
      <c r="K272" s="2" t="n">
        <v>12.72</v>
      </c>
      <c r="L272" s="2" t="n">
        <v>1.21</v>
      </c>
      <c r="M272" s="4" t="n">
        <v>113.61</v>
      </c>
      <c r="N272" s="4" t="n">
        <v>262.08</v>
      </c>
      <c r="O272" s="2" t="n">
        <v>20</v>
      </c>
      <c r="P272" s="4" t="n">
        <v>22.94</v>
      </c>
      <c r="Q272" s="4" t="n">
        <v>52.39</v>
      </c>
      <c r="R272" s="4">
        <f>G272*(L272/100)*(O272/100)</f>
        <v/>
      </c>
      <c r="S272" s="4">
        <f>G272*(K272/360/100)*J272*(O272/100)</f>
        <v/>
      </c>
      <c r="T272" s="4">
        <f>P272-R272+Q272-S272</f>
        <v/>
      </c>
    </row>
    <row r="273">
      <c r="A273" s="2" t="inlineStr">
        <is>
          <t>Oro</t>
        </is>
      </c>
      <c r="B273" s="2" t="inlineStr">
        <is>
          <t>Amarillo</t>
        </is>
      </c>
      <c r="C273" s="3" t="n">
        <v>46027</v>
      </c>
      <c r="D273" s="2" t="inlineStr">
        <is>
          <t>A40186320</t>
        </is>
      </c>
      <c r="E273" s="2" t="inlineStr">
        <is>
          <t>Resistencia…</t>
        </is>
      </c>
      <c r="F273" s="2" t="n">
        <v>1444563</v>
      </c>
      <c r="G273" s="4" t="n">
        <v>8012.49</v>
      </c>
      <c r="H273" s="3" t="n">
        <v>45997</v>
      </c>
      <c r="I273" s="3" t="n">
        <v>46086</v>
      </c>
      <c r="J273" s="2" t="n">
        <v>22</v>
      </c>
      <c r="K273" s="2" t="n">
        <v>42.56</v>
      </c>
      <c r="L273" s="2" t="n">
        <v>1.17</v>
      </c>
      <c r="M273" s="4" t="n">
        <v>93.75</v>
      </c>
      <c r="N273" s="4" t="n">
        <v>208.4</v>
      </c>
      <c r="O273" s="2" t="n">
        <v>20</v>
      </c>
      <c r="P273" s="4" t="n">
        <v>18.53</v>
      </c>
      <c r="Q273" s="4" t="n">
        <v>41.79</v>
      </c>
      <c r="R273" s="4">
        <f>G273*(L273/100)*(O273/100)</f>
        <v/>
      </c>
      <c r="S273" s="4">
        <f>G273*(K273/360/100)*J273*(O273/100)</f>
        <v/>
      </c>
      <c r="T273" s="4">
        <f>P273-R273+Q273-S273</f>
        <v/>
      </c>
    </row>
    <row r="274">
      <c r="A274" s="2" t="inlineStr">
        <is>
          <t>Oro</t>
        </is>
      </c>
      <c r="B274" s="2" t="inlineStr">
        <is>
          <t>Amarillo</t>
        </is>
      </c>
      <c r="C274" s="3" t="n">
        <v>46027</v>
      </c>
      <c r="D274" s="2" t="inlineStr">
        <is>
          <t>A08053188</t>
        </is>
      </c>
      <c r="E274" s="2" t="inlineStr">
        <is>
          <t>Equipos Re…</t>
        </is>
      </c>
      <c r="F274" s="2" t="n">
        <v>2866590</v>
      </c>
      <c r="G274" s="4" t="n">
        <v>207.78</v>
      </c>
      <c r="H274" s="3" t="n">
        <v>46004</v>
      </c>
      <c r="I274" s="3" t="n">
        <v>46042</v>
      </c>
      <c r="J274" s="2" t="n">
        <v>85</v>
      </c>
      <c r="K274" s="2" t="n">
        <v>39.35</v>
      </c>
      <c r="L274" s="2" t="n">
        <v>2.92</v>
      </c>
      <c r="M274" s="4" t="n">
        <v>6.07</v>
      </c>
      <c r="N274" s="4" t="n">
        <v>19.3</v>
      </c>
      <c r="O274" s="2" t="n">
        <v>60</v>
      </c>
      <c r="P274" s="4" t="n">
        <v>3.84</v>
      </c>
      <c r="Q274" s="4" t="n">
        <v>11.72</v>
      </c>
      <c r="R274" s="4">
        <f>G274*(L274/100)*(O274/100)</f>
        <v/>
      </c>
      <c r="S274" s="4">
        <f>G274*(K274/360/100)*J274*(O274/100)</f>
        <v/>
      </c>
      <c r="T274" s="4">
        <f>P274-R274+Q274-S274</f>
        <v/>
      </c>
    </row>
    <row r="275">
      <c r="A275" s="2" t="inlineStr">
        <is>
          <t>Oro</t>
        </is>
      </c>
      <c r="B275" s="2" t="inlineStr">
        <is>
          <t>Amarillo</t>
        </is>
      </c>
      <c r="C275" s="3" t="n">
        <v>46027</v>
      </c>
      <c r="D275" s="2" t="inlineStr">
        <is>
          <t>A21855870</t>
        </is>
      </c>
      <c r="E275" s="2" t="inlineStr">
        <is>
          <t>Pistones M…</t>
        </is>
      </c>
      <c r="F275" s="2" t="n">
        <v>4378620</v>
      </c>
      <c r="G275" s="4" t="n">
        <v>376.09</v>
      </c>
      <c r="H275" s="3" t="n">
        <v>45995</v>
      </c>
      <c r="I275" s="3" t="n">
        <v>46149</v>
      </c>
      <c r="J275" s="2" t="n">
        <v>39</v>
      </c>
      <c r="K275" s="2" t="n">
        <v>33.4</v>
      </c>
      <c r="L275" s="2" t="n">
        <v>1.28</v>
      </c>
      <c r="M275" s="4" t="n">
        <v>4.81</v>
      </c>
      <c r="N275" s="4" t="n">
        <v>13.61</v>
      </c>
      <c r="O275" s="2" t="n">
        <v>50</v>
      </c>
      <c r="P275" s="4" t="n">
        <v>2.34</v>
      </c>
      <c r="Q275" s="4" t="n">
        <v>6.56</v>
      </c>
      <c r="R275" s="4">
        <f>G275*(L275/100)*(O275/100)</f>
        <v/>
      </c>
      <c r="S275" s="4">
        <f>G275*(K275/360/100)*J275*(O275/100)</f>
        <v/>
      </c>
      <c r="T275" s="4">
        <f>P275-R275+Q275-S275</f>
        <v/>
      </c>
    </row>
    <row r="276">
      <c r="A276" s="2" t="inlineStr">
        <is>
          <t>Oro</t>
        </is>
      </c>
      <c r="B276" s="2" t="inlineStr">
        <is>
          <t>Amarillo</t>
        </is>
      </c>
      <c r="C276" s="3" t="n">
        <v>46027</v>
      </c>
      <c r="D276" s="2" t="inlineStr">
        <is>
          <t>A53525598</t>
        </is>
      </c>
      <c r="E276" s="2" t="inlineStr">
        <is>
          <t>Fundicione…</t>
        </is>
      </c>
      <c r="F276" s="2" t="n">
        <v>2485086</v>
      </c>
      <c r="G276" s="4" t="n">
        <v>889.13</v>
      </c>
      <c r="H276" s="3" t="n">
        <v>46015</v>
      </c>
      <c r="I276" s="3" t="n">
        <v>46031</v>
      </c>
      <c r="J276" s="2" t="n">
        <v>71</v>
      </c>
      <c r="K276" s="2" t="n">
        <v>16.05</v>
      </c>
      <c r="L276" s="2" t="n">
        <v>0.6</v>
      </c>
      <c r="M276" s="4" t="n">
        <v>5.33</v>
      </c>
      <c r="N276" s="4" t="n">
        <v>28.14</v>
      </c>
      <c r="O276" s="2" t="n">
        <v>70</v>
      </c>
      <c r="P276" s="4" t="n">
        <v>3.5</v>
      </c>
      <c r="Q276" s="4" t="n">
        <v>19.85</v>
      </c>
      <c r="R276" s="4">
        <f>G276*(L276/100)*(O276/100)</f>
        <v/>
      </c>
      <c r="S276" s="4">
        <f>G276*(K276/360/100)*J276*(O276/100)</f>
        <v/>
      </c>
      <c r="T276" s="4">
        <f>P276-R276+Q276-S276</f>
        <v/>
      </c>
    </row>
    <row r="277">
      <c r="A277" s="2" t="inlineStr">
        <is>
          <t>Oro</t>
        </is>
      </c>
      <c r="B277" s="2" t="inlineStr">
        <is>
          <t>Amarillo</t>
        </is>
      </c>
      <c r="C277" s="3" t="n">
        <v>46027</v>
      </c>
      <c r="D277" s="2" t="inlineStr">
        <is>
          <t>A51401594</t>
        </is>
      </c>
      <c r="E277" s="2" t="inlineStr">
        <is>
          <t>Travesaños…</t>
        </is>
      </c>
      <c r="F277" s="2" t="n">
        <v>2289593</v>
      </c>
      <c r="G277" s="4" t="n">
        <v>7032.55</v>
      </c>
      <c r="H277" s="3" t="n">
        <v>46016</v>
      </c>
      <c r="I277" s="3" t="n">
        <v>46187</v>
      </c>
      <c r="J277" s="2" t="n">
        <v>53</v>
      </c>
      <c r="K277" s="2" t="n">
        <v>45.71</v>
      </c>
      <c r="L277" s="2" t="n">
        <v>1.37</v>
      </c>
      <c r="M277" s="4" t="n">
        <v>96.34999999999999</v>
      </c>
      <c r="N277" s="4" t="n">
        <v>473.26</v>
      </c>
      <c r="O277" s="2" t="n">
        <v>30</v>
      </c>
      <c r="P277" s="4" t="n">
        <v>28.69</v>
      </c>
      <c r="Q277" s="4" t="n">
        <v>142.1</v>
      </c>
      <c r="R277" s="4">
        <f>G277*(L277/100)*(O277/100)</f>
        <v/>
      </c>
      <c r="S277" s="4">
        <f>G277*(K277/360/100)*J277*(O277/100)</f>
        <v/>
      </c>
      <c r="T277" s="4">
        <f>P277-R277+Q277-S277</f>
        <v/>
      </c>
    </row>
    <row r="278">
      <c r="A278" s="2" t="inlineStr">
        <is>
          <t>Oro</t>
        </is>
      </c>
      <c r="B278" s="2" t="inlineStr">
        <is>
          <t>Amarillo</t>
        </is>
      </c>
      <c r="C278" s="3" t="n">
        <v>46027</v>
      </c>
      <c r="D278" s="2" t="inlineStr">
        <is>
          <t>A11532729</t>
        </is>
      </c>
      <c r="E278" s="2" t="inlineStr">
        <is>
          <t>Estructuras…</t>
        </is>
      </c>
      <c r="F278" s="2" t="n">
        <v>1345209</v>
      </c>
      <c r="G278" s="4" t="n">
        <v>161.95</v>
      </c>
      <c r="H278" s="3" t="n">
        <v>45992</v>
      </c>
      <c r="I278" s="3" t="n">
        <v>46197</v>
      </c>
      <c r="J278" s="2" t="n">
        <v>32</v>
      </c>
      <c r="K278" s="2" t="n">
        <v>12.64</v>
      </c>
      <c r="L278" s="2" t="n">
        <v>0.92</v>
      </c>
      <c r="M278" s="4" t="n">
        <v>1.49</v>
      </c>
      <c r="N278" s="4" t="n">
        <v>1.82</v>
      </c>
      <c r="O278" s="2" t="n">
        <v>60</v>
      </c>
      <c r="P278" s="4" t="n">
        <v>0.75</v>
      </c>
      <c r="Q278" s="4" t="n">
        <v>1.28</v>
      </c>
      <c r="R278" s="4">
        <f>G278*(L278/100)*(O278/100)</f>
        <v/>
      </c>
      <c r="S278" s="4">
        <f>G278*(K278/360/100)*J278*(O278/100)</f>
        <v/>
      </c>
      <c r="T278" s="4">
        <f>P278-R278+Q278-S278</f>
        <v/>
      </c>
    </row>
    <row r="279">
      <c r="A279" s="2" t="inlineStr">
        <is>
          <t>Oro</t>
        </is>
      </c>
      <c r="B279" s="2" t="inlineStr">
        <is>
          <t>Amarillo</t>
        </is>
      </c>
      <c r="C279" s="3" t="n">
        <v>46027</v>
      </c>
      <c r="D279" s="2" t="inlineStr">
        <is>
          <t>A81893948</t>
        </is>
      </c>
      <c r="E279" s="2" t="inlineStr">
        <is>
          <t>Tejas Auto…</t>
        </is>
      </c>
      <c r="F279" s="2" t="n">
        <v>3627383</v>
      </c>
      <c r="G279" s="4" t="n">
        <v>793.9400000000001</v>
      </c>
      <c r="H279" s="3" t="n">
        <v>45993</v>
      </c>
      <c r="I279" s="3" t="n">
        <v>46177</v>
      </c>
      <c r="J279" s="2" t="n">
        <v>62</v>
      </c>
      <c r="K279" s="2" t="n">
        <v>12.29</v>
      </c>
      <c r="L279" s="2" t="n">
        <v>2.99</v>
      </c>
      <c r="M279" s="4" t="n">
        <v>23.74</v>
      </c>
      <c r="N279" s="4" t="n">
        <v>16.8</v>
      </c>
      <c r="O279" s="2" t="n">
        <v>20</v>
      </c>
      <c r="P279" s="4" t="n">
        <v>4.81</v>
      </c>
      <c r="Q279" s="4" t="n">
        <v>3.51</v>
      </c>
      <c r="R279" s="4">
        <f>G279*(L279/100)*(O279/100)</f>
        <v/>
      </c>
      <c r="S279" s="4">
        <f>G279*(K279/360/100)*J279*(O279/100)</f>
        <v/>
      </c>
      <c r="T279" s="4">
        <f>P279-R279+Q279-S279</f>
        <v/>
      </c>
    </row>
    <row r="280">
      <c r="A280" s="2" t="inlineStr">
        <is>
          <t>Oro</t>
        </is>
      </c>
      <c r="B280" s="2" t="inlineStr">
        <is>
          <t>Amarillo</t>
        </is>
      </c>
      <c r="C280" s="3" t="n">
        <v>46027</v>
      </c>
      <c r="D280" s="2" t="inlineStr">
        <is>
          <t>A58589660</t>
        </is>
      </c>
      <c r="E280" s="2" t="inlineStr">
        <is>
          <t>Yesos Eleg…</t>
        </is>
      </c>
      <c r="F280" s="2" t="n">
        <v>1387122</v>
      </c>
      <c r="G280" s="4" t="n">
        <v>6756.08</v>
      </c>
      <c r="H280" s="3" t="n">
        <v>46009</v>
      </c>
      <c r="I280" s="3" t="n">
        <v>46042</v>
      </c>
      <c r="J280" s="2" t="n">
        <v>45</v>
      </c>
      <c r="K280" s="2" t="n">
        <v>44.28</v>
      </c>
      <c r="L280" s="2" t="n">
        <v>0.7</v>
      </c>
      <c r="M280" s="4" t="n">
        <v>47.29</v>
      </c>
      <c r="N280" s="4" t="n">
        <v>373.95</v>
      </c>
      <c r="O280" s="2" t="n">
        <v>20</v>
      </c>
      <c r="P280" s="4" t="n">
        <v>9.17</v>
      </c>
      <c r="Q280" s="4" t="n">
        <v>74.91</v>
      </c>
      <c r="R280" s="4">
        <f>G280*(L280/100)*(O280/100)</f>
        <v/>
      </c>
      <c r="S280" s="4">
        <f>G280*(K280/360/100)*J280*(O280/100)</f>
        <v/>
      </c>
      <c r="T280" s="4">
        <f>P280-R280+Q280-S280</f>
        <v/>
      </c>
    </row>
    <row r="281">
      <c r="A281" s="2" t="inlineStr">
        <is>
          <t>Oro</t>
        </is>
      </c>
      <c r="B281" s="2" t="inlineStr">
        <is>
          <t>Amarillo</t>
        </is>
      </c>
      <c r="C281" s="3" t="n">
        <v>46027</v>
      </c>
      <c r="D281" s="2" t="inlineStr">
        <is>
          <t>A77557910</t>
        </is>
      </c>
      <c r="E281" s="2" t="inlineStr">
        <is>
          <t>Aglomerad…</t>
        </is>
      </c>
      <c r="F281" s="2" t="n">
        <v>3964116</v>
      </c>
      <c r="G281" s="4" t="n">
        <v>253.36</v>
      </c>
      <c r="H281" s="3" t="n">
        <v>45996</v>
      </c>
      <c r="I281" s="3" t="n">
        <v>46145</v>
      </c>
      <c r="J281" s="2" t="n">
        <v>22</v>
      </c>
      <c r="K281" s="2" t="n">
        <v>41.3</v>
      </c>
      <c r="L281" s="2" t="n">
        <v>2.88</v>
      </c>
      <c r="M281" s="4" t="n">
        <v>7.3</v>
      </c>
      <c r="N281" s="4" t="n">
        <v>6.39</v>
      </c>
      <c r="O281" s="2" t="n">
        <v>20</v>
      </c>
      <c r="P281" s="4" t="n">
        <v>1.6</v>
      </c>
      <c r="Q281" s="4" t="n">
        <v>1.52</v>
      </c>
      <c r="R281" s="4">
        <f>G281*(L281/100)*(O281/100)</f>
        <v/>
      </c>
      <c r="S281" s="4">
        <f>G281*(K281/360/100)*J281*(O281/100)</f>
        <v/>
      </c>
      <c r="T281" s="4">
        <f>P281-R281+Q281-S281</f>
        <v/>
      </c>
    </row>
    <row r="282">
      <c r="A282" s="2" t="inlineStr">
        <is>
          <t>Oro</t>
        </is>
      </c>
      <c r="B282" s="2" t="inlineStr">
        <is>
          <t>Amarillo</t>
        </is>
      </c>
      <c r="C282" s="3" t="n">
        <v>46027</v>
      </c>
      <c r="D282" s="2" t="inlineStr">
        <is>
          <t>A15943154</t>
        </is>
      </c>
      <c r="E282" s="2" t="inlineStr">
        <is>
          <t>Sedas Com…</t>
        </is>
      </c>
      <c r="F282" s="2" t="n">
        <v>1697030</v>
      </c>
      <c r="G282" s="4" t="n">
        <v>8062.74</v>
      </c>
      <c r="H282" s="3" t="n">
        <v>46008</v>
      </c>
      <c r="I282" s="3" t="n">
        <v>46158</v>
      </c>
      <c r="J282" s="2" t="n">
        <v>37</v>
      </c>
      <c r="K282" s="2" t="n">
        <v>15.36</v>
      </c>
      <c r="L282" s="2" t="n">
        <v>2.26</v>
      </c>
      <c r="M282" s="4" t="n">
        <v>182.22</v>
      </c>
      <c r="N282" s="4" t="n">
        <v>127.28</v>
      </c>
      <c r="O282" s="2" t="n">
        <v>20</v>
      </c>
      <c r="P282" s="4" t="n">
        <v>36.7</v>
      </c>
      <c r="Q282" s="4" t="n">
        <v>25.55</v>
      </c>
      <c r="R282" s="4">
        <f>G282*(L282/100)*(O282/100)</f>
        <v/>
      </c>
      <c r="S282" s="4">
        <f>G282*(K282/360/100)*J282*(O282/100)</f>
        <v/>
      </c>
      <c r="T282" s="4">
        <f>P282-R282+Q282-S282</f>
        <v/>
      </c>
    </row>
    <row r="283">
      <c r="A283" s="2" t="inlineStr">
        <is>
          <t>Oro</t>
        </is>
      </c>
      <c r="B283" s="2" t="inlineStr">
        <is>
          <t>Amarillo</t>
        </is>
      </c>
      <c r="C283" s="3" t="n">
        <v>46027</v>
      </c>
      <c r="D283" s="2" t="inlineStr">
        <is>
          <t>A22700331</t>
        </is>
      </c>
      <c r="E283" s="2" t="inlineStr">
        <is>
          <t>Alcoholes…</t>
        </is>
      </c>
      <c r="F283" s="2" t="n">
        <v>1166659</v>
      </c>
      <c r="G283" s="4" t="n">
        <v>978.47</v>
      </c>
      <c r="H283" s="3" t="n">
        <v>46006</v>
      </c>
      <c r="I283" s="3" t="n">
        <v>46189</v>
      </c>
      <c r="J283" s="2" t="n">
        <v>47</v>
      </c>
      <c r="K283" s="2" t="n">
        <v>36.43</v>
      </c>
      <c r="L283" s="2" t="n">
        <v>1.5</v>
      </c>
      <c r="M283" s="4" t="n">
        <v>14.68</v>
      </c>
      <c r="N283" s="4" t="n">
        <v>46.54</v>
      </c>
      <c r="O283" s="2" t="n">
        <v>50</v>
      </c>
      <c r="P283" s="4" t="n">
        <v>7.18</v>
      </c>
      <c r="Q283" s="4" t="n">
        <v>23.57</v>
      </c>
      <c r="R283" s="4">
        <f>G283*(L283/100)*(O283/100)</f>
        <v/>
      </c>
      <c r="S283" s="4">
        <f>G283*(K283/360/100)*J283*(O283/100)</f>
        <v/>
      </c>
      <c r="T283" s="4">
        <f>P283-R283+Q283-S283</f>
        <v/>
      </c>
    </row>
    <row r="284">
      <c r="A284" s="2" t="inlineStr">
        <is>
          <t>Oro</t>
        </is>
      </c>
      <c r="B284" s="2" t="inlineStr">
        <is>
          <t>Amarillo</t>
        </is>
      </c>
      <c r="C284" s="3" t="n">
        <v>46027</v>
      </c>
      <c r="D284" s="2" t="inlineStr">
        <is>
          <t>A92089211</t>
        </is>
      </c>
      <c r="E284" s="2" t="inlineStr">
        <is>
          <t>Tubulares…</t>
        </is>
      </c>
      <c r="F284" s="2" t="n">
        <v>4125436</v>
      </c>
      <c r="G284" s="4" t="n">
        <v>578.78</v>
      </c>
      <c r="H284" s="3" t="n">
        <v>46007</v>
      </c>
      <c r="I284" s="3" t="n">
        <v>46130</v>
      </c>
      <c r="J284" s="2" t="n">
        <v>66</v>
      </c>
      <c r="K284" s="2" t="n">
        <v>13</v>
      </c>
      <c r="L284" s="2" t="n">
        <v>1.74</v>
      </c>
      <c r="M284" s="4" t="n">
        <v>10.07</v>
      </c>
      <c r="N284" s="4" t="n">
        <v>13.79</v>
      </c>
      <c r="O284" s="2" t="n">
        <v>70</v>
      </c>
      <c r="P284" s="4" t="n">
        <v>7.26</v>
      </c>
      <c r="Q284" s="4" t="n">
        <v>9.789999999999999</v>
      </c>
      <c r="R284" s="4">
        <f>G284*(L284/100)*(O284/100)</f>
        <v/>
      </c>
      <c r="S284" s="4">
        <f>G284*(K284/360/100)*J284*(O284/100)</f>
        <v/>
      </c>
      <c r="T284" s="4">
        <f>P284-R284+Q284-S284</f>
        <v/>
      </c>
    </row>
    <row r="285">
      <c r="A285" s="2" t="inlineStr">
        <is>
          <t>Oro</t>
        </is>
      </c>
      <c r="B285" s="2" t="inlineStr">
        <is>
          <t>Amarillo</t>
        </is>
      </c>
      <c r="C285" s="3" t="n">
        <v>46027</v>
      </c>
      <c r="D285" s="2" t="inlineStr">
        <is>
          <t>A99313980</t>
        </is>
      </c>
      <c r="E285" s="2" t="inlineStr">
        <is>
          <t>Quillas Ele…</t>
        </is>
      </c>
      <c r="F285" s="2" t="n">
        <v>4531643</v>
      </c>
      <c r="G285" s="4" t="n">
        <v>446.72</v>
      </c>
      <c r="H285" s="3" t="n">
        <v>46000</v>
      </c>
      <c r="I285" s="3" t="n">
        <v>46107</v>
      </c>
      <c r="J285" s="2" t="n">
        <v>37</v>
      </c>
      <c r="K285" s="2" t="n">
        <v>31.46</v>
      </c>
      <c r="L285" s="2" t="n">
        <v>0.9</v>
      </c>
      <c r="M285" s="4" t="n">
        <v>4.02</v>
      </c>
      <c r="N285" s="4" t="n">
        <v>14.44</v>
      </c>
      <c r="O285" s="2" t="n">
        <v>40</v>
      </c>
      <c r="P285" s="4" t="n">
        <v>1.77</v>
      </c>
      <c r="Q285" s="4" t="n">
        <v>5.6</v>
      </c>
      <c r="R285" s="4">
        <f>G285*(L285/100)*(O285/100)</f>
        <v/>
      </c>
      <c r="S285" s="4">
        <f>G285*(K285/360/100)*J285*(O285/100)</f>
        <v/>
      </c>
      <c r="T285" s="4">
        <f>P285-R285+Q285-S285</f>
        <v/>
      </c>
    </row>
    <row r="286">
      <c r="A286" s="2" t="inlineStr">
        <is>
          <t>Oro</t>
        </is>
      </c>
      <c r="B286" s="2" t="inlineStr">
        <is>
          <t>Amarillo</t>
        </is>
      </c>
      <c r="C286" s="3" t="n">
        <v>46027</v>
      </c>
      <c r="D286" s="2" t="inlineStr">
        <is>
          <t>B73164069</t>
        </is>
      </c>
      <c r="E286" s="2" t="inlineStr">
        <is>
          <t>Tuberías Gl…</t>
        </is>
      </c>
      <c r="F286" s="2" t="n">
        <v>3490754</v>
      </c>
      <c r="G286" s="4" t="n">
        <v>716.79</v>
      </c>
      <c r="H286" s="3" t="n">
        <v>46001</v>
      </c>
      <c r="I286" s="3" t="n">
        <v>46127</v>
      </c>
      <c r="J286" s="2" t="n">
        <v>74</v>
      </c>
      <c r="K286" s="2" t="n">
        <v>12.45</v>
      </c>
      <c r="L286" s="2" t="n">
        <v>1.68</v>
      </c>
      <c r="M286" s="4" t="n">
        <v>12.04</v>
      </c>
      <c r="N286" s="4" t="n">
        <v>18.34</v>
      </c>
      <c r="O286" s="2" t="n">
        <v>40</v>
      </c>
      <c r="P286" s="4" t="n">
        <v>5.12</v>
      </c>
      <c r="Q286" s="4" t="n">
        <v>7.51</v>
      </c>
      <c r="R286" s="4">
        <f>G286*(L286/100)*(O286/100)</f>
        <v/>
      </c>
      <c r="S286" s="4">
        <f>G286*(K286/360/100)*J286*(O286/100)</f>
        <v/>
      </c>
      <c r="T286" s="4">
        <f>P286-R286+Q286-S286</f>
        <v/>
      </c>
    </row>
    <row r="287">
      <c r="A287" s="2" t="inlineStr">
        <is>
          <t>Oro</t>
        </is>
      </c>
      <c r="B287" s="2" t="inlineStr">
        <is>
          <t>Amarillo</t>
        </is>
      </c>
      <c r="C287" s="3" t="n">
        <v>46027</v>
      </c>
      <c r="D287" s="2" t="inlineStr">
        <is>
          <t>A89697470</t>
        </is>
      </c>
      <c r="E287" s="2" t="inlineStr">
        <is>
          <t>Transistore…</t>
        </is>
      </c>
      <c r="F287" s="2" t="n">
        <v>4863109</v>
      </c>
      <c r="G287" s="4" t="n">
        <v>590.41</v>
      </c>
      <c r="H287" s="3" t="n">
        <v>46002</v>
      </c>
      <c r="I287" s="3" t="n">
        <v>46026</v>
      </c>
      <c r="J287" s="2" t="n">
        <v>52</v>
      </c>
      <c r="K287" s="2" t="n">
        <v>38.67</v>
      </c>
      <c r="L287" s="2" t="n">
        <v>1.42</v>
      </c>
      <c r="M287" s="4" t="n">
        <v>8.380000000000001</v>
      </c>
      <c r="N287" s="4" t="n">
        <v>32.98</v>
      </c>
      <c r="O287" s="2" t="n">
        <v>60</v>
      </c>
      <c r="P287" s="4" t="n">
        <v>5.18</v>
      </c>
      <c r="Q287" s="4" t="n">
        <v>19.54</v>
      </c>
      <c r="R287" s="4">
        <f>G287*(L287/100)*(O287/100)</f>
        <v/>
      </c>
      <c r="S287" s="4">
        <f>G287*(K287/360/100)*J287*(O287/100)</f>
        <v/>
      </c>
      <c r="T287" s="4">
        <f>P287-R287+Q287-S287</f>
        <v/>
      </c>
    </row>
    <row r="288">
      <c r="A288" s="2" t="inlineStr">
        <is>
          <t>Oro</t>
        </is>
      </c>
      <c r="B288" s="2" t="inlineStr">
        <is>
          <t>Amarillo</t>
        </is>
      </c>
      <c r="C288" s="3" t="n">
        <v>46027</v>
      </c>
      <c r="D288" s="2" t="inlineStr">
        <is>
          <t>B37044744</t>
        </is>
      </c>
      <c r="E288" s="2" t="inlineStr">
        <is>
          <t>Depuracion…</t>
        </is>
      </c>
      <c r="F288" s="2" t="n">
        <v>3319054</v>
      </c>
      <c r="G288" s="4" t="n">
        <v>818.46</v>
      </c>
      <c r="H288" s="3" t="n">
        <v>46000</v>
      </c>
      <c r="I288" s="3" t="n">
        <v>46023</v>
      </c>
      <c r="J288" s="2" t="n">
        <v>74</v>
      </c>
      <c r="K288" s="2" t="n">
        <v>18.4</v>
      </c>
      <c r="L288" s="2" t="n">
        <v>0.9</v>
      </c>
      <c r="M288" s="4" t="n">
        <v>7.37</v>
      </c>
      <c r="N288" s="4" t="n">
        <v>30.96</v>
      </c>
      <c r="O288" s="2" t="n">
        <v>50</v>
      </c>
      <c r="P288" s="4" t="n">
        <v>3.76</v>
      </c>
      <c r="Q288" s="4" t="n">
        <v>15.66</v>
      </c>
      <c r="R288" s="4">
        <f>G288*(L288/100)*(O288/100)</f>
        <v/>
      </c>
      <c r="S288" s="4">
        <f>G288*(K288/360/100)*J288*(O288/100)</f>
        <v/>
      </c>
      <c r="T288" s="4">
        <f>P288-R288+Q288-S288</f>
        <v/>
      </c>
    </row>
    <row r="289">
      <c r="A289" s="2" t="inlineStr">
        <is>
          <t>Oro</t>
        </is>
      </c>
      <c r="B289" s="2" t="inlineStr">
        <is>
          <t>Amarillo</t>
        </is>
      </c>
      <c r="C289" s="3" t="n">
        <v>46027</v>
      </c>
      <c r="D289" s="2" t="inlineStr">
        <is>
          <t>B10393105</t>
        </is>
      </c>
      <c r="E289" s="2" t="inlineStr">
        <is>
          <t>Aparejos S…</t>
        </is>
      </c>
      <c r="F289" s="2" t="n">
        <v>2204449</v>
      </c>
      <c r="G289" s="4" t="n">
        <v>1376.25</v>
      </c>
      <c r="H289" s="3" t="n">
        <v>45994</v>
      </c>
      <c r="I289" s="3" t="n">
        <v>46054</v>
      </c>
      <c r="J289" s="2" t="n">
        <v>12</v>
      </c>
      <c r="K289" s="2" t="n">
        <v>48.57</v>
      </c>
      <c r="L289" s="2" t="n">
        <v>1.02</v>
      </c>
      <c r="M289" s="4" t="n">
        <v>14.04</v>
      </c>
      <c r="N289" s="4" t="n">
        <v>22.28</v>
      </c>
      <c r="O289" s="2" t="n">
        <v>40</v>
      </c>
      <c r="P289" s="4" t="n">
        <v>5.67</v>
      </c>
      <c r="Q289" s="4" t="n">
        <v>8.630000000000001</v>
      </c>
      <c r="R289" s="4">
        <f>G289*(L289/100)*(O289/100)</f>
        <v/>
      </c>
      <c r="S289" s="4">
        <f>G289*(K289/360/100)*J289*(O289/100)</f>
        <v/>
      </c>
      <c r="T289" s="4">
        <f>P289-R289+Q289-S289</f>
        <v/>
      </c>
    </row>
    <row r="290">
      <c r="A290" s="2" t="inlineStr">
        <is>
          <t>Oro</t>
        </is>
      </c>
      <c r="B290" s="2" t="inlineStr">
        <is>
          <t>Amarillo</t>
        </is>
      </c>
      <c r="C290" s="3" t="n">
        <v>46027</v>
      </c>
      <c r="D290" s="2" t="inlineStr">
        <is>
          <t>A61568053</t>
        </is>
      </c>
      <c r="E290" s="2" t="inlineStr">
        <is>
          <t>Motores Do…</t>
        </is>
      </c>
      <c r="F290" s="2" t="n">
        <v>1467234</v>
      </c>
      <c r="G290" s="4" t="n">
        <v>226.51</v>
      </c>
      <c r="H290" s="3" t="n">
        <v>46001</v>
      </c>
      <c r="I290" s="3" t="n">
        <v>46122</v>
      </c>
      <c r="J290" s="2" t="n">
        <v>83</v>
      </c>
      <c r="K290" s="2" t="n">
        <v>33.51</v>
      </c>
      <c r="L290" s="2" t="n">
        <v>1.01</v>
      </c>
      <c r="M290" s="4" t="n">
        <v>2.29</v>
      </c>
      <c r="N290" s="4" t="n">
        <v>17.5</v>
      </c>
      <c r="O290" s="2" t="n">
        <v>20</v>
      </c>
      <c r="P290" s="4" t="n">
        <v>0.21</v>
      </c>
      <c r="Q290" s="4" t="n">
        <v>3.48</v>
      </c>
      <c r="R290" s="4">
        <f>G290*(L290/100)*(O290/100)</f>
        <v/>
      </c>
      <c r="S290" s="4">
        <f>G290*(K290/360/100)*J290*(O290/100)</f>
        <v/>
      </c>
      <c r="T290" s="4">
        <f>P290-R290+Q290-S290</f>
        <v/>
      </c>
    </row>
    <row r="291">
      <c r="A291" s="2" t="inlineStr">
        <is>
          <t>Oro</t>
        </is>
      </c>
      <c r="B291" s="2" t="inlineStr">
        <is>
          <t>Amarillo</t>
        </is>
      </c>
      <c r="C291" s="3" t="n">
        <v>46027</v>
      </c>
      <c r="D291" s="2" t="inlineStr">
        <is>
          <t>A11123351</t>
        </is>
      </c>
      <c r="E291" s="2" t="inlineStr">
        <is>
          <t>Harinas Ce…</t>
        </is>
      </c>
      <c r="F291" s="2" t="n">
        <v>4261598</v>
      </c>
      <c r="G291" s="4" t="n">
        <v>803.46</v>
      </c>
      <c r="H291" s="3" t="n">
        <v>45998</v>
      </c>
      <c r="I291" s="3" t="n">
        <v>46044</v>
      </c>
      <c r="J291" s="2" t="n">
        <v>73</v>
      </c>
      <c r="K291" s="2" t="n">
        <v>10.81</v>
      </c>
      <c r="L291" s="2" t="n">
        <v>2.35</v>
      </c>
      <c r="M291" s="4" t="n">
        <v>18.88</v>
      </c>
      <c r="N291" s="4" t="n">
        <v>17.61</v>
      </c>
      <c r="O291" s="2" t="n">
        <v>30</v>
      </c>
      <c r="P291" s="4" t="n">
        <v>5.38</v>
      </c>
      <c r="Q291" s="4" t="n">
        <v>5.08</v>
      </c>
      <c r="R291" s="4">
        <f>G291*(L291/100)*(O291/100)</f>
        <v/>
      </c>
      <c r="S291" s="4">
        <f>G291*(K291/360/100)*J291*(O291/100)</f>
        <v/>
      </c>
      <c r="T291" s="4">
        <f>P291-R291+Q291-S291</f>
        <v/>
      </c>
    </row>
    <row r="292">
      <c r="A292" s="2" t="inlineStr">
        <is>
          <t>Oro</t>
        </is>
      </c>
      <c r="B292" s="2" t="inlineStr">
        <is>
          <t>Amarillo</t>
        </is>
      </c>
      <c r="C292" s="3" t="n">
        <v>46027</v>
      </c>
      <c r="D292" s="2" t="inlineStr">
        <is>
          <t>A94521830</t>
        </is>
      </c>
      <c r="E292" s="2" t="inlineStr">
        <is>
          <t>Colas Refr…</t>
        </is>
      </c>
      <c r="F292" s="2" t="n">
        <v>3025783</v>
      </c>
      <c r="G292" s="4" t="n">
        <v>718.77</v>
      </c>
      <c r="H292" s="3" t="n">
        <v>45997</v>
      </c>
      <c r="I292" s="3" t="n">
        <v>46050</v>
      </c>
      <c r="J292" s="2" t="n">
        <v>74</v>
      </c>
      <c r="K292" s="2" t="n">
        <v>17.12</v>
      </c>
      <c r="L292" s="2" t="n">
        <v>0.86</v>
      </c>
      <c r="M292" s="4" t="n">
        <v>6.18</v>
      </c>
      <c r="N292" s="4" t="n">
        <v>25.29</v>
      </c>
      <c r="O292" s="2" t="n">
        <v>30</v>
      </c>
      <c r="P292" s="4" t="n">
        <v>1.81</v>
      </c>
      <c r="Q292" s="4" t="n">
        <v>7.71</v>
      </c>
      <c r="R292" s="4">
        <f>G292*(L292/100)*(O292/100)</f>
        <v/>
      </c>
      <c r="S292" s="4">
        <f>G292*(K292/360/100)*J292*(O292/100)</f>
        <v/>
      </c>
      <c r="T292" s="4">
        <f>P292-R292+Q292-S292</f>
        <v/>
      </c>
    </row>
    <row r="293">
      <c r="A293" s="2" t="inlineStr">
        <is>
          <t>Oro</t>
        </is>
      </c>
      <c r="B293" s="2" t="inlineStr">
        <is>
          <t>Amarillo</t>
        </is>
      </c>
      <c r="C293" s="3" t="n">
        <v>46027</v>
      </c>
      <c r="D293" s="2" t="inlineStr">
        <is>
          <t>B18749690</t>
        </is>
      </c>
      <c r="E293" s="2" t="inlineStr">
        <is>
          <t>Tinturas Ex…</t>
        </is>
      </c>
      <c r="F293" s="2" t="n">
        <v>4910510</v>
      </c>
      <c r="G293" s="4" t="n">
        <v>142.48</v>
      </c>
      <c r="H293" s="3" t="n">
        <v>46009</v>
      </c>
      <c r="I293" s="3" t="n">
        <v>46201</v>
      </c>
      <c r="J293" s="2" t="n">
        <v>59</v>
      </c>
      <c r="K293" s="2" t="n">
        <v>46.25</v>
      </c>
      <c r="L293" s="2" t="n">
        <v>1.27</v>
      </c>
      <c r="M293" s="4" t="n">
        <v>1.81</v>
      </c>
      <c r="N293" s="4" t="n">
        <v>10.8</v>
      </c>
      <c r="O293" s="2" t="n">
        <v>40</v>
      </c>
      <c r="P293" s="4" t="n">
        <v>0.98</v>
      </c>
      <c r="Q293" s="4" t="n">
        <v>4.08</v>
      </c>
      <c r="R293" s="4">
        <f>G293*(L293/100)*(O293/100)</f>
        <v/>
      </c>
      <c r="S293" s="4">
        <f>G293*(K293/360/100)*J293*(O293/100)</f>
        <v/>
      </c>
      <c r="T293" s="4">
        <f>P293-R293+Q293-S293</f>
        <v/>
      </c>
    </row>
    <row r="294">
      <c r="A294" s="2" t="inlineStr">
        <is>
          <t>Oro</t>
        </is>
      </c>
      <c r="B294" s="2" t="inlineStr">
        <is>
          <t>Amarillo</t>
        </is>
      </c>
      <c r="C294" s="3" t="n">
        <v>46027</v>
      </c>
      <c r="D294" s="2" t="inlineStr">
        <is>
          <t>B86895555</t>
        </is>
      </c>
      <c r="E294" s="2" t="inlineStr">
        <is>
          <t>Celulosas…</t>
        </is>
      </c>
      <c r="F294" s="2" t="n">
        <v>3072808</v>
      </c>
      <c r="G294" s="4" t="n">
        <v>155.8</v>
      </c>
      <c r="H294" s="3" t="n">
        <v>46006</v>
      </c>
      <c r="I294" s="3" t="n">
        <v>46130</v>
      </c>
      <c r="J294" s="2" t="n">
        <v>48</v>
      </c>
      <c r="K294" s="2" t="n">
        <v>18.54</v>
      </c>
      <c r="L294" s="2" t="n">
        <v>1.48</v>
      </c>
      <c r="M294" s="4" t="n">
        <v>2.31</v>
      </c>
      <c r="N294" s="4" t="n">
        <v>3.85</v>
      </c>
      <c r="O294" s="2" t="n">
        <v>40</v>
      </c>
      <c r="P294" s="4" t="n">
        <v>0.65</v>
      </c>
      <c r="Q294" s="4" t="n">
        <v>1.44</v>
      </c>
      <c r="R294" s="4">
        <f>G294*(L294/100)*(O294/100)</f>
        <v/>
      </c>
      <c r="S294" s="4">
        <f>G294*(K294/360/100)*J294*(O294/100)</f>
        <v/>
      </c>
      <c r="T294" s="4">
        <f>P294-R294+Q294-S294</f>
        <v/>
      </c>
    </row>
    <row r="295">
      <c r="A295" s="2" t="inlineStr">
        <is>
          <t>Oro</t>
        </is>
      </c>
      <c r="B295" s="2" t="inlineStr">
        <is>
          <t>Amarillo</t>
        </is>
      </c>
      <c r="C295" s="3" t="n">
        <v>46027</v>
      </c>
      <c r="D295" s="2" t="inlineStr">
        <is>
          <t>A30503948</t>
        </is>
      </c>
      <c r="E295" s="2" t="inlineStr">
        <is>
          <t>Sustratos H…</t>
        </is>
      </c>
      <c r="F295" s="2" t="n">
        <v>4013839</v>
      </c>
      <c r="G295" s="4" t="n">
        <v>468.54</v>
      </c>
      <c r="H295" s="3" t="n">
        <v>46019</v>
      </c>
      <c r="I295" s="3" t="n">
        <v>46061</v>
      </c>
      <c r="J295" s="2" t="n">
        <v>77</v>
      </c>
      <c r="K295" s="2" t="n">
        <v>27.2</v>
      </c>
      <c r="L295" s="2" t="n">
        <v>0.82</v>
      </c>
      <c r="M295" s="4" t="n">
        <v>3.84</v>
      </c>
      <c r="N295" s="4" t="n">
        <v>27.26</v>
      </c>
      <c r="O295" s="2" t="n">
        <v>30</v>
      </c>
      <c r="P295" s="4" t="n">
        <v>1.05</v>
      </c>
      <c r="Q295" s="4" t="n">
        <v>8.42</v>
      </c>
      <c r="R295" s="4">
        <f>G295*(L295/100)*(O295/100)</f>
        <v/>
      </c>
      <c r="S295" s="4">
        <f>G295*(K295/360/100)*J295*(O295/100)</f>
        <v/>
      </c>
      <c r="T295" s="4">
        <f>P295-R295+Q295-S295</f>
        <v/>
      </c>
    </row>
    <row r="296">
      <c r="A296" s="2" t="inlineStr">
        <is>
          <t>Oro</t>
        </is>
      </c>
      <c r="B296" s="2" t="inlineStr">
        <is>
          <t>Amarillo</t>
        </is>
      </c>
      <c r="C296" s="3" t="n">
        <v>46027</v>
      </c>
      <c r="D296" s="2" t="inlineStr">
        <is>
          <t>B65585843</t>
        </is>
      </c>
      <c r="E296" s="2" t="inlineStr">
        <is>
          <t>Fluoruros P…</t>
        </is>
      </c>
      <c r="F296" s="2" t="n">
        <v>3755145</v>
      </c>
      <c r="G296" s="4" t="n">
        <v>690.85</v>
      </c>
      <c r="H296" s="3" t="n">
        <v>45998</v>
      </c>
      <c r="I296" s="3" t="n">
        <v>46188</v>
      </c>
      <c r="J296" s="2" t="n">
        <v>15</v>
      </c>
      <c r="K296" s="2" t="n">
        <v>39.41</v>
      </c>
      <c r="L296" s="2" t="n">
        <v>1.11</v>
      </c>
      <c r="M296" s="4" t="n">
        <v>7.67</v>
      </c>
      <c r="N296" s="4" t="n">
        <v>11.34</v>
      </c>
      <c r="O296" s="2" t="n">
        <v>50</v>
      </c>
      <c r="P296" s="4" t="n">
        <v>3.59</v>
      </c>
      <c r="Q296" s="4" t="n">
        <v>5.83</v>
      </c>
      <c r="R296" s="4">
        <f>G296*(L296/100)*(O296/100)</f>
        <v/>
      </c>
      <c r="S296" s="4">
        <f>G296*(K296/360/100)*J296*(O296/100)</f>
        <v/>
      </c>
      <c r="T296" s="4">
        <f>P296-R296+Q296-S296</f>
        <v/>
      </c>
    </row>
    <row r="297">
      <c r="A297" s="2" t="inlineStr">
        <is>
          <t>Oro</t>
        </is>
      </c>
      <c r="B297" s="2" t="inlineStr">
        <is>
          <t>Amarillo</t>
        </is>
      </c>
      <c r="C297" s="3" t="n">
        <v>46027</v>
      </c>
      <c r="D297" s="2" t="inlineStr">
        <is>
          <t>B30455039</t>
        </is>
      </c>
      <c r="E297" s="2" t="inlineStr">
        <is>
          <t>Cables Mul…</t>
        </is>
      </c>
      <c r="F297" s="2" t="n">
        <v>1862846</v>
      </c>
      <c r="G297" s="4" t="n">
        <v>2107.19</v>
      </c>
      <c r="H297" s="3" t="n">
        <v>46013</v>
      </c>
      <c r="I297" s="3" t="n">
        <v>46170</v>
      </c>
      <c r="J297" s="2" t="n">
        <v>43</v>
      </c>
      <c r="K297" s="2" t="n">
        <v>37.48</v>
      </c>
      <c r="L297" s="2" t="n">
        <v>2.74</v>
      </c>
      <c r="M297" s="4" t="n">
        <v>57.74</v>
      </c>
      <c r="N297" s="4" t="n">
        <v>94.33</v>
      </c>
      <c r="O297" s="2" t="n">
        <v>40</v>
      </c>
      <c r="P297" s="4" t="n">
        <v>23.17</v>
      </c>
      <c r="Q297" s="4" t="n">
        <v>37.46</v>
      </c>
      <c r="R297" s="4">
        <f>G297*(L297/100)*(O297/100)</f>
        <v/>
      </c>
      <c r="S297" s="4">
        <f>G297*(K297/360/100)*J297*(O297/100)</f>
        <v/>
      </c>
      <c r="T297" s="4">
        <f>P297-R297+Q297-S297</f>
        <v/>
      </c>
    </row>
    <row r="298">
      <c r="A298" s="2" t="inlineStr">
        <is>
          <t>Oro</t>
        </is>
      </c>
      <c r="B298" s="2" t="inlineStr">
        <is>
          <t>Amarillo</t>
        </is>
      </c>
      <c r="C298" s="3" t="n">
        <v>46027</v>
      </c>
      <c r="D298" s="2" t="inlineStr">
        <is>
          <t>A44254780</t>
        </is>
      </c>
      <c r="E298" s="2" t="inlineStr">
        <is>
          <t>Saborizant…</t>
        </is>
      </c>
      <c r="F298" s="2" t="n">
        <v>1058538</v>
      </c>
      <c r="G298" s="4" t="n">
        <v>224.36</v>
      </c>
      <c r="H298" s="3" t="n">
        <v>46008</v>
      </c>
      <c r="I298" s="3" t="n">
        <v>46133</v>
      </c>
      <c r="J298" s="2" t="n">
        <v>66</v>
      </c>
      <c r="K298" s="2" t="n">
        <v>14.9</v>
      </c>
      <c r="L298" s="2" t="n">
        <v>1.19</v>
      </c>
      <c r="M298" s="4" t="n">
        <v>2.67</v>
      </c>
      <c r="N298" s="4" t="n">
        <v>6.13</v>
      </c>
      <c r="O298" s="2" t="n">
        <v>60</v>
      </c>
      <c r="P298" s="4" t="n">
        <v>1.69</v>
      </c>
      <c r="Q298" s="4" t="n">
        <v>3.52</v>
      </c>
      <c r="R298" s="4">
        <f>G298*(L298/100)*(O298/100)</f>
        <v/>
      </c>
      <c r="S298" s="4">
        <f>G298*(K298/360/100)*J298*(O298/100)</f>
        <v/>
      </c>
      <c r="T298" s="4">
        <f>P298-R298+Q298-S298</f>
        <v/>
      </c>
    </row>
    <row r="299">
      <c r="A299" s="2" t="inlineStr">
        <is>
          <t>Oro</t>
        </is>
      </c>
      <c r="B299" s="2" t="inlineStr">
        <is>
          <t>Amarillo</t>
        </is>
      </c>
      <c r="C299" s="3" t="n">
        <v>46027</v>
      </c>
      <c r="D299" s="2" t="inlineStr">
        <is>
          <t>A23855489</t>
        </is>
      </c>
      <c r="E299" s="2" t="inlineStr">
        <is>
          <t>Harinas Atl…</t>
        </is>
      </c>
      <c r="F299" s="2" t="n">
        <v>1290593</v>
      </c>
      <c r="G299" s="4" t="n">
        <v>716.61</v>
      </c>
      <c r="H299" s="3" t="n">
        <v>45996</v>
      </c>
      <c r="I299" s="3" t="n">
        <v>46045</v>
      </c>
      <c r="J299" s="2" t="n">
        <v>34</v>
      </c>
      <c r="K299" s="2" t="n">
        <v>13.25</v>
      </c>
      <c r="L299" s="2" t="n">
        <v>2.23</v>
      </c>
      <c r="M299" s="4" t="n">
        <v>15.98</v>
      </c>
      <c r="N299" s="4" t="n">
        <v>8.970000000000001</v>
      </c>
      <c r="O299" s="2" t="n">
        <v>70</v>
      </c>
      <c r="P299" s="4" t="n">
        <v>11.48</v>
      </c>
      <c r="Q299" s="4" t="n">
        <v>6.55</v>
      </c>
      <c r="R299" s="4">
        <f>G299*(L299/100)*(O299/100)</f>
        <v/>
      </c>
      <c r="S299" s="4">
        <f>G299*(K299/360/100)*J299*(O299/100)</f>
        <v/>
      </c>
      <c r="T299" s="4">
        <f>P299-R299+Q299-S299</f>
        <v/>
      </c>
    </row>
    <row r="300">
      <c r="A300" s="2" t="inlineStr">
        <is>
          <t>Oro</t>
        </is>
      </c>
      <c r="B300" s="2" t="inlineStr">
        <is>
          <t>Amarillo</t>
        </is>
      </c>
      <c r="C300" s="3" t="n">
        <v>46027</v>
      </c>
      <c r="D300" s="2" t="inlineStr">
        <is>
          <t>B00755270</t>
        </is>
      </c>
      <c r="E300" s="2" t="inlineStr">
        <is>
          <t>Bauxitas E…</t>
        </is>
      </c>
      <c r="F300" s="2" t="n">
        <v>4210390</v>
      </c>
      <c r="G300" s="4" t="n">
        <v>686.52</v>
      </c>
      <c r="H300" s="3" t="n">
        <v>46017</v>
      </c>
      <c r="I300" s="3" t="n">
        <v>46095</v>
      </c>
      <c r="J300" s="2" t="n">
        <v>37</v>
      </c>
      <c r="K300" s="2" t="n">
        <v>14.91</v>
      </c>
      <c r="L300" s="2" t="n">
        <v>2.54</v>
      </c>
      <c r="M300" s="4" t="n">
        <v>17.44</v>
      </c>
      <c r="N300" s="4" t="n">
        <v>10.52</v>
      </c>
      <c r="O300" s="2" t="n">
        <v>20</v>
      </c>
      <c r="P300" s="4" t="n">
        <v>3.23</v>
      </c>
      <c r="Q300" s="4" t="n">
        <v>1.91</v>
      </c>
      <c r="R300" s="4">
        <f>G300*(L300/100)*(O300/100)</f>
        <v/>
      </c>
      <c r="S300" s="4">
        <f>G300*(K300/360/100)*J300*(O300/100)</f>
        <v/>
      </c>
      <c r="T300" s="4">
        <f>P300-R300+Q300-S300</f>
        <v/>
      </c>
    </row>
    <row r="301">
      <c r="A301" s="2" t="inlineStr">
        <is>
          <t>Oro</t>
        </is>
      </c>
      <c r="B301" s="2" t="inlineStr">
        <is>
          <t>Amarillo</t>
        </is>
      </c>
      <c r="C301" s="3" t="n">
        <v>46027</v>
      </c>
      <c r="D301" s="2" t="inlineStr">
        <is>
          <t>B56898139</t>
        </is>
      </c>
      <c r="E301" s="2" t="inlineStr">
        <is>
          <t>Rectificado…</t>
        </is>
      </c>
      <c r="F301" s="2" t="n">
        <v>4337447</v>
      </c>
      <c r="G301" s="4" t="n">
        <v>194.79</v>
      </c>
      <c r="H301" s="3" t="n">
        <v>45997</v>
      </c>
      <c r="I301" s="3" t="n">
        <v>46175</v>
      </c>
      <c r="J301" s="2" t="n">
        <v>88</v>
      </c>
      <c r="K301" s="2" t="n">
        <v>19.82</v>
      </c>
      <c r="L301" s="2" t="n">
        <v>1.53</v>
      </c>
      <c r="M301" s="4" t="n">
        <v>2.98</v>
      </c>
      <c r="N301" s="4" t="n">
        <v>9.44</v>
      </c>
      <c r="O301" s="2" t="n">
        <v>40</v>
      </c>
      <c r="P301" s="4" t="n">
        <v>1.12</v>
      </c>
      <c r="Q301" s="4" t="n">
        <v>3.8</v>
      </c>
      <c r="R301" s="4">
        <f>G301*(L301/100)*(O301/100)</f>
        <v/>
      </c>
      <c r="S301" s="4">
        <f>G301*(K301/360/100)*J301*(O301/100)</f>
        <v/>
      </c>
      <c r="T301" s="4">
        <f>P301-R301+Q301-S301</f>
        <v/>
      </c>
    </row>
    <row r="302">
      <c r="A302" s="2" t="inlineStr">
        <is>
          <t>Oro</t>
        </is>
      </c>
      <c r="B302" s="2" t="inlineStr">
        <is>
          <t>Amarillo</t>
        </is>
      </c>
      <c r="C302" s="3" t="n">
        <v>46027</v>
      </c>
      <c r="D302" s="2" t="inlineStr">
        <is>
          <t>A12373125</t>
        </is>
      </c>
      <c r="E302" s="2" t="inlineStr">
        <is>
          <t>Tejas Com…</t>
        </is>
      </c>
      <c r="F302" s="2" t="n">
        <v>3153184</v>
      </c>
      <c r="G302" s="4" t="n">
        <v>828.2</v>
      </c>
      <c r="H302" s="3" t="n">
        <v>46007</v>
      </c>
      <c r="I302" s="3" t="n">
        <v>46196</v>
      </c>
      <c r="J302" s="2" t="n">
        <v>48</v>
      </c>
      <c r="K302" s="2" t="n">
        <v>47.71</v>
      </c>
      <c r="L302" s="2" t="n">
        <v>1.86</v>
      </c>
      <c r="M302" s="4" t="n">
        <v>15.4</v>
      </c>
      <c r="N302" s="4" t="n">
        <v>52.68</v>
      </c>
      <c r="O302" s="2" t="n">
        <v>70</v>
      </c>
      <c r="P302" s="4" t="n">
        <v>10.98</v>
      </c>
      <c r="Q302" s="4" t="n">
        <v>37.15</v>
      </c>
      <c r="R302" s="4">
        <f>G302*(L302/100)*(O302/100)</f>
        <v/>
      </c>
      <c r="S302" s="4">
        <f>G302*(K302/360/100)*J302*(O302/100)</f>
        <v/>
      </c>
      <c r="T302" s="4">
        <f>P302-R302+Q302-S302</f>
        <v/>
      </c>
    </row>
    <row r="303">
      <c r="A303" s="2" t="inlineStr">
        <is>
          <t>Oro</t>
        </is>
      </c>
      <c r="B303" s="2" t="inlineStr">
        <is>
          <t>Amarillo</t>
        </is>
      </c>
      <c r="C303" s="3" t="n">
        <v>46027</v>
      </c>
      <c r="D303" s="2" t="inlineStr">
        <is>
          <t>B80087530</t>
        </is>
      </c>
      <c r="E303" s="2" t="inlineStr">
        <is>
          <t>Convertidor…</t>
        </is>
      </c>
      <c r="F303" s="2" t="n">
        <v>1296443</v>
      </c>
      <c r="G303" s="4" t="n">
        <v>7749.48</v>
      </c>
      <c r="H303" s="3" t="n">
        <v>46014</v>
      </c>
      <c r="I303" s="3" t="n">
        <v>46181</v>
      </c>
      <c r="J303" s="2" t="n">
        <v>52</v>
      </c>
      <c r="K303" s="2" t="n">
        <v>28.91</v>
      </c>
      <c r="L303" s="2" t="n">
        <v>2.46</v>
      </c>
      <c r="M303" s="4" t="n">
        <v>190.64</v>
      </c>
      <c r="N303" s="4" t="n">
        <v>323.61</v>
      </c>
      <c r="O303" s="2" t="n">
        <v>50</v>
      </c>
      <c r="P303" s="4" t="n">
        <v>95.22</v>
      </c>
      <c r="Q303" s="4" t="n">
        <v>161.88</v>
      </c>
      <c r="R303" s="4">
        <f>G303*(L303/100)*(O303/100)</f>
        <v/>
      </c>
      <c r="S303" s="4">
        <f>G303*(K303/360/100)*J303*(O303/100)</f>
        <v/>
      </c>
      <c r="T303" s="4">
        <f>P303-R303+Q303-S303</f>
        <v/>
      </c>
    </row>
    <row r="304">
      <c r="A304" s="2" t="inlineStr">
        <is>
          <t>Oro</t>
        </is>
      </c>
      <c r="B304" s="2" t="inlineStr">
        <is>
          <t>Amarillo</t>
        </is>
      </c>
      <c r="C304" s="3" t="n">
        <v>46027</v>
      </c>
      <c r="D304" s="2" t="inlineStr">
        <is>
          <t>B31847530</t>
        </is>
      </c>
      <c r="E304" s="2" t="inlineStr">
        <is>
          <t>Precursore…</t>
        </is>
      </c>
      <c r="F304" s="2" t="n">
        <v>4629421</v>
      </c>
      <c r="G304" s="4" t="n">
        <v>741.97</v>
      </c>
      <c r="H304" s="3" t="n">
        <v>45995</v>
      </c>
      <c r="I304" s="3" t="n">
        <v>46072</v>
      </c>
      <c r="J304" s="2" t="n">
        <v>15</v>
      </c>
      <c r="K304" s="2" t="n">
        <v>27.95</v>
      </c>
      <c r="L304" s="2" t="n">
        <v>2.27</v>
      </c>
      <c r="M304" s="4" t="n">
        <v>16.84</v>
      </c>
      <c r="N304" s="4" t="n">
        <v>8.640000000000001</v>
      </c>
      <c r="O304" s="2" t="n">
        <v>60</v>
      </c>
      <c r="P304" s="4" t="n">
        <v>9.91</v>
      </c>
      <c r="Q304" s="4" t="n">
        <v>5.38</v>
      </c>
      <c r="R304" s="4">
        <f>G304*(L304/100)*(O304/100)</f>
        <v/>
      </c>
      <c r="S304" s="4">
        <f>G304*(K304/360/100)*J304*(O304/100)</f>
        <v/>
      </c>
      <c r="T304" s="4">
        <f>P304-R304+Q304-S304</f>
        <v/>
      </c>
    </row>
    <row r="305">
      <c r="A305" s="2" t="inlineStr">
        <is>
          <t>Oro</t>
        </is>
      </c>
      <c r="B305" s="2" t="inlineStr">
        <is>
          <t>Amarillo</t>
        </is>
      </c>
      <c r="C305" s="3" t="n">
        <v>46027</v>
      </c>
      <c r="D305" s="2" t="inlineStr">
        <is>
          <t>A46655315</t>
        </is>
      </c>
      <c r="E305" s="2" t="inlineStr">
        <is>
          <t>Hilaturas M…</t>
        </is>
      </c>
      <c r="F305" s="2" t="n">
        <v>1615452</v>
      </c>
      <c r="G305" s="4" t="n">
        <v>5327.69</v>
      </c>
      <c r="H305" s="3" t="n">
        <v>45997</v>
      </c>
      <c r="I305" s="3" t="n">
        <v>46092</v>
      </c>
      <c r="J305" s="2" t="n">
        <v>48</v>
      </c>
      <c r="K305" s="2" t="n">
        <v>41.54</v>
      </c>
      <c r="L305" s="2" t="n">
        <v>2.73</v>
      </c>
      <c r="M305" s="4" t="n">
        <v>145.45</v>
      </c>
      <c r="N305" s="4" t="n">
        <v>295.08</v>
      </c>
      <c r="O305" s="2" t="n">
        <v>50</v>
      </c>
      <c r="P305" s="4" t="n">
        <v>72.93000000000001</v>
      </c>
      <c r="Q305" s="4" t="n">
        <v>147.68</v>
      </c>
      <c r="R305" s="4">
        <f>G305*(L305/100)*(O305/100)</f>
        <v/>
      </c>
      <c r="S305" s="4">
        <f>G305*(K305/360/100)*J305*(O305/100)</f>
        <v/>
      </c>
      <c r="T305" s="4">
        <f>P305-R305+Q305-S305</f>
        <v/>
      </c>
    </row>
    <row r="306">
      <c r="A306" s="2" t="inlineStr">
        <is>
          <t>Oro</t>
        </is>
      </c>
      <c r="B306" s="2" t="inlineStr">
        <is>
          <t>Amarillo</t>
        </is>
      </c>
      <c r="C306" s="3" t="n">
        <v>46027</v>
      </c>
      <c r="D306" s="2" t="inlineStr">
        <is>
          <t>B07291666</t>
        </is>
      </c>
      <c r="E306" s="2" t="inlineStr">
        <is>
          <t>Poliésteres…</t>
        </is>
      </c>
      <c r="F306" s="2" t="n">
        <v>3438168</v>
      </c>
      <c r="G306" s="4" t="n">
        <v>895.88</v>
      </c>
      <c r="H306" s="3" t="n">
        <v>46004</v>
      </c>
      <c r="I306" s="3" t="n">
        <v>46064</v>
      </c>
      <c r="J306" s="2" t="n">
        <v>30</v>
      </c>
      <c r="K306" s="2" t="n">
        <v>47.39</v>
      </c>
      <c r="L306" s="2" t="n">
        <v>1.4</v>
      </c>
      <c r="M306" s="4" t="n">
        <v>12.54</v>
      </c>
      <c r="N306" s="4" t="n">
        <v>35.38</v>
      </c>
      <c r="O306" s="2" t="n">
        <v>60</v>
      </c>
      <c r="P306" s="4" t="n">
        <v>7.34</v>
      </c>
      <c r="Q306" s="4" t="n">
        <v>20.95</v>
      </c>
      <c r="R306" s="4">
        <f>G306*(L306/100)*(O306/100)</f>
        <v/>
      </c>
      <c r="S306" s="4">
        <f>G306*(K306/360/100)*J306*(O306/100)</f>
        <v/>
      </c>
      <c r="T306" s="4">
        <f>P306-R306+Q306-S306</f>
        <v/>
      </c>
    </row>
    <row r="307">
      <c r="A307" s="2" t="inlineStr">
        <is>
          <t>Oro</t>
        </is>
      </c>
      <c r="B307" s="2" t="inlineStr">
        <is>
          <t>Amarillo</t>
        </is>
      </c>
      <c r="C307" s="3" t="n">
        <v>46027</v>
      </c>
      <c r="D307" s="2" t="inlineStr">
        <is>
          <t>A90912344</t>
        </is>
      </c>
      <c r="E307" s="2" t="inlineStr">
        <is>
          <t>Electrodos…</t>
        </is>
      </c>
      <c r="F307" s="2" t="n">
        <v>2294458</v>
      </c>
      <c r="G307" s="4" t="n">
        <v>702.5599999999999</v>
      </c>
      <c r="H307" s="3" t="n">
        <v>45997</v>
      </c>
      <c r="I307" s="3" t="n">
        <v>46120</v>
      </c>
      <c r="J307" s="2" t="n">
        <v>71</v>
      </c>
      <c r="K307" s="2" t="n">
        <v>27.07</v>
      </c>
      <c r="L307" s="2" t="n">
        <v>1.92</v>
      </c>
      <c r="M307" s="4" t="n">
        <v>13.49</v>
      </c>
      <c r="N307" s="4" t="n">
        <v>37.51</v>
      </c>
      <c r="O307" s="2" t="n">
        <v>20</v>
      </c>
      <c r="P307" s="4" t="n">
        <v>2.99</v>
      </c>
      <c r="Q307" s="4" t="n">
        <v>7.6</v>
      </c>
      <c r="R307" s="4">
        <f>G307*(L307/100)*(O307/100)</f>
        <v/>
      </c>
      <c r="S307" s="4">
        <f>G307*(K307/360/100)*J307*(O307/100)</f>
        <v/>
      </c>
      <c r="T307" s="4">
        <f>P307-R307+Q307-S307</f>
        <v/>
      </c>
    </row>
    <row r="308">
      <c r="A308" s="2" t="inlineStr">
        <is>
          <t>Oro</t>
        </is>
      </c>
      <c r="B308" s="2" t="inlineStr">
        <is>
          <t>Amarillo</t>
        </is>
      </c>
      <c r="C308" s="3" t="n">
        <v>46027</v>
      </c>
      <c r="D308" s="2" t="inlineStr">
        <is>
          <t>B00755270</t>
        </is>
      </c>
      <c r="E308" s="2" t="inlineStr">
        <is>
          <t>Bauxitas E…</t>
        </is>
      </c>
      <c r="F308" s="2" t="n">
        <v>2186146</v>
      </c>
      <c r="G308" s="4" t="n">
        <v>756.92</v>
      </c>
      <c r="H308" s="3" t="n">
        <v>46012</v>
      </c>
      <c r="I308" s="3" t="n">
        <v>46194</v>
      </c>
      <c r="J308" s="2" t="n">
        <v>71</v>
      </c>
      <c r="K308" s="2" t="n">
        <v>42.77</v>
      </c>
      <c r="L308" s="2" t="n">
        <v>0.51</v>
      </c>
      <c r="M308" s="4" t="n">
        <v>3.86</v>
      </c>
      <c r="N308" s="4" t="n">
        <v>63.85</v>
      </c>
      <c r="O308" s="2" t="n">
        <v>30</v>
      </c>
      <c r="P308" s="4" t="n">
        <v>1.23</v>
      </c>
      <c r="Q308" s="4" t="n">
        <v>19.18</v>
      </c>
      <c r="R308" s="4">
        <f>G308*(L308/100)*(O308/100)</f>
        <v/>
      </c>
      <c r="S308" s="4">
        <f>G308*(K308/360/100)*J308*(O308/100)</f>
        <v/>
      </c>
      <c r="T308" s="4">
        <f>P308-R308+Q308-S308</f>
        <v/>
      </c>
    </row>
    <row r="309">
      <c r="A309" s="2" t="inlineStr">
        <is>
          <t>Oro</t>
        </is>
      </c>
      <c r="B309" s="2" t="inlineStr">
        <is>
          <t>Amarillo</t>
        </is>
      </c>
      <c r="C309" s="3" t="n">
        <v>46027</v>
      </c>
      <c r="D309" s="2" t="inlineStr">
        <is>
          <t>A74106243</t>
        </is>
      </c>
      <c r="E309" s="2" t="inlineStr">
        <is>
          <t>Celulosas…</t>
        </is>
      </c>
      <c r="F309" s="2" t="n">
        <v>3914876</v>
      </c>
      <c r="G309" s="4" t="n">
        <v>740.42</v>
      </c>
      <c r="H309" s="3" t="n">
        <v>46005</v>
      </c>
      <c r="I309" s="3" t="n">
        <v>46108</v>
      </c>
      <c r="J309" s="2" t="n">
        <v>41</v>
      </c>
      <c r="K309" s="2" t="n">
        <v>49.49</v>
      </c>
      <c r="L309" s="2" t="n">
        <v>1.92</v>
      </c>
      <c r="M309" s="4" t="n">
        <v>14.22</v>
      </c>
      <c r="N309" s="4" t="n">
        <v>41.73</v>
      </c>
      <c r="O309" s="2" t="n">
        <v>70</v>
      </c>
      <c r="P309" s="4" t="n">
        <v>9.76</v>
      </c>
      <c r="Q309" s="4" t="n">
        <v>29.39</v>
      </c>
      <c r="R309" s="4">
        <f>G309*(L309/100)*(O309/100)</f>
        <v/>
      </c>
      <c r="S309" s="4">
        <f>G309*(K309/360/100)*J309*(O309/100)</f>
        <v/>
      </c>
      <c r="T309" s="4">
        <f>P309-R309+Q309-S309</f>
        <v/>
      </c>
    </row>
    <row r="310">
      <c r="A310" s="2" t="inlineStr">
        <is>
          <t>Oro</t>
        </is>
      </c>
      <c r="B310" s="2" t="inlineStr">
        <is>
          <t>Amarillo</t>
        </is>
      </c>
      <c r="C310" s="3" t="n">
        <v>46027</v>
      </c>
      <c r="D310" s="2" t="inlineStr">
        <is>
          <t>B21061059</t>
        </is>
      </c>
      <c r="E310" s="2" t="inlineStr">
        <is>
          <t>Disolventes…</t>
        </is>
      </c>
      <c r="F310" s="2" t="n">
        <v>1751373</v>
      </c>
      <c r="G310" s="4" t="n">
        <v>231.4</v>
      </c>
      <c r="H310" s="3" t="n">
        <v>46001</v>
      </c>
      <c r="I310" s="3" t="n">
        <v>46069</v>
      </c>
      <c r="J310" s="2" t="n">
        <v>49</v>
      </c>
      <c r="K310" s="2" t="n">
        <v>23.97</v>
      </c>
      <c r="L310" s="2" t="n">
        <v>1.84</v>
      </c>
      <c r="M310" s="4" t="n">
        <v>4.26</v>
      </c>
      <c r="N310" s="4" t="n">
        <v>7.55</v>
      </c>
      <c r="O310" s="2" t="n">
        <v>50</v>
      </c>
      <c r="P310" s="4" t="n">
        <v>2.3</v>
      </c>
      <c r="Q310" s="4" t="n">
        <v>3.51</v>
      </c>
      <c r="R310" s="4">
        <f>G310*(L310/100)*(O310/100)</f>
        <v/>
      </c>
      <c r="S310" s="4">
        <f>G310*(K310/360/100)*J310*(O310/100)</f>
        <v/>
      </c>
      <c r="T310" s="4">
        <f>P310-R310+Q310-S310</f>
        <v/>
      </c>
    </row>
    <row r="311">
      <c r="A311" s="2" t="inlineStr">
        <is>
          <t>Oro</t>
        </is>
      </c>
      <c r="B311" s="2" t="inlineStr">
        <is>
          <t>Amarillo</t>
        </is>
      </c>
      <c r="C311" s="3" t="n">
        <v>46027</v>
      </c>
      <c r="D311" s="2" t="inlineStr">
        <is>
          <t>B65881267</t>
        </is>
      </c>
      <c r="E311" s="2" t="inlineStr">
        <is>
          <t>Siropes Ho…</t>
        </is>
      </c>
      <c r="F311" s="2" t="n">
        <v>3900134</v>
      </c>
      <c r="G311" s="4" t="n">
        <v>2786.9</v>
      </c>
      <c r="H311" s="3" t="n">
        <v>46008</v>
      </c>
      <c r="I311" s="3" t="n">
        <v>46176</v>
      </c>
      <c r="J311" s="2" t="n">
        <v>51</v>
      </c>
      <c r="K311" s="2" t="n">
        <v>16.59</v>
      </c>
      <c r="L311" s="2" t="n">
        <v>1.88</v>
      </c>
      <c r="M311" s="4" t="n">
        <v>52.39</v>
      </c>
      <c r="N311" s="4" t="n">
        <v>65.5</v>
      </c>
      <c r="O311" s="2" t="n">
        <v>20</v>
      </c>
      <c r="P311" s="4" t="n">
        <v>10.38</v>
      </c>
      <c r="Q311" s="4" t="n">
        <v>13</v>
      </c>
      <c r="R311" s="4">
        <f>G311*(L311/100)*(O311/100)</f>
        <v/>
      </c>
      <c r="S311" s="4">
        <f>G311*(K311/360/100)*J311*(O311/100)</f>
        <v/>
      </c>
      <c r="T311" s="4">
        <f>P311-R311+Q311-S311</f>
        <v/>
      </c>
    </row>
    <row r="312">
      <c r="A312" s="2" t="inlineStr">
        <is>
          <t>Oro</t>
        </is>
      </c>
      <c r="B312" s="2" t="inlineStr">
        <is>
          <t>Amarillo</t>
        </is>
      </c>
      <c r="C312" s="3" t="n">
        <v>46027</v>
      </c>
      <c r="D312" s="2" t="inlineStr">
        <is>
          <t>B15687725</t>
        </is>
      </c>
      <c r="E312" s="2" t="inlineStr">
        <is>
          <t>Relés Cons…</t>
        </is>
      </c>
      <c r="F312" s="2" t="n">
        <v>4278206</v>
      </c>
      <c r="G312" s="4" t="n">
        <v>9791.360000000001</v>
      </c>
      <c r="H312" s="3" t="n">
        <v>46002</v>
      </c>
      <c r="I312" s="3" t="n">
        <v>46195</v>
      </c>
      <c r="J312" s="2" t="n">
        <v>26</v>
      </c>
      <c r="K312" s="2" t="n">
        <v>31.61</v>
      </c>
      <c r="L312" s="2" t="n">
        <v>2.02</v>
      </c>
      <c r="M312" s="4" t="n">
        <v>197.79</v>
      </c>
      <c r="N312" s="4" t="n">
        <v>223.53</v>
      </c>
      <c r="O312" s="2" t="n">
        <v>60</v>
      </c>
      <c r="P312" s="4" t="n">
        <v>118.74</v>
      </c>
      <c r="Q312" s="4" t="n">
        <v>134.04</v>
      </c>
      <c r="R312" s="4">
        <f>G312*(L312/100)*(O312/100)</f>
        <v/>
      </c>
      <c r="S312" s="4">
        <f>G312*(K312/360/100)*J312*(O312/100)</f>
        <v/>
      </c>
      <c r="T312" s="4">
        <f>P312-R312+Q312-S312</f>
        <v/>
      </c>
    </row>
    <row r="313">
      <c r="A313" s="2" t="inlineStr">
        <is>
          <t>Oro</t>
        </is>
      </c>
      <c r="B313" s="2" t="inlineStr">
        <is>
          <t>Amarillo</t>
        </is>
      </c>
      <c r="C313" s="3" t="n">
        <v>46027</v>
      </c>
      <c r="D313" s="2" t="inlineStr">
        <is>
          <t>A94663659</t>
        </is>
      </c>
      <c r="E313" s="2" t="inlineStr">
        <is>
          <t>Adoquines…</t>
        </is>
      </c>
      <c r="F313" s="2" t="n">
        <v>2290074</v>
      </c>
      <c r="G313" s="4" t="n">
        <v>628.3200000000001</v>
      </c>
      <c r="H313" s="3" t="n">
        <v>46014</v>
      </c>
      <c r="I313" s="3" t="n">
        <v>46126</v>
      </c>
      <c r="J313" s="2" t="n">
        <v>64</v>
      </c>
      <c r="K313" s="2" t="n">
        <v>31.57</v>
      </c>
      <c r="L313" s="2" t="n">
        <v>2.02</v>
      </c>
      <c r="M313" s="4" t="n">
        <v>12.69</v>
      </c>
      <c r="N313" s="4" t="n">
        <v>35.26</v>
      </c>
      <c r="O313" s="2" t="n">
        <v>30</v>
      </c>
      <c r="P313" s="4" t="n">
        <v>4.02</v>
      </c>
      <c r="Q313" s="4" t="n">
        <v>10.75</v>
      </c>
      <c r="R313" s="4">
        <f>G313*(L313/100)*(O313/100)</f>
        <v/>
      </c>
      <c r="S313" s="4">
        <f>G313*(K313/360/100)*J313*(O313/100)</f>
        <v/>
      </c>
      <c r="T313" s="4">
        <f>P313-R313+Q313-S313</f>
        <v/>
      </c>
    </row>
    <row r="314">
      <c r="A314" s="2" t="inlineStr">
        <is>
          <t>Oro</t>
        </is>
      </c>
      <c r="B314" s="2" t="inlineStr">
        <is>
          <t>Amarillo</t>
        </is>
      </c>
      <c r="C314" s="3" t="n">
        <v>46027</v>
      </c>
      <c r="D314" s="2" t="inlineStr">
        <is>
          <t>A63628922</t>
        </is>
      </c>
      <c r="E314" s="2" t="inlineStr">
        <is>
          <t>Auditorías…</t>
        </is>
      </c>
      <c r="F314" s="2" t="n">
        <v>2420585</v>
      </c>
      <c r="G314" s="4" t="n">
        <v>158.58</v>
      </c>
      <c r="H314" s="3" t="n">
        <v>45998</v>
      </c>
      <c r="I314" s="3" t="n">
        <v>46106</v>
      </c>
      <c r="J314" s="2" t="n">
        <v>57</v>
      </c>
      <c r="K314" s="2" t="n">
        <v>38</v>
      </c>
      <c r="L314" s="2" t="n">
        <v>0.72</v>
      </c>
      <c r="M314" s="4" t="n">
        <v>1.14</v>
      </c>
      <c r="N314" s="4" t="n">
        <v>9.539999999999999</v>
      </c>
      <c r="O314" s="2" t="n">
        <v>20</v>
      </c>
      <c r="P314" s="4" t="n">
        <v>0.43</v>
      </c>
      <c r="Q314" s="4" t="n">
        <v>2.17</v>
      </c>
      <c r="R314" s="4">
        <f>G314*(L314/100)*(O314/100)</f>
        <v/>
      </c>
      <c r="S314" s="4">
        <f>G314*(K314/360/100)*J314*(O314/100)</f>
        <v/>
      </c>
      <c r="T314" s="4">
        <f>P314-R314+Q314-S314</f>
        <v/>
      </c>
    </row>
    <row r="315">
      <c r="A315" s="2" t="inlineStr">
        <is>
          <t>Oro</t>
        </is>
      </c>
      <c r="B315" s="2" t="inlineStr">
        <is>
          <t>Amarillo</t>
        </is>
      </c>
      <c r="C315" s="3" t="n">
        <v>46027</v>
      </c>
      <c r="D315" s="2" t="inlineStr">
        <is>
          <t>A76206578</t>
        </is>
      </c>
      <c r="E315" s="2" t="inlineStr">
        <is>
          <t>Paneles Pe…</t>
        </is>
      </c>
      <c r="F315" s="2" t="n">
        <v>4301440</v>
      </c>
      <c r="G315" s="4" t="n">
        <v>4710.35</v>
      </c>
      <c r="H315" s="3" t="n">
        <v>46018</v>
      </c>
      <c r="I315" s="3" t="n">
        <v>46188</v>
      </c>
      <c r="J315" s="2" t="n">
        <v>69</v>
      </c>
      <c r="K315" s="2" t="n">
        <v>10.65</v>
      </c>
      <c r="L315" s="2" t="n">
        <v>1.38</v>
      </c>
      <c r="M315" s="4" t="n">
        <v>65</v>
      </c>
      <c r="N315" s="4" t="n">
        <v>96.15000000000001</v>
      </c>
      <c r="O315" s="2" t="n">
        <v>40</v>
      </c>
      <c r="P315" s="4" t="n">
        <v>26.01</v>
      </c>
      <c r="Q315" s="4" t="n">
        <v>38.32</v>
      </c>
      <c r="R315" s="4">
        <f>G315*(L315/100)*(O315/100)</f>
        <v/>
      </c>
      <c r="S315" s="4">
        <f>G315*(K315/360/100)*J315*(O315/100)</f>
        <v/>
      </c>
      <c r="T315" s="4">
        <f>P315-R315+Q315-S315</f>
        <v/>
      </c>
    </row>
    <row r="316">
      <c r="A316" s="2" t="inlineStr">
        <is>
          <t>Oro</t>
        </is>
      </c>
      <c r="B316" s="2" t="inlineStr">
        <is>
          <t>Amarillo</t>
        </is>
      </c>
      <c r="C316" s="3" t="n">
        <v>46027</v>
      </c>
      <c r="D316" s="2" t="inlineStr">
        <is>
          <t>B82570616</t>
        </is>
      </c>
      <c r="E316" s="2" t="inlineStr">
        <is>
          <t>Colorantes…</t>
        </is>
      </c>
      <c r="F316" s="2" t="n">
        <v>4867537</v>
      </c>
      <c r="G316" s="4" t="n">
        <v>213.4</v>
      </c>
      <c r="H316" s="3" t="n">
        <v>45996</v>
      </c>
      <c r="I316" s="3" t="n">
        <v>46191</v>
      </c>
      <c r="J316" s="2" t="n">
        <v>20</v>
      </c>
      <c r="K316" s="2" t="n">
        <v>41.44</v>
      </c>
      <c r="L316" s="2" t="n">
        <v>1.58</v>
      </c>
      <c r="M316" s="4" t="n">
        <v>3.37</v>
      </c>
      <c r="N316" s="4" t="n">
        <v>4.91</v>
      </c>
      <c r="O316" s="2" t="n">
        <v>60</v>
      </c>
      <c r="P316" s="4" t="n">
        <v>2.12</v>
      </c>
      <c r="Q316" s="4" t="n">
        <v>2.68</v>
      </c>
      <c r="R316" s="4">
        <f>G316*(L316/100)*(O316/100)</f>
        <v/>
      </c>
      <c r="S316" s="4">
        <f>G316*(K316/360/100)*J316*(O316/100)</f>
        <v/>
      </c>
      <c r="T316" s="4">
        <f>P316-R316+Q316-S316</f>
        <v/>
      </c>
    </row>
    <row r="317">
      <c r="A317" s="2" t="inlineStr">
        <is>
          <t>Oro</t>
        </is>
      </c>
      <c r="B317" s="2" t="inlineStr">
        <is>
          <t>Amarillo</t>
        </is>
      </c>
      <c r="C317" s="3" t="n">
        <v>46027</v>
      </c>
      <c r="D317" s="2" t="inlineStr">
        <is>
          <t>A28060446</t>
        </is>
      </c>
      <c r="E317" s="2" t="inlineStr">
        <is>
          <t>Granos Elá…</t>
        </is>
      </c>
      <c r="F317" s="2" t="n">
        <v>4123892</v>
      </c>
      <c r="G317" s="4" t="n">
        <v>194.38</v>
      </c>
      <c r="H317" s="3" t="n">
        <v>46017</v>
      </c>
      <c r="I317" s="3" t="n">
        <v>46151</v>
      </c>
      <c r="J317" s="2" t="n">
        <v>76</v>
      </c>
      <c r="K317" s="2" t="n">
        <v>43.17</v>
      </c>
      <c r="L317" s="2" t="n">
        <v>2.7</v>
      </c>
      <c r="M317" s="4" t="n">
        <v>5.25</v>
      </c>
      <c r="N317" s="4" t="n">
        <v>17.72</v>
      </c>
      <c r="O317" s="2" t="n">
        <v>60</v>
      </c>
      <c r="P317" s="4" t="n">
        <v>3.42</v>
      </c>
      <c r="Q317" s="4" t="n">
        <v>10.34</v>
      </c>
      <c r="R317" s="4">
        <f>G317*(L317/100)*(O317/100)</f>
        <v/>
      </c>
      <c r="S317" s="4">
        <f>G317*(K317/360/100)*J317*(O317/100)</f>
        <v/>
      </c>
      <c r="T317" s="4">
        <f>P317-R317+Q317-S317</f>
        <v/>
      </c>
    </row>
    <row r="318">
      <c r="A318" s="2" t="inlineStr">
        <is>
          <t>Oro</t>
        </is>
      </c>
      <c r="B318" s="2" t="inlineStr">
        <is>
          <t>Amarillo</t>
        </is>
      </c>
      <c r="C318" s="3" t="n">
        <v>46027</v>
      </c>
      <c r="D318" s="2" t="inlineStr">
        <is>
          <t>B07073880</t>
        </is>
      </c>
      <c r="E318" s="2" t="inlineStr">
        <is>
          <t>Ferrosos Ci…</t>
        </is>
      </c>
      <c r="F318" s="2" t="n">
        <v>4520615</v>
      </c>
      <c r="G318" s="4" t="n">
        <v>423.74</v>
      </c>
      <c r="H318" s="3" t="n">
        <v>46006</v>
      </c>
      <c r="I318" s="3" t="n">
        <v>46130</v>
      </c>
      <c r="J318" s="2" t="n">
        <v>83</v>
      </c>
      <c r="K318" s="2" t="n">
        <v>37.34</v>
      </c>
      <c r="L318" s="2" t="n">
        <v>0.73</v>
      </c>
      <c r="M318" s="4" t="n">
        <v>3.09</v>
      </c>
      <c r="N318" s="4" t="n">
        <v>36.48</v>
      </c>
      <c r="O318" s="2" t="n">
        <v>70</v>
      </c>
      <c r="P318" s="4" t="n">
        <v>2.42</v>
      </c>
      <c r="Q318" s="4" t="n">
        <v>25.63</v>
      </c>
      <c r="R318" s="4">
        <f>G318*(L318/100)*(O318/100)</f>
        <v/>
      </c>
      <c r="S318" s="4">
        <f>G318*(K318/360/100)*J318*(O318/100)</f>
        <v/>
      </c>
      <c r="T318" s="4">
        <f>P318-R318+Q318-S318</f>
        <v/>
      </c>
    </row>
    <row r="319">
      <c r="A319" s="2" t="inlineStr">
        <is>
          <t>Oro</t>
        </is>
      </c>
      <c r="B319" s="2" t="inlineStr">
        <is>
          <t>Amarillo</t>
        </is>
      </c>
      <c r="C319" s="3" t="n">
        <v>46027</v>
      </c>
      <c r="D319" s="2" t="inlineStr">
        <is>
          <t>B43920097</t>
        </is>
      </c>
      <c r="E319" s="2" t="inlineStr">
        <is>
          <t>Cartones P…</t>
        </is>
      </c>
      <c r="F319" s="2" t="n">
        <v>4611123</v>
      </c>
      <c r="G319" s="4" t="n">
        <v>541.5</v>
      </c>
      <c r="H319" s="3" t="n">
        <v>46003</v>
      </c>
      <c r="I319" s="3" t="n">
        <v>46128</v>
      </c>
      <c r="J319" s="2" t="n">
        <v>52</v>
      </c>
      <c r="K319" s="2" t="n">
        <v>12.7</v>
      </c>
      <c r="L319" s="2" t="n">
        <v>2.22</v>
      </c>
      <c r="M319" s="4" t="n">
        <v>12.02</v>
      </c>
      <c r="N319" s="4" t="n">
        <v>9.93</v>
      </c>
      <c r="O319" s="2" t="n">
        <v>30</v>
      </c>
      <c r="P319" s="4" t="n">
        <v>3.47</v>
      </c>
      <c r="Q319" s="4" t="n">
        <v>3.05</v>
      </c>
      <c r="R319" s="4">
        <f>G319*(L319/100)*(O319/100)</f>
        <v/>
      </c>
      <c r="S319" s="4">
        <f>G319*(K319/360/100)*J319*(O319/100)</f>
        <v/>
      </c>
      <c r="T319" s="4">
        <f>P319-R319+Q319-S319</f>
        <v/>
      </c>
    </row>
    <row r="320">
      <c r="A320" s="2" t="inlineStr">
        <is>
          <t>Oro</t>
        </is>
      </c>
      <c r="B320" s="2" t="inlineStr">
        <is>
          <t>Amarillo</t>
        </is>
      </c>
      <c r="C320" s="3" t="n">
        <v>46027</v>
      </c>
      <c r="D320" s="2" t="inlineStr">
        <is>
          <t>B34710294</t>
        </is>
      </c>
      <c r="E320" s="2" t="inlineStr">
        <is>
          <t>Tarimas Ca…</t>
        </is>
      </c>
      <c r="F320" s="2" t="n">
        <v>3648940</v>
      </c>
      <c r="G320" s="4" t="n">
        <v>4912.99</v>
      </c>
      <c r="H320" s="3" t="n">
        <v>46018</v>
      </c>
      <c r="I320" s="3" t="n">
        <v>46136</v>
      </c>
      <c r="J320" s="2" t="n">
        <v>70</v>
      </c>
      <c r="K320" s="2" t="n">
        <v>26.36</v>
      </c>
      <c r="L320" s="2" t="n">
        <v>1.74</v>
      </c>
      <c r="M320" s="4" t="n">
        <v>85.48999999999999</v>
      </c>
      <c r="N320" s="4" t="n">
        <v>251.82</v>
      </c>
      <c r="O320" s="2" t="n">
        <v>50</v>
      </c>
      <c r="P320" s="4" t="n">
        <v>42.56</v>
      </c>
      <c r="Q320" s="4" t="n">
        <v>126.09</v>
      </c>
      <c r="R320" s="4">
        <f>G320*(L320/100)*(O320/100)</f>
        <v/>
      </c>
      <c r="S320" s="4">
        <f>G320*(K320/360/100)*J320*(O320/100)</f>
        <v/>
      </c>
      <c r="T320" s="4">
        <f>P320-R320+Q320-S320</f>
        <v/>
      </c>
    </row>
    <row r="321">
      <c r="A321" s="2" t="inlineStr">
        <is>
          <t>Oro</t>
        </is>
      </c>
      <c r="B321" s="2" t="inlineStr">
        <is>
          <t>Amarillo</t>
        </is>
      </c>
      <c r="C321" s="3" t="n">
        <v>46027</v>
      </c>
      <c r="D321" s="2" t="inlineStr">
        <is>
          <t>B83741355</t>
        </is>
      </c>
      <c r="E321" s="2" t="inlineStr">
        <is>
          <t>Parquets Lí…</t>
        </is>
      </c>
      <c r="F321" s="2" t="n">
        <v>4779039</v>
      </c>
      <c r="G321" s="4" t="n">
        <v>426.18</v>
      </c>
      <c r="H321" s="3" t="n">
        <v>46007</v>
      </c>
      <c r="I321" s="3" t="n">
        <v>46043</v>
      </c>
      <c r="J321" s="2" t="n">
        <v>56</v>
      </c>
      <c r="K321" s="2" t="n">
        <v>21.15</v>
      </c>
      <c r="L321" s="2" t="n">
        <v>1.07</v>
      </c>
      <c r="M321" s="4" t="n">
        <v>4.56</v>
      </c>
      <c r="N321" s="4" t="n">
        <v>14.02</v>
      </c>
      <c r="O321" s="2" t="n">
        <v>40</v>
      </c>
      <c r="P321" s="4" t="n">
        <v>1.53</v>
      </c>
      <c r="Q321" s="4" t="n">
        <v>5.42</v>
      </c>
      <c r="R321" s="4">
        <f>G321*(L321/100)*(O321/100)</f>
        <v/>
      </c>
      <c r="S321" s="4">
        <f>G321*(K321/360/100)*J321*(O321/100)</f>
        <v/>
      </c>
      <c r="T321" s="4">
        <f>P321-R321+Q321-S321</f>
        <v/>
      </c>
    </row>
    <row r="322">
      <c r="A322" s="2" t="inlineStr">
        <is>
          <t>Oro</t>
        </is>
      </c>
      <c r="B322" s="2" t="inlineStr">
        <is>
          <t>Amarillo</t>
        </is>
      </c>
      <c r="C322" s="3" t="n">
        <v>46027</v>
      </c>
      <c r="D322" s="2" t="inlineStr">
        <is>
          <t>B23121122</t>
        </is>
      </c>
      <c r="E322" s="2" t="inlineStr">
        <is>
          <t>Proyectos I…</t>
        </is>
      </c>
      <c r="F322" s="2" t="n">
        <v>3331248</v>
      </c>
      <c r="G322" s="4" t="n">
        <v>9755.42</v>
      </c>
      <c r="H322" s="3" t="n">
        <v>46014</v>
      </c>
      <c r="I322" s="3" t="n">
        <v>46057</v>
      </c>
      <c r="J322" s="2" t="n">
        <v>81</v>
      </c>
      <c r="K322" s="2" t="n">
        <v>23</v>
      </c>
      <c r="L322" s="2" t="n">
        <v>0.78</v>
      </c>
      <c r="M322" s="4" t="n">
        <v>76.09</v>
      </c>
      <c r="N322" s="4" t="n">
        <v>504.84</v>
      </c>
      <c r="O322" s="2" t="n">
        <v>40</v>
      </c>
      <c r="P322" s="4" t="n">
        <v>30.66</v>
      </c>
      <c r="Q322" s="4" t="n">
        <v>201.97</v>
      </c>
      <c r="R322" s="4">
        <f>G322*(L322/100)*(O322/100)</f>
        <v/>
      </c>
      <c r="S322" s="4">
        <f>G322*(K322/360/100)*J322*(O322/100)</f>
        <v/>
      </c>
      <c r="T322" s="4">
        <f>P322-R322+Q322-S322</f>
        <v/>
      </c>
    </row>
    <row r="323">
      <c r="A323" s="2" t="inlineStr">
        <is>
          <t>Oro</t>
        </is>
      </c>
      <c r="B323" s="2" t="inlineStr">
        <is>
          <t>Amarillo</t>
        </is>
      </c>
      <c r="C323" s="3" t="n">
        <v>46027</v>
      </c>
      <c r="D323" s="2" t="inlineStr">
        <is>
          <t>B50666140</t>
        </is>
      </c>
      <c r="E323" s="2" t="inlineStr">
        <is>
          <t>Tractores C…</t>
        </is>
      </c>
      <c r="F323" s="2" t="n">
        <v>2708576</v>
      </c>
      <c r="G323" s="4" t="n">
        <v>2237.37</v>
      </c>
      <c r="H323" s="3" t="n">
        <v>46008</v>
      </c>
      <c r="I323" s="3" t="n">
        <v>46124</v>
      </c>
      <c r="J323" s="2" t="n">
        <v>70</v>
      </c>
      <c r="K323" s="2" t="n">
        <v>45.24</v>
      </c>
      <c r="L323" s="2" t="n">
        <v>1.97</v>
      </c>
      <c r="M323" s="4" t="n">
        <v>44.08</v>
      </c>
      <c r="N323" s="4" t="n">
        <v>196.81</v>
      </c>
      <c r="O323" s="2" t="n">
        <v>60</v>
      </c>
      <c r="P323" s="4" t="n">
        <v>26.53</v>
      </c>
      <c r="Q323" s="4" t="n">
        <v>118.26</v>
      </c>
      <c r="R323" s="4">
        <f>G323*(L323/100)*(O323/100)</f>
        <v/>
      </c>
      <c r="S323" s="4">
        <f>G323*(K323/360/100)*J323*(O323/100)</f>
        <v/>
      </c>
      <c r="T323" s="4">
        <f>P323-R323+Q323-S323</f>
        <v/>
      </c>
    </row>
    <row r="324">
      <c r="A324" s="2" t="inlineStr">
        <is>
          <t>Oro</t>
        </is>
      </c>
      <c r="B324" s="2" t="inlineStr">
        <is>
          <t>Amarillo</t>
        </is>
      </c>
      <c r="C324" s="3" t="n">
        <v>46027</v>
      </c>
      <c r="D324" s="2" t="inlineStr">
        <is>
          <t>A84327401</t>
        </is>
      </c>
      <c r="E324" s="2" t="inlineStr">
        <is>
          <t>Ladrillos Se…</t>
        </is>
      </c>
      <c r="F324" s="2" t="n">
        <v>1667041</v>
      </c>
      <c r="G324" s="4" t="n">
        <v>3975.08</v>
      </c>
      <c r="H324" s="3" t="n">
        <v>46016</v>
      </c>
      <c r="I324" s="3" t="n">
        <v>46096</v>
      </c>
      <c r="J324" s="2" t="n">
        <v>69</v>
      </c>
      <c r="K324" s="2" t="n">
        <v>12.12</v>
      </c>
      <c r="L324" s="2" t="n">
        <v>2.19</v>
      </c>
      <c r="M324" s="4" t="n">
        <v>87.05</v>
      </c>
      <c r="N324" s="4" t="n">
        <v>92.34</v>
      </c>
      <c r="O324" s="2" t="n">
        <v>20</v>
      </c>
      <c r="P324" s="4" t="n">
        <v>17.57</v>
      </c>
      <c r="Q324" s="4" t="n">
        <v>18.45</v>
      </c>
      <c r="R324" s="4">
        <f>G324*(L324/100)*(O324/100)</f>
        <v/>
      </c>
      <c r="S324" s="4">
        <f>G324*(K324/360/100)*J324*(O324/100)</f>
        <v/>
      </c>
      <c r="T324" s="4">
        <f>P324-R324+Q324-S324</f>
        <v/>
      </c>
    </row>
    <row r="325">
      <c r="A325" s="2" t="inlineStr">
        <is>
          <t>Oro</t>
        </is>
      </c>
      <c r="B325" s="2" t="inlineStr">
        <is>
          <t>Amarillo</t>
        </is>
      </c>
      <c r="C325" s="3" t="n">
        <v>46027</v>
      </c>
      <c r="D325" s="2" t="inlineStr">
        <is>
          <t>B89654455</t>
        </is>
      </c>
      <c r="E325" s="2" t="inlineStr">
        <is>
          <t>Generador…</t>
        </is>
      </c>
      <c r="F325" s="2" t="n">
        <v>1903440</v>
      </c>
      <c r="G325" s="4" t="n">
        <v>642.71</v>
      </c>
      <c r="H325" s="3" t="n">
        <v>45999</v>
      </c>
      <c r="I325" s="3" t="n">
        <v>46040</v>
      </c>
      <c r="J325" s="2" t="n">
        <v>24</v>
      </c>
      <c r="K325" s="2" t="n">
        <v>25.36</v>
      </c>
      <c r="L325" s="2" t="n">
        <v>0.5600000000000001</v>
      </c>
      <c r="M325" s="4" t="n">
        <v>3.6</v>
      </c>
      <c r="N325" s="4" t="n">
        <v>10.87</v>
      </c>
      <c r="O325" s="2" t="n">
        <v>30</v>
      </c>
      <c r="P325" s="4" t="n">
        <v>1.22</v>
      </c>
      <c r="Q325" s="4" t="n">
        <v>3.17</v>
      </c>
      <c r="R325" s="4">
        <f>G325*(L325/100)*(O325/100)</f>
        <v/>
      </c>
      <c r="S325" s="4">
        <f>G325*(K325/360/100)*J325*(O325/100)</f>
        <v/>
      </c>
      <c r="T325" s="4">
        <f>P325-R325+Q325-S325</f>
        <v/>
      </c>
    </row>
    <row r="326">
      <c r="A326" s="2" t="inlineStr">
        <is>
          <t>Oro</t>
        </is>
      </c>
      <c r="B326" s="2" t="inlineStr">
        <is>
          <t>Amarillo</t>
        </is>
      </c>
      <c r="C326" s="3" t="n">
        <v>46027</v>
      </c>
      <c r="D326" s="2" t="inlineStr">
        <is>
          <t>B55595910</t>
        </is>
      </c>
      <c r="E326" s="2" t="inlineStr">
        <is>
          <t>Bridas Lim…</t>
        </is>
      </c>
      <c r="F326" s="2" t="n">
        <v>4637335</v>
      </c>
      <c r="G326" s="4" t="n">
        <v>240.16</v>
      </c>
      <c r="H326" s="3" t="n">
        <v>45994</v>
      </c>
      <c r="I326" s="3" t="n">
        <v>46023</v>
      </c>
      <c r="J326" s="2" t="n">
        <v>45</v>
      </c>
      <c r="K326" s="2" t="n">
        <v>21.02</v>
      </c>
      <c r="L326" s="2" t="n">
        <v>0.64</v>
      </c>
      <c r="M326" s="4" t="n">
        <v>1.54</v>
      </c>
      <c r="N326" s="4" t="n">
        <v>6.31</v>
      </c>
      <c r="O326" s="2" t="n">
        <v>70</v>
      </c>
      <c r="P326" s="4" t="n">
        <v>0.91</v>
      </c>
      <c r="Q326" s="4" t="n">
        <v>4.46</v>
      </c>
      <c r="R326" s="4">
        <f>G326*(L326/100)*(O326/100)</f>
        <v/>
      </c>
      <c r="S326" s="4">
        <f>G326*(K326/360/100)*J326*(O326/100)</f>
        <v/>
      </c>
      <c r="T326" s="4">
        <f>P326-R326+Q326-S326</f>
        <v/>
      </c>
    </row>
    <row r="327">
      <c r="A327" s="2" t="inlineStr">
        <is>
          <t>Oro</t>
        </is>
      </c>
      <c r="B327" s="2" t="inlineStr">
        <is>
          <t>Amarillo</t>
        </is>
      </c>
      <c r="C327" s="3" t="n">
        <v>46027</v>
      </c>
      <c r="D327" s="2" t="inlineStr">
        <is>
          <t>A28175548</t>
        </is>
      </c>
      <c r="E327" s="2" t="inlineStr">
        <is>
          <t>Cementos…</t>
        </is>
      </c>
      <c r="F327" s="2" t="n">
        <v>4371021</v>
      </c>
      <c r="G327" s="4" t="n">
        <v>476.12</v>
      </c>
      <c r="H327" s="3" t="n">
        <v>46006</v>
      </c>
      <c r="I327" s="3" t="n">
        <v>46049</v>
      </c>
      <c r="J327" s="2" t="n">
        <v>63</v>
      </c>
      <c r="K327" s="2" t="n">
        <v>45.48</v>
      </c>
      <c r="L327" s="2" t="n">
        <v>2.51</v>
      </c>
      <c r="M327" s="4" t="n">
        <v>11.95</v>
      </c>
      <c r="N327" s="4" t="n">
        <v>37.89</v>
      </c>
      <c r="O327" s="2" t="n">
        <v>60</v>
      </c>
      <c r="P327" s="4" t="n">
        <v>7.47</v>
      </c>
      <c r="Q327" s="4" t="n">
        <v>22.46</v>
      </c>
      <c r="R327" s="4">
        <f>G327*(L327/100)*(O327/100)</f>
        <v/>
      </c>
      <c r="S327" s="4">
        <f>G327*(K327/360/100)*J327*(O327/100)</f>
        <v/>
      </c>
      <c r="T327" s="4">
        <f>P327-R327+Q327-S327</f>
        <v/>
      </c>
    </row>
    <row r="328">
      <c r="A328" s="2" t="inlineStr">
        <is>
          <t>Oro</t>
        </is>
      </c>
      <c r="B328" s="2" t="inlineStr">
        <is>
          <t>Amarillo</t>
        </is>
      </c>
      <c r="C328" s="3" t="n">
        <v>46027</v>
      </c>
      <c r="D328" s="2" t="inlineStr">
        <is>
          <t>B38381423</t>
        </is>
      </c>
      <c r="E328" s="2" t="inlineStr">
        <is>
          <t>Aceros Pro…</t>
        </is>
      </c>
      <c r="F328" s="2" t="n">
        <v>2855061</v>
      </c>
      <c r="G328" s="4" t="n">
        <v>228.04</v>
      </c>
      <c r="H328" s="3" t="n">
        <v>45992</v>
      </c>
      <c r="I328" s="3" t="n">
        <v>46029</v>
      </c>
      <c r="J328" s="2" t="n">
        <v>36</v>
      </c>
      <c r="K328" s="2" t="n">
        <v>16.28</v>
      </c>
      <c r="L328" s="2" t="n">
        <v>0.9399999999999999</v>
      </c>
      <c r="M328" s="4" t="n">
        <v>2.14</v>
      </c>
      <c r="N328" s="4" t="n">
        <v>3.71</v>
      </c>
      <c r="O328" s="2" t="n">
        <v>70</v>
      </c>
      <c r="P328" s="4" t="n">
        <v>1.36</v>
      </c>
      <c r="Q328" s="4" t="n">
        <v>2.43</v>
      </c>
      <c r="R328" s="4">
        <f>G328*(L328/100)*(O328/100)</f>
        <v/>
      </c>
      <c r="S328" s="4">
        <f>G328*(K328/360/100)*J328*(O328/100)</f>
        <v/>
      </c>
      <c r="T328" s="4">
        <f>P328-R328+Q328-S328</f>
        <v/>
      </c>
    </row>
    <row r="329">
      <c r="A329" s="2" t="inlineStr">
        <is>
          <t>Oro</t>
        </is>
      </c>
      <c r="B329" s="2" t="inlineStr">
        <is>
          <t>Amarillo</t>
        </is>
      </c>
      <c r="C329" s="3" t="n">
        <v>46027</v>
      </c>
      <c r="D329" s="2" t="inlineStr">
        <is>
          <t>A88641215</t>
        </is>
      </c>
      <c r="E329" s="2" t="inlineStr">
        <is>
          <t>Adoquines…</t>
        </is>
      </c>
      <c r="F329" s="2" t="n">
        <v>1940181</v>
      </c>
      <c r="G329" s="4" t="n">
        <v>8290.200000000001</v>
      </c>
      <c r="H329" s="3" t="n">
        <v>46004</v>
      </c>
      <c r="I329" s="3" t="n">
        <v>46192</v>
      </c>
      <c r="J329" s="2" t="n">
        <v>23</v>
      </c>
      <c r="K329" s="2" t="n">
        <v>24.08</v>
      </c>
      <c r="L329" s="2" t="n">
        <v>1.16</v>
      </c>
      <c r="M329" s="4" t="n">
        <v>96.17</v>
      </c>
      <c r="N329" s="4" t="n">
        <v>127.54</v>
      </c>
      <c r="O329" s="2" t="n">
        <v>20</v>
      </c>
      <c r="P329" s="4" t="n">
        <v>19.53</v>
      </c>
      <c r="Q329" s="4" t="n">
        <v>25.68</v>
      </c>
      <c r="R329" s="4">
        <f>G329*(L329/100)*(O329/100)</f>
        <v/>
      </c>
      <c r="S329" s="4">
        <f>G329*(K329/360/100)*J329*(O329/100)</f>
        <v/>
      </c>
      <c r="T329" s="4">
        <f>P329-R329+Q329-S329</f>
        <v/>
      </c>
    </row>
    <row r="330">
      <c r="A330" s="2" t="inlineStr">
        <is>
          <t>Oro</t>
        </is>
      </c>
      <c r="B330" s="2" t="inlineStr">
        <is>
          <t>Amarillo</t>
        </is>
      </c>
      <c r="C330" s="3" t="n">
        <v>46027</v>
      </c>
      <c r="D330" s="2" t="inlineStr">
        <is>
          <t>A91178584</t>
        </is>
      </c>
      <c r="E330" s="2" t="inlineStr">
        <is>
          <t>Circuitos S…</t>
        </is>
      </c>
      <c r="F330" s="2" t="n">
        <v>2128325</v>
      </c>
      <c r="G330" s="4" t="n">
        <v>474.44</v>
      </c>
      <c r="H330" s="3" t="n">
        <v>46004</v>
      </c>
      <c r="I330" s="3" t="n">
        <v>46074</v>
      </c>
      <c r="J330" s="2" t="n">
        <v>70</v>
      </c>
      <c r="K330" s="2" t="n">
        <v>39.34</v>
      </c>
      <c r="L330" s="2" t="n">
        <v>2.44</v>
      </c>
      <c r="M330" s="4" t="n">
        <v>11.58</v>
      </c>
      <c r="N330" s="4" t="n">
        <v>36.29</v>
      </c>
      <c r="O330" s="2" t="n">
        <v>20</v>
      </c>
      <c r="P330" s="4" t="n">
        <v>2.51</v>
      </c>
      <c r="Q330" s="4" t="n">
        <v>7.31</v>
      </c>
      <c r="R330" s="4">
        <f>G330*(L330/100)*(O330/100)</f>
        <v/>
      </c>
      <c r="S330" s="4">
        <f>G330*(K330/360/100)*J330*(O330/100)</f>
        <v/>
      </c>
      <c r="T330" s="4">
        <f>P330-R330+Q330-S330</f>
        <v/>
      </c>
    </row>
    <row r="331">
      <c r="A331" s="2" t="inlineStr">
        <is>
          <t>Oro</t>
        </is>
      </c>
      <c r="B331" s="2" t="inlineStr">
        <is>
          <t>Amarillo</t>
        </is>
      </c>
      <c r="C331" s="3" t="n">
        <v>46027</v>
      </c>
      <c r="D331" s="2" t="inlineStr">
        <is>
          <t>A97986289</t>
        </is>
      </c>
      <c r="E331" s="2" t="inlineStr">
        <is>
          <t>Bronces Es…</t>
        </is>
      </c>
      <c r="F331" s="2" t="n">
        <v>1295577</v>
      </c>
      <c r="G331" s="4" t="n">
        <v>547.96</v>
      </c>
      <c r="H331" s="3" t="n">
        <v>46009</v>
      </c>
      <c r="I331" s="3" t="n">
        <v>46120</v>
      </c>
      <c r="J331" s="2" t="n">
        <v>22</v>
      </c>
      <c r="K331" s="2" t="n">
        <v>24.02</v>
      </c>
      <c r="L331" s="2" t="n">
        <v>1.44</v>
      </c>
      <c r="M331" s="4" t="n">
        <v>7.89</v>
      </c>
      <c r="N331" s="4" t="n">
        <v>8.039999999999999</v>
      </c>
      <c r="O331" s="2" t="n">
        <v>40</v>
      </c>
      <c r="P331" s="4" t="n">
        <v>2.97</v>
      </c>
      <c r="Q331" s="4" t="n">
        <v>3.25</v>
      </c>
      <c r="R331" s="4">
        <f>G331*(L331/100)*(O331/100)</f>
        <v/>
      </c>
      <c r="S331" s="4">
        <f>G331*(K331/360/100)*J331*(O331/100)</f>
        <v/>
      </c>
      <c r="T331" s="4">
        <f>P331-R331+Q331-S331</f>
        <v/>
      </c>
    </row>
    <row r="332">
      <c r="A332" s="2" t="inlineStr">
        <is>
          <t>Oro</t>
        </is>
      </c>
      <c r="B332" s="2" t="inlineStr">
        <is>
          <t>Amarillo</t>
        </is>
      </c>
      <c r="C332" s="3" t="n">
        <v>46027</v>
      </c>
      <c r="D332" s="2" t="inlineStr">
        <is>
          <t>A40233317</t>
        </is>
      </c>
      <c r="E332" s="2" t="inlineStr">
        <is>
          <t>Cuarzos La…</t>
        </is>
      </c>
      <c r="F332" s="2" t="n">
        <v>1393991</v>
      </c>
      <c r="G332" s="4" t="n">
        <v>959.42</v>
      </c>
      <c r="H332" s="3" t="n">
        <v>45997</v>
      </c>
      <c r="I332" s="3" t="n">
        <v>46179</v>
      </c>
      <c r="J332" s="2" t="n">
        <v>47</v>
      </c>
      <c r="K332" s="2" t="n">
        <v>13.72</v>
      </c>
      <c r="L332" s="2" t="n">
        <v>0.83</v>
      </c>
      <c r="M332" s="4" t="n">
        <v>7.96</v>
      </c>
      <c r="N332" s="4" t="n">
        <v>17.19</v>
      </c>
      <c r="O332" s="2" t="n">
        <v>30</v>
      </c>
      <c r="P332" s="4" t="n">
        <v>2.51</v>
      </c>
      <c r="Q332" s="4" t="n">
        <v>5.06</v>
      </c>
      <c r="R332" s="4">
        <f>G332*(L332/100)*(O332/100)</f>
        <v/>
      </c>
      <c r="S332" s="4">
        <f>G332*(K332/360/100)*J332*(O332/100)</f>
        <v/>
      </c>
      <c r="T332" s="4">
        <f>P332-R332+Q332-S332</f>
        <v/>
      </c>
    </row>
    <row r="333">
      <c r="A333" s="2" t="inlineStr">
        <is>
          <t>Oro</t>
        </is>
      </c>
      <c r="B333" s="2" t="inlineStr">
        <is>
          <t>Amarillo</t>
        </is>
      </c>
      <c r="C333" s="3" t="n">
        <v>46027</v>
      </c>
      <c r="D333" s="2" t="inlineStr">
        <is>
          <t>A53714136</t>
        </is>
      </c>
      <c r="E333" s="2" t="inlineStr">
        <is>
          <t>Granitos Gl…</t>
        </is>
      </c>
      <c r="F333" s="2" t="n">
        <v>4003691</v>
      </c>
      <c r="G333" s="4" t="n">
        <v>8380.879999999999</v>
      </c>
      <c r="H333" s="3" t="n">
        <v>46005</v>
      </c>
      <c r="I333" s="3" t="n">
        <v>46086</v>
      </c>
      <c r="J333" s="2" t="n">
        <v>58</v>
      </c>
      <c r="K333" s="2" t="n">
        <v>33.76</v>
      </c>
      <c r="L333" s="2" t="n">
        <v>0.5600000000000001</v>
      </c>
      <c r="M333" s="4" t="n">
        <v>46.93</v>
      </c>
      <c r="N333" s="4" t="n">
        <v>455.85</v>
      </c>
      <c r="O333" s="2" t="n">
        <v>20</v>
      </c>
      <c r="P333" s="4" t="n">
        <v>9.279999999999999</v>
      </c>
      <c r="Q333" s="4" t="n">
        <v>91.08</v>
      </c>
      <c r="R333" s="4">
        <f>G333*(L333/100)*(O333/100)</f>
        <v/>
      </c>
      <c r="S333" s="4">
        <f>G333*(K333/360/100)*J333*(O333/100)</f>
        <v/>
      </c>
      <c r="T333" s="4">
        <f>P333-R333+Q333-S333</f>
        <v/>
      </c>
    </row>
    <row r="334">
      <c r="A334" s="2" t="inlineStr">
        <is>
          <t>Oro</t>
        </is>
      </c>
      <c r="B334" s="2" t="inlineStr">
        <is>
          <t>Amarillo</t>
        </is>
      </c>
      <c r="C334" s="3" t="n">
        <v>46027</v>
      </c>
      <c r="D334" s="2" t="inlineStr">
        <is>
          <t>B99167751</t>
        </is>
      </c>
      <c r="E334" s="2" t="inlineStr">
        <is>
          <t>Procesos E…</t>
        </is>
      </c>
      <c r="F334" s="2" t="n">
        <v>4269539</v>
      </c>
      <c r="G334" s="4" t="n">
        <v>676.63</v>
      </c>
      <c r="H334" s="3" t="n">
        <v>46019</v>
      </c>
      <c r="I334" s="3" t="n">
        <v>46176</v>
      </c>
      <c r="J334" s="2" t="n">
        <v>87</v>
      </c>
      <c r="K334" s="2" t="n">
        <v>24.77</v>
      </c>
      <c r="L334" s="2" t="n">
        <v>2.33</v>
      </c>
      <c r="M334" s="4" t="n">
        <v>15.77</v>
      </c>
      <c r="N334" s="4" t="n">
        <v>40.5</v>
      </c>
      <c r="O334" s="2" t="n">
        <v>20</v>
      </c>
      <c r="P334" s="4" t="n">
        <v>3.04</v>
      </c>
      <c r="Q334" s="4" t="n">
        <v>8.24</v>
      </c>
      <c r="R334" s="4">
        <f>G334*(L334/100)*(O334/100)</f>
        <v/>
      </c>
      <c r="S334" s="4">
        <f>G334*(K334/360/100)*J334*(O334/100)</f>
        <v/>
      </c>
      <c r="T334" s="4">
        <f>P334-R334+Q334-S334</f>
        <v/>
      </c>
    </row>
    <row r="335">
      <c r="A335" s="2" t="inlineStr">
        <is>
          <t>Oro</t>
        </is>
      </c>
      <c r="B335" s="2" t="inlineStr">
        <is>
          <t>Amarillo</t>
        </is>
      </c>
      <c r="C335" s="3" t="n">
        <v>46027</v>
      </c>
      <c r="D335" s="2" t="inlineStr">
        <is>
          <t>A04550291</t>
        </is>
      </c>
      <c r="E335" s="2" t="inlineStr">
        <is>
          <t>Proteínas V…</t>
        </is>
      </c>
      <c r="F335" s="2" t="n">
        <v>1944906</v>
      </c>
      <c r="G335" s="4" t="n">
        <v>359.51</v>
      </c>
      <c r="H335" s="3" t="n">
        <v>46004</v>
      </c>
      <c r="I335" s="3" t="n">
        <v>46135</v>
      </c>
      <c r="J335" s="2" t="n">
        <v>43</v>
      </c>
      <c r="K335" s="2" t="n">
        <v>13.46</v>
      </c>
      <c r="L335" s="2" t="n">
        <v>1.89</v>
      </c>
      <c r="M335" s="4" t="n">
        <v>6.79</v>
      </c>
      <c r="N335" s="4" t="n">
        <v>5.78</v>
      </c>
      <c r="O335" s="2" t="n">
        <v>30</v>
      </c>
      <c r="P335" s="4" t="n">
        <v>2.24</v>
      </c>
      <c r="Q335" s="4" t="n">
        <v>1.75</v>
      </c>
      <c r="R335" s="4">
        <f>G335*(L335/100)*(O335/100)</f>
        <v/>
      </c>
      <c r="S335" s="4">
        <f>G335*(K335/360/100)*J335*(O335/100)</f>
        <v/>
      </c>
      <c r="T335" s="4">
        <f>P335-R335+Q335-S335</f>
        <v/>
      </c>
    </row>
    <row r="336">
      <c r="A336" s="2" t="inlineStr">
        <is>
          <t>Oro</t>
        </is>
      </c>
      <c r="B336" s="2" t="inlineStr">
        <is>
          <t>Amarillo</t>
        </is>
      </c>
      <c r="C336" s="3" t="n">
        <v>46027</v>
      </c>
      <c r="D336" s="2" t="inlineStr">
        <is>
          <t>A07060948</t>
        </is>
      </c>
      <c r="E336" s="2" t="inlineStr">
        <is>
          <t>Instalacion…</t>
        </is>
      </c>
      <c r="F336" s="2" t="n">
        <v>1583265</v>
      </c>
      <c r="G336" s="4" t="n">
        <v>611.08</v>
      </c>
      <c r="H336" s="3" t="n">
        <v>46005</v>
      </c>
      <c r="I336" s="3" t="n">
        <v>46032</v>
      </c>
      <c r="J336" s="2" t="n">
        <v>57</v>
      </c>
      <c r="K336" s="2" t="n">
        <v>33.3</v>
      </c>
      <c r="L336" s="2" t="n">
        <v>2.3</v>
      </c>
      <c r="M336" s="4" t="n">
        <v>14.05</v>
      </c>
      <c r="N336" s="4" t="n">
        <v>32.22</v>
      </c>
      <c r="O336" s="2" t="n">
        <v>70</v>
      </c>
      <c r="P336" s="4" t="n">
        <v>9.890000000000001</v>
      </c>
      <c r="Q336" s="4" t="n">
        <v>22.52</v>
      </c>
      <c r="R336" s="4">
        <f>G336*(L336/100)*(O336/100)</f>
        <v/>
      </c>
      <c r="S336" s="4">
        <f>G336*(K336/360/100)*J336*(O336/100)</f>
        <v/>
      </c>
      <c r="T336" s="4">
        <f>P336-R336+Q336-S336</f>
        <v/>
      </c>
    </row>
    <row r="337">
      <c r="A337" s="2" t="inlineStr">
        <is>
          <t>Oro</t>
        </is>
      </c>
      <c r="B337" s="2" t="inlineStr">
        <is>
          <t>Amarillo</t>
        </is>
      </c>
      <c r="C337" s="3" t="n">
        <v>46027</v>
      </c>
      <c r="D337" s="2" t="inlineStr">
        <is>
          <t>B70553437</t>
        </is>
      </c>
      <c r="E337" s="2" t="inlineStr">
        <is>
          <t>Tejidos Ind…</t>
        </is>
      </c>
      <c r="F337" s="2" t="n">
        <v>3247816</v>
      </c>
      <c r="G337" s="4" t="n">
        <v>308.32</v>
      </c>
      <c r="H337" s="3" t="n">
        <v>46002</v>
      </c>
      <c r="I337" s="3" t="n">
        <v>46195</v>
      </c>
      <c r="J337" s="2" t="n">
        <v>53</v>
      </c>
      <c r="K337" s="2" t="n">
        <v>21.18</v>
      </c>
      <c r="L337" s="2" t="n">
        <v>0.82</v>
      </c>
      <c r="M337" s="4" t="n">
        <v>2.53</v>
      </c>
      <c r="N337" s="4" t="n">
        <v>9.609999999999999</v>
      </c>
      <c r="O337" s="2" t="n">
        <v>40</v>
      </c>
      <c r="P337" s="4" t="n">
        <v>0.72</v>
      </c>
      <c r="Q337" s="4" t="n">
        <v>4.14</v>
      </c>
      <c r="R337" s="4">
        <f>G337*(L337/100)*(O337/100)</f>
        <v/>
      </c>
      <c r="S337" s="4">
        <f>G337*(K337/360/100)*J337*(O337/100)</f>
        <v/>
      </c>
      <c r="T337" s="4">
        <f>P337-R337+Q337-S337</f>
        <v/>
      </c>
    </row>
    <row r="338">
      <c r="A338" s="2" t="inlineStr">
        <is>
          <t>Oro</t>
        </is>
      </c>
      <c r="B338" s="2" t="inlineStr">
        <is>
          <t>Amarillo</t>
        </is>
      </c>
      <c r="C338" s="3" t="n">
        <v>46027</v>
      </c>
      <c r="D338" s="2" t="inlineStr">
        <is>
          <t>A87389155</t>
        </is>
      </c>
      <c r="E338" s="2" t="inlineStr">
        <is>
          <t>Bioresiduos…</t>
        </is>
      </c>
      <c r="F338" s="2" t="n">
        <v>1358454</v>
      </c>
      <c r="G338" s="4" t="n">
        <v>273.5</v>
      </c>
      <c r="H338" s="3" t="n">
        <v>46003</v>
      </c>
      <c r="I338" s="3" t="n">
        <v>46054</v>
      </c>
      <c r="J338" s="2" t="n">
        <v>68</v>
      </c>
      <c r="K338" s="2" t="n">
        <v>39</v>
      </c>
      <c r="L338" s="2" t="n">
        <v>0.88</v>
      </c>
      <c r="M338" s="4" t="n">
        <v>2.41</v>
      </c>
      <c r="N338" s="4" t="n">
        <v>20.15</v>
      </c>
      <c r="O338" s="2" t="n">
        <v>70</v>
      </c>
      <c r="P338" s="4" t="n">
        <v>1.44</v>
      </c>
      <c r="Q338" s="4" t="n">
        <v>14.05</v>
      </c>
      <c r="R338" s="4">
        <f>G338*(L338/100)*(O338/100)</f>
        <v/>
      </c>
      <c r="S338" s="4">
        <f>G338*(K338/360/100)*J338*(O338/100)</f>
        <v/>
      </c>
      <c r="T338" s="4">
        <f>P338-R338+Q338-S338</f>
        <v/>
      </c>
    </row>
    <row r="339">
      <c r="A339" s="2" t="inlineStr">
        <is>
          <t>Oro</t>
        </is>
      </c>
      <c r="B339" s="2" t="inlineStr">
        <is>
          <t>Amarillo</t>
        </is>
      </c>
      <c r="C339" s="3" t="n">
        <v>46027</v>
      </c>
      <c r="D339" s="2" t="inlineStr">
        <is>
          <t>A15344900</t>
        </is>
      </c>
      <c r="E339" s="2" t="inlineStr">
        <is>
          <t>Biocidas Es…</t>
        </is>
      </c>
      <c r="F339" s="2" t="n">
        <v>4845600</v>
      </c>
      <c r="G339" s="4" t="n">
        <v>465.31</v>
      </c>
      <c r="H339" s="3" t="n">
        <v>46013</v>
      </c>
      <c r="I339" s="3" t="n">
        <v>46166</v>
      </c>
      <c r="J339" s="2" t="n">
        <v>26</v>
      </c>
      <c r="K339" s="2" t="n">
        <v>27.16</v>
      </c>
      <c r="L339" s="2" t="n">
        <v>0.54</v>
      </c>
      <c r="M339" s="4" t="n">
        <v>2.51</v>
      </c>
      <c r="N339" s="4" t="n">
        <v>9.130000000000001</v>
      </c>
      <c r="O339" s="2" t="n">
        <v>50</v>
      </c>
      <c r="P339" s="4" t="n">
        <v>1.49</v>
      </c>
      <c r="Q339" s="4" t="n">
        <v>4.65</v>
      </c>
      <c r="R339" s="4">
        <f>G339*(L339/100)*(O339/100)</f>
        <v/>
      </c>
      <c r="S339" s="4">
        <f>G339*(K339/360/100)*J339*(O339/100)</f>
        <v/>
      </c>
      <c r="T339" s="4">
        <f>P339-R339+Q339-S339</f>
        <v/>
      </c>
    </row>
    <row r="340">
      <c r="A340" s="2" t="inlineStr">
        <is>
          <t>Oro</t>
        </is>
      </c>
      <c r="B340" s="2" t="inlineStr">
        <is>
          <t>Amarillo</t>
        </is>
      </c>
      <c r="C340" s="3" t="n">
        <v>46027</v>
      </c>
      <c r="D340" s="2" t="inlineStr">
        <is>
          <t>B13637077</t>
        </is>
      </c>
      <c r="E340" s="2" t="inlineStr">
        <is>
          <t>Tractores C…</t>
        </is>
      </c>
      <c r="F340" s="2" t="n">
        <v>3306299</v>
      </c>
      <c r="G340" s="4" t="n">
        <v>990.53</v>
      </c>
      <c r="H340" s="3" t="n">
        <v>46007</v>
      </c>
      <c r="I340" s="3" t="n">
        <v>46166</v>
      </c>
      <c r="J340" s="2" t="n">
        <v>56</v>
      </c>
      <c r="K340" s="2" t="n">
        <v>19.96</v>
      </c>
      <c r="L340" s="2" t="n">
        <v>1.16</v>
      </c>
      <c r="M340" s="4" t="n">
        <v>11.49</v>
      </c>
      <c r="N340" s="4" t="n">
        <v>30.75</v>
      </c>
      <c r="O340" s="2" t="n">
        <v>30</v>
      </c>
      <c r="P340" s="4" t="n">
        <v>3.15</v>
      </c>
      <c r="Q340" s="4" t="n">
        <v>9.5</v>
      </c>
      <c r="R340" s="4">
        <f>G340*(L340/100)*(O340/100)</f>
        <v/>
      </c>
      <c r="S340" s="4">
        <f>G340*(K340/360/100)*J340*(O340/100)</f>
        <v/>
      </c>
      <c r="T340" s="4">
        <f>P340-R340+Q340-S340</f>
        <v/>
      </c>
    </row>
    <row r="341">
      <c r="A341" s="2" t="inlineStr">
        <is>
          <t>Oro</t>
        </is>
      </c>
      <c r="B341" s="2" t="inlineStr">
        <is>
          <t>Amarillo</t>
        </is>
      </c>
      <c r="C341" s="3" t="n">
        <v>46027</v>
      </c>
      <c r="D341" s="2" t="inlineStr">
        <is>
          <t>A92050707</t>
        </is>
      </c>
      <c r="E341" s="2" t="inlineStr">
        <is>
          <t>Alcantarilla…</t>
        </is>
      </c>
      <c r="F341" s="2" t="n">
        <v>1991246</v>
      </c>
      <c r="G341" s="4" t="n">
        <v>788.64</v>
      </c>
      <c r="H341" s="3" t="n">
        <v>46011</v>
      </c>
      <c r="I341" s="3" t="n">
        <v>46134</v>
      </c>
      <c r="J341" s="2" t="n">
        <v>31</v>
      </c>
      <c r="K341" s="2" t="n">
        <v>34.89</v>
      </c>
      <c r="L341" s="2" t="n">
        <v>0.77</v>
      </c>
      <c r="M341" s="4" t="n">
        <v>6.07</v>
      </c>
      <c r="N341" s="4" t="n">
        <v>23.69</v>
      </c>
      <c r="O341" s="2" t="n">
        <v>70</v>
      </c>
      <c r="P341" s="4" t="n">
        <v>4.18</v>
      </c>
      <c r="Q341" s="4" t="n">
        <v>16.48</v>
      </c>
      <c r="R341" s="4">
        <f>G341*(L341/100)*(O341/100)</f>
        <v/>
      </c>
      <c r="S341" s="4">
        <f>G341*(K341/360/100)*J341*(O341/100)</f>
        <v/>
      </c>
      <c r="T341" s="4">
        <f>P341-R341+Q341-S341</f>
        <v/>
      </c>
    </row>
    <row r="342">
      <c r="A342" s="2" t="inlineStr">
        <is>
          <t>Oro</t>
        </is>
      </c>
      <c r="B342" s="2" t="inlineStr">
        <is>
          <t>Amarillo</t>
        </is>
      </c>
      <c r="C342" s="3" t="n">
        <v>46027</v>
      </c>
      <c r="D342" s="2" t="inlineStr">
        <is>
          <t>B80863469</t>
        </is>
      </c>
      <c r="E342" s="2" t="inlineStr">
        <is>
          <t>Filtrados A…</t>
        </is>
      </c>
      <c r="F342" s="2" t="n">
        <v>2083502</v>
      </c>
      <c r="G342" s="4" t="n">
        <v>742.86</v>
      </c>
      <c r="H342" s="3" t="n">
        <v>45994</v>
      </c>
      <c r="I342" s="3" t="n">
        <v>46062</v>
      </c>
      <c r="J342" s="2" t="n">
        <v>31</v>
      </c>
      <c r="K342" s="2" t="n">
        <v>28.95</v>
      </c>
      <c r="L342" s="2" t="n">
        <v>1.23</v>
      </c>
      <c r="M342" s="4" t="n">
        <v>9.140000000000001</v>
      </c>
      <c r="N342" s="4" t="n">
        <v>18.52</v>
      </c>
      <c r="O342" s="2" t="n">
        <v>30</v>
      </c>
      <c r="P342" s="4" t="n">
        <v>2.77</v>
      </c>
      <c r="Q342" s="4" t="n">
        <v>5.78</v>
      </c>
      <c r="R342" s="4">
        <f>G342*(L342/100)*(O342/100)</f>
        <v/>
      </c>
      <c r="S342" s="4">
        <f>G342*(K342/360/100)*J342*(O342/100)</f>
        <v/>
      </c>
      <c r="T342" s="4">
        <f>P342-R342+Q342-S342</f>
        <v/>
      </c>
    </row>
    <row r="343">
      <c r="A343" s="2" t="inlineStr">
        <is>
          <t>Oro</t>
        </is>
      </c>
      <c r="B343" s="2" t="inlineStr">
        <is>
          <t>Amarillo</t>
        </is>
      </c>
      <c r="C343" s="3" t="n">
        <v>46027</v>
      </c>
      <c r="D343" s="2" t="inlineStr">
        <is>
          <t>A85619710</t>
        </is>
      </c>
      <c r="E343" s="2" t="inlineStr">
        <is>
          <t>Volquetes…</t>
        </is>
      </c>
      <c r="F343" s="2" t="n">
        <v>1625582</v>
      </c>
      <c r="G343" s="4" t="n">
        <v>4633.67</v>
      </c>
      <c r="H343" s="3" t="n">
        <v>46010</v>
      </c>
      <c r="I343" s="3" t="n">
        <v>46186</v>
      </c>
      <c r="J343" s="2" t="n">
        <v>38</v>
      </c>
      <c r="K343" s="2" t="n">
        <v>14.35</v>
      </c>
      <c r="L343" s="2" t="n">
        <v>1.6</v>
      </c>
      <c r="M343" s="4" t="n">
        <v>74.14</v>
      </c>
      <c r="N343" s="4" t="n">
        <v>70.19</v>
      </c>
      <c r="O343" s="2" t="n">
        <v>70</v>
      </c>
      <c r="P343" s="4" t="n">
        <v>52</v>
      </c>
      <c r="Q343" s="4" t="n">
        <v>49.06</v>
      </c>
      <c r="R343" s="4">
        <f>G343*(L343/100)*(O343/100)</f>
        <v/>
      </c>
      <c r="S343" s="4">
        <f>G343*(K343/360/100)*J343*(O343/100)</f>
        <v/>
      </c>
      <c r="T343" s="4">
        <f>P343-R343+Q343-S343</f>
        <v/>
      </c>
    </row>
    <row r="344">
      <c r="A344" s="2" t="inlineStr">
        <is>
          <t>Oro</t>
        </is>
      </c>
      <c r="B344" s="2" t="inlineStr">
        <is>
          <t>Amarillo</t>
        </is>
      </c>
      <c r="C344" s="3" t="n">
        <v>46027</v>
      </c>
      <c r="D344" s="2" t="inlineStr">
        <is>
          <t>A97064084</t>
        </is>
      </c>
      <c r="E344" s="2" t="inlineStr">
        <is>
          <t>Aparejos M…</t>
        </is>
      </c>
      <c r="F344" s="2" t="n">
        <v>2166207</v>
      </c>
      <c r="G344" s="4" t="n">
        <v>981.2</v>
      </c>
      <c r="H344" s="3" t="n">
        <v>46017</v>
      </c>
      <c r="I344" s="3" t="n">
        <v>46076</v>
      </c>
      <c r="J344" s="2" t="n">
        <v>35</v>
      </c>
      <c r="K344" s="2" t="n">
        <v>33.85</v>
      </c>
      <c r="L344" s="2" t="n">
        <v>2.28</v>
      </c>
      <c r="M344" s="4" t="n">
        <v>22.37</v>
      </c>
      <c r="N344" s="4" t="n">
        <v>32.29</v>
      </c>
      <c r="O344" s="2" t="n">
        <v>50</v>
      </c>
      <c r="P344" s="4" t="n">
        <v>11.01</v>
      </c>
      <c r="Q344" s="4" t="n">
        <v>16.02</v>
      </c>
      <c r="R344" s="4">
        <f>G344*(L344/100)*(O344/100)</f>
        <v/>
      </c>
      <c r="S344" s="4">
        <f>G344*(K344/360/100)*J344*(O344/100)</f>
        <v/>
      </c>
      <c r="T344" s="4">
        <f>P344-R344+Q344-S344</f>
        <v/>
      </c>
    </row>
    <row r="345">
      <c r="A345" s="2" t="inlineStr">
        <is>
          <t>Oro</t>
        </is>
      </c>
      <c r="B345" s="2" t="inlineStr">
        <is>
          <t>Amarillo</t>
        </is>
      </c>
      <c r="C345" s="3" t="n">
        <v>46027</v>
      </c>
      <c r="D345" s="2" t="inlineStr">
        <is>
          <t>A35612278</t>
        </is>
      </c>
      <c r="E345" s="2" t="inlineStr">
        <is>
          <t>Adhesivos…</t>
        </is>
      </c>
      <c r="F345" s="2" t="n">
        <v>3948258</v>
      </c>
      <c r="G345" s="4" t="n">
        <v>2717.59</v>
      </c>
      <c r="H345" s="3" t="n">
        <v>46015</v>
      </c>
      <c r="I345" s="3" t="n">
        <v>46160</v>
      </c>
      <c r="J345" s="2" t="n">
        <v>34</v>
      </c>
      <c r="K345" s="2" t="n">
        <v>35.06</v>
      </c>
      <c r="L345" s="2" t="n">
        <v>2.18</v>
      </c>
      <c r="M345" s="4" t="n">
        <v>59.24</v>
      </c>
      <c r="N345" s="4" t="n">
        <v>89.98999999999999</v>
      </c>
      <c r="O345" s="2" t="n">
        <v>40</v>
      </c>
      <c r="P345" s="4" t="n">
        <v>23.8</v>
      </c>
      <c r="Q345" s="4" t="n">
        <v>35.71</v>
      </c>
      <c r="R345" s="4">
        <f>G345*(L345/100)*(O345/100)</f>
        <v/>
      </c>
      <c r="S345" s="4">
        <f>G345*(K345/360/100)*J345*(O345/100)</f>
        <v/>
      </c>
      <c r="T345" s="4">
        <f>P345-R345+Q345-S345</f>
        <v/>
      </c>
    </row>
    <row r="346">
      <c r="A346" s="2" t="inlineStr">
        <is>
          <t>Oro</t>
        </is>
      </c>
      <c r="B346" s="2" t="inlineStr">
        <is>
          <t>Amarillo</t>
        </is>
      </c>
      <c r="C346" s="3" t="n">
        <v>46027</v>
      </c>
      <c r="D346" s="2" t="inlineStr">
        <is>
          <t>B81129641</t>
        </is>
      </c>
      <c r="E346" s="2" t="inlineStr">
        <is>
          <t>Transistore…</t>
        </is>
      </c>
      <c r="F346" s="2" t="n">
        <v>1011559</v>
      </c>
      <c r="G346" s="4" t="n">
        <v>109.15</v>
      </c>
      <c r="H346" s="3" t="n">
        <v>45994</v>
      </c>
      <c r="I346" s="3" t="n">
        <v>46136</v>
      </c>
      <c r="J346" s="2" t="n">
        <v>55</v>
      </c>
      <c r="K346" s="2" t="n">
        <v>42.54</v>
      </c>
      <c r="L346" s="2" t="n">
        <v>0.88</v>
      </c>
      <c r="M346" s="4" t="n">
        <v>0.96</v>
      </c>
      <c r="N346" s="4" t="n">
        <v>7.09</v>
      </c>
      <c r="O346" s="2" t="n">
        <v>30</v>
      </c>
      <c r="P346" s="4" t="n">
        <v>0.08</v>
      </c>
      <c r="Q346" s="4" t="n">
        <v>1.93</v>
      </c>
      <c r="R346" s="4">
        <f>G346*(L346/100)*(O346/100)</f>
        <v/>
      </c>
      <c r="S346" s="4">
        <f>G346*(K346/360/100)*J346*(O346/100)</f>
        <v/>
      </c>
      <c r="T346" s="4">
        <f>P346-R346+Q346-S346</f>
        <v/>
      </c>
    </row>
    <row r="347">
      <c r="A347" s="2" t="inlineStr">
        <is>
          <t>Oro</t>
        </is>
      </c>
      <c r="B347" s="2" t="inlineStr">
        <is>
          <t>Amarillo</t>
        </is>
      </c>
      <c r="C347" s="3" t="n">
        <v>46027</v>
      </c>
      <c r="D347" s="2" t="inlineStr">
        <is>
          <t>A45284342</t>
        </is>
      </c>
      <c r="E347" s="2" t="inlineStr">
        <is>
          <t>Actuadores…</t>
        </is>
      </c>
      <c r="F347" s="2" t="n">
        <v>3879586</v>
      </c>
      <c r="G347" s="4" t="n">
        <v>952.2</v>
      </c>
      <c r="H347" s="3" t="n">
        <v>46017</v>
      </c>
      <c r="I347" s="3" t="n">
        <v>46107</v>
      </c>
      <c r="J347" s="2" t="n">
        <v>78</v>
      </c>
      <c r="K347" s="2" t="n">
        <v>39.92</v>
      </c>
      <c r="L347" s="2" t="n">
        <v>2.68</v>
      </c>
      <c r="M347" s="4" t="n">
        <v>25.52</v>
      </c>
      <c r="N347" s="4" t="n">
        <v>82.36</v>
      </c>
      <c r="O347" s="2" t="n">
        <v>30</v>
      </c>
      <c r="P347" s="4" t="n">
        <v>7.69</v>
      </c>
      <c r="Q347" s="4" t="n">
        <v>24.67</v>
      </c>
      <c r="R347" s="4">
        <f>G347*(L347/100)*(O347/100)</f>
        <v/>
      </c>
      <c r="S347" s="4">
        <f>G347*(K347/360/100)*J347*(O347/100)</f>
        <v/>
      </c>
      <c r="T347" s="4">
        <f>P347-R347+Q347-S347</f>
        <v/>
      </c>
    </row>
    <row r="348">
      <c r="A348" s="2" t="inlineStr">
        <is>
          <t>Oro</t>
        </is>
      </c>
      <c r="B348" s="2" t="inlineStr">
        <is>
          <t>Amarillo</t>
        </is>
      </c>
      <c r="C348" s="3" t="n">
        <v>46027</v>
      </c>
      <c r="D348" s="2" t="inlineStr">
        <is>
          <t>A51769846</t>
        </is>
      </c>
      <c r="E348" s="2" t="inlineStr">
        <is>
          <t>Cadenas Vi…</t>
        </is>
      </c>
      <c r="F348" s="2" t="n">
        <v>4764534</v>
      </c>
      <c r="G348" s="4" t="n">
        <v>619.73</v>
      </c>
      <c r="H348" s="3" t="n">
        <v>46002</v>
      </c>
      <c r="I348" s="3" t="n">
        <v>46197</v>
      </c>
      <c r="J348" s="2" t="n">
        <v>85</v>
      </c>
      <c r="K348" s="2" t="n">
        <v>30.96</v>
      </c>
      <c r="L348" s="2" t="n">
        <v>2.97</v>
      </c>
      <c r="M348" s="4" t="n">
        <v>18.41</v>
      </c>
      <c r="N348" s="4" t="n">
        <v>45.3</v>
      </c>
      <c r="O348" s="2" t="n">
        <v>60</v>
      </c>
      <c r="P348" s="4" t="n">
        <v>10.92</v>
      </c>
      <c r="Q348" s="4" t="n">
        <v>27.32</v>
      </c>
      <c r="R348" s="4">
        <f>G348*(L348/100)*(O348/100)</f>
        <v/>
      </c>
      <c r="S348" s="4">
        <f>G348*(K348/360/100)*J348*(O348/100)</f>
        <v/>
      </c>
      <c r="T348" s="4">
        <f>P348-R348+Q348-S348</f>
        <v/>
      </c>
    </row>
    <row r="349">
      <c r="A349" s="2" t="inlineStr">
        <is>
          <t>Oro</t>
        </is>
      </c>
      <c r="B349" s="2" t="inlineStr">
        <is>
          <t>Amarillo</t>
        </is>
      </c>
      <c r="C349" s="3" t="n">
        <v>46027</v>
      </c>
      <c r="D349" s="2" t="inlineStr">
        <is>
          <t>B82073619</t>
        </is>
      </c>
      <c r="E349" s="2" t="inlineStr">
        <is>
          <t>Colorantes…</t>
        </is>
      </c>
      <c r="F349" s="2" t="n">
        <v>1246444</v>
      </c>
      <c r="G349" s="4" t="n">
        <v>887.99</v>
      </c>
      <c r="H349" s="3" t="n">
        <v>45994</v>
      </c>
      <c r="I349" s="3" t="n">
        <v>46159</v>
      </c>
      <c r="J349" s="2" t="n">
        <v>21</v>
      </c>
      <c r="K349" s="2" t="n">
        <v>23.38</v>
      </c>
      <c r="L349" s="2" t="n">
        <v>0.88</v>
      </c>
      <c r="M349" s="4" t="n">
        <v>7.81</v>
      </c>
      <c r="N349" s="4" t="n">
        <v>12.11</v>
      </c>
      <c r="O349" s="2" t="n">
        <v>50</v>
      </c>
      <c r="P349" s="4" t="n">
        <v>3.95</v>
      </c>
      <c r="Q349" s="4" t="n">
        <v>6.08</v>
      </c>
      <c r="R349" s="4">
        <f>G349*(L349/100)*(O349/100)</f>
        <v/>
      </c>
      <c r="S349" s="4">
        <f>G349*(K349/360/100)*J349*(O349/100)</f>
        <v/>
      </c>
      <c r="T349" s="4">
        <f>P349-R349+Q349-S349</f>
        <v/>
      </c>
    </row>
    <row r="350">
      <c r="A350" s="2" t="inlineStr">
        <is>
          <t>Oro</t>
        </is>
      </c>
      <c r="B350" s="2" t="inlineStr">
        <is>
          <t>Amarillo</t>
        </is>
      </c>
      <c r="C350" s="3" t="n">
        <v>46027</v>
      </c>
      <c r="D350" s="2" t="inlineStr">
        <is>
          <t>B24227649</t>
        </is>
      </c>
      <c r="E350" s="2" t="inlineStr">
        <is>
          <t>Travesaños…</t>
        </is>
      </c>
      <c r="F350" s="2" t="n">
        <v>4741174</v>
      </c>
      <c r="G350" s="4" t="n">
        <v>112.5</v>
      </c>
      <c r="H350" s="3" t="n">
        <v>46016</v>
      </c>
      <c r="I350" s="3" t="n">
        <v>46094</v>
      </c>
      <c r="J350" s="2" t="n">
        <v>17</v>
      </c>
      <c r="K350" s="2" t="n">
        <v>46.75</v>
      </c>
      <c r="L350" s="2" t="n">
        <v>1.11</v>
      </c>
      <c r="M350" s="4" t="n">
        <v>1.25</v>
      </c>
      <c r="N350" s="4" t="n">
        <v>2.48</v>
      </c>
      <c r="O350" s="2" t="n">
        <v>70</v>
      </c>
      <c r="P350" s="4" t="n">
        <v>1.14</v>
      </c>
      <c r="Q350" s="4" t="n">
        <v>1.55</v>
      </c>
      <c r="R350" s="4">
        <f>G350*(L350/100)*(O350/100)</f>
        <v/>
      </c>
      <c r="S350" s="4">
        <f>G350*(K350/360/100)*J350*(O350/100)</f>
        <v/>
      </c>
      <c r="T350" s="4">
        <f>P350-R350+Q350-S350</f>
        <v/>
      </c>
    </row>
    <row r="351">
      <c r="A351" s="2" t="inlineStr">
        <is>
          <t>Oro</t>
        </is>
      </c>
      <c r="B351" s="2" t="inlineStr">
        <is>
          <t>Amarillo</t>
        </is>
      </c>
      <c r="C351" s="3" t="n">
        <v>46027</v>
      </c>
      <c r="D351" s="2" t="inlineStr">
        <is>
          <t>A17474860</t>
        </is>
      </c>
      <c r="E351" s="2" t="inlineStr">
        <is>
          <t>Impermeab…</t>
        </is>
      </c>
      <c r="F351" s="2" t="n">
        <v>4495579</v>
      </c>
      <c r="G351" s="4" t="n">
        <v>571.17</v>
      </c>
      <c r="H351" s="3" t="n">
        <v>45992</v>
      </c>
      <c r="I351" s="3" t="n">
        <v>46037</v>
      </c>
      <c r="J351" s="2" t="n">
        <v>87</v>
      </c>
      <c r="K351" s="2" t="n">
        <v>47.32</v>
      </c>
      <c r="L351" s="2" t="n">
        <v>2.03</v>
      </c>
      <c r="M351" s="4" t="n">
        <v>11.59</v>
      </c>
      <c r="N351" s="4" t="n">
        <v>65.31999999999999</v>
      </c>
      <c r="O351" s="2" t="n">
        <v>50</v>
      </c>
      <c r="P351" s="4" t="n">
        <v>6.03</v>
      </c>
      <c r="Q351" s="4" t="n">
        <v>32.89</v>
      </c>
      <c r="R351" s="4">
        <f>G351*(L351/100)*(O351/100)</f>
        <v/>
      </c>
      <c r="S351" s="4">
        <f>G351*(K351/360/100)*J351*(O351/100)</f>
        <v/>
      </c>
      <c r="T351" s="4">
        <f>P351-R351+Q351-S351</f>
        <v/>
      </c>
    </row>
    <row r="352">
      <c r="A352" s="2" t="inlineStr">
        <is>
          <t>Oro</t>
        </is>
      </c>
      <c r="B352" s="2" t="inlineStr">
        <is>
          <t>Amarillo</t>
        </is>
      </c>
      <c r="C352" s="3" t="n">
        <v>46027</v>
      </c>
      <c r="D352" s="2" t="inlineStr">
        <is>
          <t>B65377603</t>
        </is>
      </c>
      <c r="E352" s="2" t="inlineStr">
        <is>
          <t>Silicatos Ve…</t>
        </is>
      </c>
      <c r="F352" s="2" t="n">
        <v>2709999</v>
      </c>
      <c r="G352" s="4" t="n">
        <v>3440.84</v>
      </c>
      <c r="H352" s="3" t="n">
        <v>45995</v>
      </c>
      <c r="I352" s="3" t="n">
        <v>46128</v>
      </c>
      <c r="J352" s="2" t="n">
        <v>45</v>
      </c>
      <c r="K352" s="2" t="n">
        <v>17.23</v>
      </c>
      <c r="L352" s="2" t="n">
        <v>0.73</v>
      </c>
      <c r="M352" s="4" t="n">
        <v>25.12</v>
      </c>
      <c r="N352" s="4" t="n">
        <v>74.11</v>
      </c>
      <c r="O352" s="2" t="n">
        <v>70</v>
      </c>
      <c r="P352" s="4" t="n">
        <v>17.53</v>
      </c>
      <c r="Q352" s="4" t="n">
        <v>51.61</v>
      </c>
      <c r="R352" s="4">
        <f>G352*(L352/100)*(O352/100)</f>
        <v/>
      </c>
      <c r="S352" s="4">
        <f>G352*(K352/360/100)*J352*(O352/100)</f>
        <v/>
      </c>
      <c r="T352" s="4">
        <f>P352-R352+Q352-S352</f>
        <v/>
      </c>
    </row>
    <row r="353">
      <c r="A353" s="2" t="inlineStr">
        <is>
          <t>Oro</t>
        </is>
      </c>
      <c r="B353" s="2" t="inlineStr">
        <is>
          <t>Amarillo</t>
        </is>
      </c>
      <c r="C353" s="3" t="n">
        <v>46027</v>
      </c>
      <c r="D353" s="2" t="inlineStr">
        <is>
          <t>A62518559</t>
        </is>
      </c>
      <c r="E353" s="2" t="inlineStr">
        <is>
          <t>Variadores…</t>
        </is>
      </c>
      <c r="F353" s="2" t="n">
        <v>4004817</v>
      </c>
      <c r="G353" s="4" t="n">
        <v>451.74</v>
      </c>
      <c r="H353" s="3" t="n">
        <v>45995</v>
      </c>
      <c r="I353" s="3" t="n">
        <v>46059</v>
      </c>
      <c r="J353" s="2" t="n">
        <v>75</v>
      </c>
      <c r="K353" s="2" t="n">
        <v>25.79</v>
      </c>
      <c r="L353" s="2" t="n">
        <v>1.31</v>
      </c>
      <c r="M353" s="4" t="n">
        <v>5.92</v>
      </c>
      <c r="N353" s="4" t="n">
        <v>24.27</v>
      </c>
      <c r="O353" s="2" t="n">
        <v>30</v>
      </c>
      <c r="P353" s="4" t="n">
        <v>1.75</v>
      </c>
      <c r="Q353" s="4" t="n">
        <v>7.38</v>
      </c>
      <c r="R353" s="4">
        <f>G353*(L353/100)*(O353/100)</f>
        <v/>
      </c>
      <c r="S353" s="4">
        <f>G353*(K353/360/100)*J353*(O353/100)</f>
        <v/>
      </c>
      <c r="T353" s="4">
        <f>P353-R353+Q353-S353</f>
        <v/>
      </c>
    </row>
    <row r="354">
      <c r="A354" s="2" t="inlineStr">
        <is>
          <t>Oro</t>
        </is>
      </c>
      <c r="B354" s="2" t="inlineStr">
        <is>
          <t>Amarillo</t>
        </is>
      </c>
      <c r="C354" s="3" t="n">
        <v>46027</v>
      </c>
      <c r="D354" s="2" t="inlineStr">
        <is>
          <t>B38463795</t>
        </is>
      </c>
      <c r="E354" s="2" t="inlineStr">
        <is>
          <t>Pistones C…</t>
        </is>
      </c>
      <c r="F354" s="2" t="n">
        <v>1887159</v>
      </c>
      <c r="G354" s="4" t="n">
        <v>502.49</v>
      </c>
      <c r="H354" s="3" t="n">
        <v>45997</v>
      </c>
      <c r="I354" s="3" t="n">
        <v>46174</v>
      </c>
      <c r="J354" s="2" t="n">
        <v>49</v>
      </c>
      <c r="K354" s="2" t="n">
        <v>48.82</v>
      </c>
      <c r="L354" s="2" t="n">
        <v>2.38</v>
      </c>
      <c r="M354" s="4" t="n">
        <v>11.96</v>
      </c>
      <c r="N354" s="4" t="n">
        <v>33.39</v>
      </c>
      <c r="O354" s="2" t="n">
        <v>60</v>
      </c>
      <c r="P354" s="4" t="n">
        <v>7.34</v>
      </c>
      <c r="Q354" s="4" t="n">
        <v>20.22</v>
      </c>
      <c r="R354" s="4">
        <f>G354*(L354/100)*(O354/100)</f>
        <v/>
      </c>
      <c r="S354" s="4">
        <f>G354*(K354/360/100)*J354*(O354/100)</f>
        <v/>
      </c>
      <c r="T354" s="4">
        <f>P354-R354+Q354-S354</f>
        <v/>
      </c>
    </row>
    <row r="355">
      <c r="A355" s="2" t="inlineStr">
        <is>
          <t>Oro</t>
        </is>
      </c>
      <c r="B355" s="2" t="inlineStr">
        <is>
          <t>Amarillo</t>
        </is>
      </c>
      <c r="C355" s="3" t="n">
        <v>46027</v>
      </c>
      <c r="D355" s="2" t="inlineStr">
        <is>
          <t>B86871338</t>
        </is>
      </c>
      <c r="E355" s="2" t="inlineStr">
        <is>
          <t>Hormigone…</t>
        </is>
      </c>
      <c r="F355" s="2" t="n">
        <v>4109600</v>
      </c>
      <c r="G355" s="4" t="n">
        <v>816.1</v>
      </c>
      <c r="H355" s="3" t="n">
        <v>45996</v>
      </c>
      <c r="I355" s="3" t="n">
        <v>46024</v>
      </c>
      <c r="J355" s="2" t="n">
        <v>61</v>
      </c>
      <c r="K355" s="2" t="n">
        <v>41.94</v>
      </c>
      <c r="L355" s="2" t="n">
        <v>2.26</v>
      </c>
      <c r="M355" s="4" t="n">
        <v>18.44</v>
      </c>
      <c r="N355" s="4" t="n">
        <v>58</v>
      </c>
      <c r="O355" s="2" t="n">
        <v>60</v>
      </c>
      <c r="P355" s="4" t="n">
        <v>11.09</v>
      </c>
      <c r="Q355" s="4" t="n">
        <v>34.57</v>
      </c>
      <c r="R355" s="4">
        <f>G355*(L355/100)*(O355/100)</f>
        <v/>
      </c>
      <c r="S355" s="4">
        <f>G355*(K355/360/100)*J355*(O355/100)</f>
        <v/>
      </c>
      <c r="T355" s="4">
        <f>P355-R355+Q355-S355</f>
        <v/>
      </c>
    </row>
    <row r="356">
      <c r="A356" s="2" t="inlineStr">
        <is>
          <t>Oro</t>
        </is>
      </c>
      <c r="B356" s="2" t="inlineStr">
        <is>
          <t>Amarillo</t>
        </is>
      </c>
      <c r="C356" s="3" t="n">
        <v>46027</v>
      </c>
      <c r="D356" s="2" t="inlineStr">
        <is>
          <t>A91945379</t>
        </is>
      </c>
      <c r="E356" s="2" t="inlineStr">
        <is>
          <t>Grafitos Gl…</t>
        </is>
      </c>
      <c r="F356" s="2" t="n">
        <v>2943684</v>
      </c>
      <c r="G356" s="4" t="n">
        <v>6657.92</v>
      </c>
      <c r="H356" s="3" t="n">
        <v>45993</v>
      </c>
      <c r="I356" s="3" t="n">
        <v>46119</v>
      </c>
      <c r="J356" s="2" t="n">
        <v>27</v>
      </c>
      <c r="K356" s="2" t="n">
        <v>28.06</v>
      </c>
      <c r="L356" s="2" t="n">
        <v>1.95</v>
      </c>
      <c r="M356" s="4" t="n">
        <v>129.83</v>
      </c>
      <c r="N356" s="4" t="n">
        <v>140.12</v>
      </c>
      <c r="O356" s="2" t="n">
        <v>50</v>
      </c>
      <c r="P356" s="4" t="n">
        <v>64.63</v>
      </c>
      <c r="Q356" s="4" t="n">
        <v>69.92</v>
      </c>
      <c r="R356" s="4">
        <f>G356*(L356/100)*(O356/100)</f>
        <v/>
      </c>
      <c r="S356" s="4">
        <f>G356*(K356/360/100)*J356*(O356/100)</f>
        <v/>
      </c>
      <c r="T356" s="4">
        <f>P356-R356+Q356-S356</f>
        <v/>
      </c>
    </row>
    <row r="357">
      <c r="A357" s="2" t="inlineStr">
        <is>
          <t>Oro</t>
        </is>
      </c>
      <c r="B357" s="2" t="inlineStr">
        <is>
          <t>Amarillo</t>
        </is>
      </c>
      <c r="C357" s="3" t="n">
        <v>46027</v>
      </c>
      <c r="D357" s="2" t="inlineStr">
        <is>
          <t>B27888512</t>
        </is>
      </c>
      <c r="E357" s="2" t="inlineStr">
        <is>
          <t>Datos Desa…</t>
        </is>
      </c>
      <c r="F357" s="2" t="n">
        <v>1181344</v>
      </c>
      <c r="G357" s="4" t="n">
        <v>8152.34</v>
      </c>
      <c r="H357" s="3" t="n">
        <v>46005</v>
      </c>
      <c r="I357" s="3" t="n">
        <v>46131</v>
      </c>
      <c r="J357" s="2" t="n">
        <v>11</v>
      </c>
      <c r="K357" s="2" t="n">
        <v>23.54</v>
      </c>
      <c r="L357" s="2" t="n">
        <v>1.4</v>
      </c>
      <c r="M357" s="4" t="n">
        <v>114.13</v>
      </c>
      <c r="N357" s="4" t="n">
        <v>58.64</v>
      </c>
      <c r="O357" s="2" t="n">
        <v>60</v>
      </c>
      <c r="P357" s="4" t="n">
        <v>68.67</v>
      </c>
      <c r="Q357" s="4" t="n">
        <v>35.44</v>
      </c>
      <c r="R357" s="4">
        <f>G357*(L357/100)*(O357/100)</f>
        <v/>
      </c>
      <c r="S357" s="4">
        <f>G357*(K357/360/100)*J357*(O357/100)</f>
        <v/>
      </c>
      <c r="T357" s="4">
        <f>P357-R357+Q357-S357</f>
        <v/>
      </c>
    </row>
    <row r="358">
      <c r="A358" s="2" t="inlineStr">
        <is>
          <t>Oro</t>
        </is>
      </c>
      <c r="B358" s="2" t="inlineStr">
        <is>
          <t>Amarillo</t>
        </is>
      </c>
      <c r="C358" s="3" t="n">
        <v>46027</v>
      </c>
      <c r="D358" s="2" t="inlineStr">
        <is>
          <t>A14358012</t>
        </is>
      </c>
      <c r="E358" s="2" t="inlineStr">
        <is>
          <t>Tejidos Sat…</t>
        </is>
      </c>
      <c r="F358" s="2" t="n">
        <v>1310059</v>
      </c>
      <c r="G358" s="4" t="n">
        <v>818</v>
      </c>
      <c r="H358" s="3" t="n">
        <v>46012</v>
      </c>
      <c r="I358" s="3" t="n">
        <v>46030</v>
      </c>
      <c r="J358" s="2" t="n">
        <v>78</v>
      </c>
      <c r="K358" s="2" t="n">
        <v>28.91</v>
      </c>
      <c r="L358" s="2" t="n">
        <v>1.48</v>
      </c>
      <c r="M358" s="4" t="n">
        <v>12.11</v>
      </c>
      <c r="N358" s="4" t="n">
        <v>51.24</v>
      </c>
      <c r="O358" s="2" t="n">
        <v>60</v>
      </c>
      <c r="P358" s="4" t="n">
        <v>7.5</v>
      </c>
      <c r="Q358" s="4" t="n">
        <v>30.84</v>
      </c>
      <c r="R358" s="4">
        <f>G358*(L358/100)*(O358/100)</f>
        <v/>
      </c>
      <c r="S358" s="4">
        <f>G358*(K358/360/100)*J358*(O358/100)</f>
        <v/>
      </c>
      <c r="T358" s="4">
        <f>P358-R358+Q358-S358</f>
        <v/>
      </c>
    </row>
    <row r="359">
      <c r="A359" s="2" t="inlineStr">
        <is>
          <t>Oro</t>
        </is>
      </c>
      <c r="B359" s="2" t="inlineStr">
        <is>
          <t>Amarillo</t>
        </is>
      </c>
      <c r="C359" s="3" t="n">
        <v>46027</v>
      </c>
      <c r="D359" s="2" t="inlineStr">
        <is>
          <t>B22243305</t>
        </is>
      </c>
      <c r="E359" s="2" t="inlineStr">
        <is>
          <t>Impermeab…</t>
        </is>
      </c>
      <c r="F359" s="2" t="n">
        <v>4030626</v>
      </c>
      <c r="G359" s="4" t="n">
        <v>775.67</v>
      </c>
      <c r="H359" s="3" t="n">
        <v>46014</v>
      </c>
      <c r="I359" s="3" t="n">
        <v>46139</v>
      </c>
      <c r="J359" s="2" t="n">
        <v>37</v>
      </c>
      <c r="K359" s="2" t="n">
        <v>21.53</v>
      </c>
      <c r="L359" s="2" t="n">
        <v>2.37</v>
      </c>
      <c r="M359" s="4" t="n">
        <v>18.38</v>
      </c>
      <c r="N359" s="4" t="n">
        <v>17.16</v>
      </c>
      <c r="O359" s="2" t="n">
        <v>20</v>
      </c>
      <c r="P359" s="4" t="n">
        <v>3.77</v>
      </c>
      <c r="Q359" s="4" t="n">
        <v>3.16</v>
      </c>
      <c r="R359" s="4">
        <f>G359*(L359/100)*(O359/100)</f>
        <v/>
      </c>
      <c r="S359" s="4">
        <f>G359*(K359/360/100)*J359*(O359/100)</f>
        <v/>
      </c>
      <c r="T359" s="4">
        <f>P359-R359+Q359-S359</f>
        <v/>
      </c>
    </row>
    <row r="360">
      <c r="A360" s="2" t="inlineStr">
        <is>
          <t>Oro</t>
        </is>
      </c>
      <c r="B360" s="2" t="inlineStr">
        <is>
          <t>Amarillo</t>
        </is>
      </c>
      <c r="C360" s="3" t="n">
        <v>46027</v>
      </c>
      <c r="D360" s="2" t="inlineStr">
        <is>
          <t>A35184746</t>
        </is>
      </c>
      <c r="E360" s="2" t="inlineStr">
        <is>
          <t>Transmisio…</t>
        </is>
      </c>
      <c r="F360" s="2" t="n">
        <v>2038886</v>
      </c>
      <c r="G360" s="4" t="n">
        <v>734.15</v>
      </c>
      <c r="H360" s="3" t="n">
        <v>46017</v>
      </c>
      <c r="I360" s="3" t="n">
        <v>46190</v>
      </c>
      <c r="J360" s="2" t="n">
        <v>53</v>
      </c>
      <c r="K360" s="2" t="n">
        <v>29.92</v>
      </c>
      <c r="L360" s="2" t="n">
        <v>1.41</v>
      </c>
      <c r="M360" s="4" t="n">
        <v>10.35</v>
      </c>
      <c r="N360" s="4" t="n">
        <v>32.34</v>
      </c>
      <c r="O360" s="2" t="n">
        <v>30</v>
      </c>
      <c r="P360" s="4" t="n">
        <v>3.19</v>
      </c>
      <c r="Q360" s="4" t="n">
        <v>9.66</v>
      </c>
      <c r="R360" s="4">
        <f>G360*(L360/100)*(O360/100)</f>
        <v/>
      </c>
      <c r="S360" s="4">
        <f>G360*(K360/360/100)*J360*(O360/100)</f>
        <v/>
      </c>
      <c r="T360" s="4">
        <f>P360-R360+Q360-S360</f>
        <v/>
      </c>
    </row>
    <row r="361">
      <c r="A361" s="2" t="inlineStr">
        <is>
          <t>Oro</t>
        </is>
      </c>
      <c r="B361" s="2" t="inlineStr">
        <is>
          <t>Amarillo</t>
        </is>
      </c>
      <c r="C361" s="3" t="n">
        <v>46027</v>
      </c>
      <c r="D361" s="2" t="inlineStr">
        <is>
          <t>B63033707</t>
        </is>
      </c>
      <c r="E361" s="2" t="inlineStr">
        <is>
          <t>Embutidos…</t>
        </is>
      </c>
      <c r="F361" s="2" t="n">
        <v>2499404</v>
      </c>
      <c r="G361" s="4" t="n">
        <v>822.9</v>
      </c>
      <c r="H361" s="3" t="n">
        <v>45997</v>
      </c>
      <c r="I361" s="3" t="n">
        <v>46133</v>
      </c>
      <c r="J361" s="2" t="n">
        <v>25</v>
      </c>
      <c r="K361" s="2" t="n">
        <v>29.22</v>
      </c>
      <c r="L361" s="2" t="n">
        <v>1.96</v>
      </c>
      <c r="M361" s="4" t="n">
        <v>16.13</v>
      </c>
      <c r="N361" s="4" t="n">
        <v>16.7</v>
      </c>
      <c r="O361" s="2" t="n">
        <v>20</v>
      </c>
      <c r="P361" s="4" t="n">
        <v>3.28</v>
      </c>
      <c r="Q361" s="4" t="n">
        <v>3.43</v>
      </c>
      <c r="R361" s="4">
        <f>G361*(L361/100)*(O361/100)</f>
        <v/>
      </c>
      <c r="S361" s="4">
        <f>G361*(K361/360/100)*J361*(O361/100)</f>
        <v/>
      </c>
      <c r="T361" s="4">
        <f>P361-R361+Q361-S361</f>
        <v/>
      </c>
    </row>
    <row r="362">
      <c r="A362" s="2" t="inlineStr">
        <is>
          <t>Oro</t>
        </is>
      </c>
      <c r="B362" s="2" t="inlineStr">
        <is>
          <t>Amarillo</t>
        </is>
      </c>
      <c r="C362" s="3" t="n">
        <v>46027</v>
      </c>
      <c r="D362" s="2" t="inlineStr">
        <is>
          <t>A14442952</t>
        </is>
      </c>
      <c r="E362" s="2" t="inlineStr">
        <is>
          <t>Solventes…</t>
        </is>
      </c>
      <c r="F362" s="2" t="n">
        <v>2197518</v>
      </c>
      <c r="G362" s="4" t="n">
        <v>592.3</v>
      </c>
      <c r="H362" s="3" t="n">
        <v>45995</v>
      </c>
      <c r="I362" s="3" t="n">
        <v>46045</v>
      </c>
      <c r="J362" s="2" t="n">
        <v>78</v>
      </c>
      <c r="K362" s="2" t="n">
        <v>32.99</v>
      </c>
      <c r="L362" s="2" t="n">
        <v>0.7</v>
      </c>
      <c r="M362" s="4" t="n">
        <v>4.15</v>
      </c>
      <c r="N362" s="4" t="n">
        <v>42.34</v>
      </c>
      <c r="O362" s="2" t="n">
        <v>60</v>
      </c>
      <c r="P362" s="4" t="n">
        <v>2.73</v>
      </c>
      <c r="Q362" s="4" t="n">
        <v>25.65</v>
      </c>
      <c r="R362" s="4">
        <f>G362*(L362/100)*(O362/100)</f>
        <v/>
      </c>
      <c r="S362" s="4">
        <f>G362*(K362/360/100)*J362*(O362/100)</f>
        <v/>
      </c>
      <c r="T362" s="4">
        <f>P362-R362+Q362-S362</f>
        <v/>
      </c>
    </row>
    <row r="363">
      <c r="A363" s="2" t="inlineStr">
        <is>
          <t>Oro</t>
        </is>
      </c>
      <c r="B363" s="2" t="inlineStr">
        <is>
          <t>Amarillo</t>
        </is>
      </c>
      <c r="C363" s="3" t="n">
        <v>46027</v>
      </c>
      <c r="D363" s="2" t="inlineStr">
        <is>
          <t>B83669934</t>
        </is>
      </c>
      <c r="E363" s="2" t="inlineStr">
        <is>
          <t>Plataforma…</t>
        </is>
      </c>
      <c r="F363" s="2" t="n">
        <v>4036067</v>
      </c>
      <c r="G363" s="4" t="n">
        <v>994.04</v>
      </c>
      <c r="H363" s="3" t="n">
        <v>46018</v>
      </c>
      <c r="I363" s="3" t="n">
        <v>46163</v>
      </c>
      <c r="J363" s="2" t="n">
        <v>34</v>
      </c>
      <c r="K363" s="2" t="n">
        <v>46.32</v>
      </c>
      <c r="L363" s="2" t="n">
        <v>2.23</v>
      </c>
      <c r="M363" s="4" t="n">
        <v>22.17</v>
      </c>
      <c r="N363" s="4" t="n">
        <v>43.49</v>
      </c>
      <c r="O363" s="2" t="n">
        <v>30</v>
      </c>
      <c r="P363" s="4" t="n">
        <v>6.69</v>
      </c>
      <c r="Q363" s="4" t="n">
        <v>13.25</v>
      </c>
      <c r="R363" s="4">
        <f>G363*(L363/100)*(O363/100)</f>
        <v/>
      </c>
      <c r="S363" s="4">
        <f>G363*(K363/360/100)*J363*(O363/100)</f>
        <v/>
      </c>
      <c r="T363" s="4">
        <f>P363-R363+Q363-S363</f>
        <v/>
      </c>
    </row>
    <row r="364">
      <c r="A364" s="2" t="inlineStr">
        <is>
          <t>Oro</t>
        </is>
      </c>
      <c r="B364" s="2" t="inlineStr">
        <is>
          <t>Amarillo</t>
        </is>
      </c>
      <c r="C364" s="3" t="n">
        <v>46027</v>
      </c>
      <c r="D364" s="2" t="inlineStr">
        <is>
          <t>A89762365</t>
        </is>
      </c>
      <c r="E364" s="2" t="inlineStr">
        <is>
          <t>Canalizacio…</t>
        </is>
      </c>
      <c r="F364" s="2" t="n">
        <v>4474210</v>
      </c>
      <c r="G364" s="4" t="n">
        <v>9763.139999999999</v>
      </c>
      <c r="H364" s="3" t="n">
        <v>46015</v>
      </c>
      <c r="I364" s="3" t="n">
        <v>46099</v>
      </c>
      <c r="J364" s="2" t="n">
        <v>10</v>
      </c>
      <c r="K364" s="2" t="n">
        <v>26.72</v>
      </c>
      <c r="L364" s="2" t="n">
        <v>2.46</v>
      </c>
      <c r="M364" s="4" t="n">
        <v>240.17</v>
      </c>
      <c r="N364" s="4" t="n">
        <v>72.45999999999999</v>
      </c>
      <c r="O364" s="2" t="n">
        <v>20</v>
      </c>
      <c r="P364" s="4" t="n">
        <v>48.11</v>
      </c>
      <c r="Q364" s="4" t="n">
        <v>14.58</v>
      </c>
      <c r="R364" s="4">
        <f>G364*(L364/100)*(O364/100)</f>
        <v/>
      </c>
      <c r="S364" s="4">
        <f>G364*(K364/360/100)*J364*(O364/100)</f>
        <v/>
      </c>
      <c r="T364" s="4">
        <f>P364-R364+Q364-S364</f>
        <v/>
      </c>
    </row>
    <row r="365">
      <c r="A365" s="2" t="inlineStr">
        <is>
          <t>Oro</t>
        </is>
      </c>
      <c r="B365" s="2" t="inlineStr">
        <is>
          <t>Amarillo</t>
        </is>
      </c>
      <c r="C365" s="3" t="n">
        <v>46027</v>
      </c>
      <c r="D365" s="2" t="inlineStr">
        <is>
          <t>B56764875</t>
        </is>
      </c>
      <c r="E365" s="2" t="inlineStr">
        <is>
          <t>Vellones A…</t>
        </is>
      </c>
      <c r="F365" s="2" t="n">
        <v>2957569</v>
      </c>
      <c r="G365" s="4" t="n">
        <v>6169.65</v>
      </c>
      <c r="H365" s="3" t="n">
        <v>46005</v>
      </c>
      <c r="I365" s="3" t="n">
        <v>46107</v>
      </c>
      <c r="J365" s="2" t="n">
        <v>68</v>
      </c>
      <c r="K365" s="2" t="n">
        <v>15.78</v>
      </c>
      <c r="L365" s="2" t="n">
        <v>0.8</v>
      </c>
      <c r="M365" s="4" t="n">
        <v>49.36</v>
      </c>
      <c r="N365" s="4" t="n">
        <v>183.9</v>
      </c>
      <c r="O365" s="2" t="n">
        <v>20</v>
      </c>
      <c r="P365" s="4" t="n">
        <v>9.65</v>
      </c>
      <c r="Q365" s="4" t="n">
        <v>36.92</v>
      </c>
      <c r="R365" s="4">
        <f>G365*(L365/100)*(O365/100)</f>
        <v/>
      </c>
      <c r="S365" s="4">
        <f>G365*(K365/360/100)*J365*(O365/100)</f>
        <v/>
      </c>
      <c r="T365" s="4">
        <f>P365-R365+Q365-S365</f>
        <v/>
      </c>
    </row>
    <row r="366">
      <c r="A366" s="2" t="inlineStr">
        <is>
          <t>Oro</t>
        </is>
      </c>
      <c r="B366" s="2" t="inlineStr">
        <is>
          <t>Amarillo</t>
        </is>
      </c>
      <c r="C366" s="3" t="n">
        <v>46027</v>
      </c>
      <c r="D366" s="2" t="inlineStr">
        <is>
          <t>B40372855</t>
        </is>
      </c>
      <c r="E366" s="2" t="inlineStr">
        <is>
          <t>Proyectos…</t>
        </is>
      </c>
      <c r="F366" s="2" t="n">
        <v>4241645</v>
      </c>
      <c r="G366" s="4" t="n">
        <v>3632.94</v>
      </c>
      <c r="H366" s="3" t="n">
        <v>46009</v>
      </c>
      <c r="I366" s="3" t="n">
        <v>46194</v>
      </c>
      <c r="J366" s="2" t="n">
        <v>25</v>
      </c>
      <c r="K366" s="2" t="n">
        <v>24.34</v>
      </c>
      <c r="L366" s="2" t="n">
        <v>2.2</v>
      </c>
      <c r="M366" s="4" t="n">
        <v>79.92</v>
      </c>
      <c r="N366" s="4" t="n">
        <v>61.41</v>
      </c>
      <c r="O366" s="2" t="n">
        <v>20</v>
      </c>
      <c r="P366" s="4" t="n">
        <v>16.04</v>
      </c>
      <c r="Q366" s="4" t="n">
        <v>12.49</v>
      </c>
      <c r="R366" s="4">
        <f>G366*(L366/100)*(O366/100)</f>
        <v/>
      </c>
      <c r="S366" s="4">
        <f>G366*(K366/360/100)*J366*(O366/100)</f>
        <v/>
      </c>
      <c r="T366" s="4">
        <f>P366-R366+Q366-S366</f>
        <v/>
      </c>
    </row>
    <row r="367">
      <c r="A367" s="2" t="inlineStr">
        <is>
          <t>Oro</t>
        </is>
      </c>
      <c r="B367" s="2" t="inlineStr">
        <is>
          <t>Amarillo</t>
        </is>
      </c>
      <c r="C367" s="3" t="n">
        <v>46027</v>
      </c>
      <c r="D367" s="2" t="inlineStr">
        <is>
          <t>B80558786</t>
        </is>
      </c>
      <c r="E367" s="2" t="inlineStr">
        <is>
          <t>Sales Emin…</t>
        </is>
      </c>
      <c r="F367" s="2" t="n">
        <v>3754296</v>
      </c>
      <c r="G367" s="4" t="n">
        <v>468.93</v>
      </c>
      <c r="H367" s="3" t="n">
        <v>46005</v>
      </c>
      <c r="I367" s="3" t="n">
        <v>46027</v>
      </c>
      <c r="J367" s="2" t="n">
        <v>44</v>
      </c>
      <c r="K367" s="2" t="n">
        <v>10.89</v>
      </c>
      <c r="L367" s="2" t="n">
        <v>2.51</v>
      </c>
      <c r="M367" s="4" t="n">
        <v>11.77</v>
      </c>
      <c r="N367" s="4" t="n">
        <v>6.24</v>
      </c>
      <c r="O367" s="2" t="n">
        <v>60</v>
      </c>
      <c r="P367" s="4" t="n">
        <v>7.16</v>
      </c>
      <c r="Q367" s="4" t="n">
        <v>3.49</v>
      </c>
      <c r="R367" s="4">
        <f>G367*(L367/100)*(O367/100)</f>
        <v/>
      </c>
      <c r="S367" s="4">
        <f>G367*(K367/360/100)*J367*(O367/100)</f>
        <v/>
      </c>
      <c r="T367" s="4">
        <f>P367-R367+Q367-S367</f>
        <v/>
      </c>
    </row>
    <row r="368">
      <c r="A368" s="2" t="inlineStr">
        <is>
          <t>Oro</t>
        </is>
      </c>
      <c r="B368" s="2" t="inlineStr">
        <is>
          <t>Amarillo</t>
        </is>
      </c>
      <c r="C368" s="3" t="n">
        <v>46027</v>
      </c>
      <c r="D368" s="2" t="inlineStr">
        <is>
          <t>B73164069</t>
        </is>
      </c>
      <c r="E368" s="2" t="inlineStr">
        <is>
          <t>Tuberías Gl…</t>
        </is>
      </c>
      <c r="F368" s="2" t="n">
        <v>4055512</v>
      </c>
      <c r="G368" s="4" t="n">
        <v>478.19</v>
      </c>
      <c r="H368" s="3" t="n">
        <v>46007</v>
      </c>
      <c r="I368" s="3" t="n">
        <v>46099</v>
      </c>
      <c r="J368" s="2" t="n">
        <v>34</v>
      </c>
      <c r="K368" s="2" t="n">
        <v>32.81</v>
      </c>
      <c r="L368" s="2" t="n">
        <v>2.75</v>
      </c>
      <c r="M368" s="4" t="n">
        <v>13.15</v>
      </c>
      <c r="N368" s="4" t="n">
        <v>14.82</v>
      </c>
      <c r="O368" s="2" t="n">
        <v>30</v>
      </c>
      <c r="P368" s="4" t="n">
        <v>3.86</v>
      </c>
      <c r="Q368" s="4" t="n">
        <v>4.74</v>
      </c>
      <c r="R368" s="4">
        <f>G368*(L368/100)*(O368/100)</f>
        <v/>
      </c>
      <c r="S368" s="4">
        <f>G368*(K368/360/100)*J368*(O368/100)</f>
        <v/>
      </c>
      <c r="T368" s="4">
        <f>P368-R368+Q368-S368</f>
        <v/>
      </c>
    </row>
    <row r="369">
      <c r="A369" s="2" t="inlineStr">
        <is>
          <t>Oro</t>
        </is>
      </c>
      <c r="B369" s="2" t="inlineStr">
        <is>
          <t>Amarillo</t>
        </is>
      </c>
      <c r="C369" s="3" t="n">
        <v>46027</v>
      </c>
      <c r="D369" s="2" t="inlineStr">
        <is>
          <t>B47657785</t>
        </is>
      </c>
      <c r="E369" s="2" t="inlineStr">
        <is>
          <t>Residuos C…</t>
        </is>
      </c>
      <c r="F369" s="2" t="n">
        <v>3073980</v>
      </c>
      <c r="G369" s="4" t="n">
        <v>143.96</v>
      </c>
      <c r="H369" s="3" t="n">
        <v>45999</v>
      </c>
      <c r="I369" s="3" t="n">
        <v>46168</v>
      </c>
      <c r="J369" s="2" t="n">
        <v>44</v>
      </c>
      <c r="K369" s="2" t="n">
        <v>38.68</v>
      </c>
      <c r="L369" s="2" t="n">
        <v>2.77</v>
      </c>
      <c r="M369" s="4" t="n">
        <v>3.99</v>
      </c>
      <c r="N369" s="4" t="n">
        <v>6.81</v>
      </c>
      <c r="O369" s="2" t="n">
        <v>50</v>
      </c>
      <c r="P369" s="4" t="n">
        <v>2.19</v>
      </c>
      <c r="Q369" s="4" t="n">
        <v>3.51</v>
      </c>
      <c r="R369" s="4">
        <f>G369*(L369/100)*(O369/100)</f>
        <v/>
      </c>
      <c r="S369" s="4">
        <f>G369*(K369/360/100)*J369*(O369/100)</f>
        <v/>
      </c>
      <c r="T369" s="4">
        <f>P369-R369+Q369-S369</f>
        <v/>
      </c>
    </row>
    <row r="370">
      <c r="A370" s="2" t="inlineStr">
        <is>
          <t>Oro</t>
        </is>
      </c>
      <c r="B370" s="2" t="inlineStr">
        <is>
          <t>Amarillo</t>
        </is>
      </c>
      <c r="C370" s="3" t="n">
        <v>46027</v>
      </c>
      <c r="D370" s="2" t="inlineStr">
        <is>
          <t>B36620852</t>
        </is>
      </c>
      <c r="E370" s="2" t="inlineStr">
        <is>
          <t>Entarimado…</t>
        </is>
      </c>
      <c r="F370" s="2" t="n">
        <v>2748909</v>
      </c>
      <c r="G370" s="4" t="n">
        <v>847.28</v>
      </c>
      <c r="H370" s="3" t="n">
        <v>45994</v>
      </c>
      <c r="I370" s="3" t="n">
        <v>46062</v>
      </c>
      <c r="J370" s="2" t="n">
        <v>58</v>
      </c>
      <c r="K370" s="2" t="n">
        <v>20.33</v>
      </c>
      <c r="L370" s="2" t="n">
        <v>0.63</v>
      </c>
      <c r="M370" s="4" t="n">
        <v>5.34</v>
      </c>
      <c r="N370" s="4" t="n">
        <v>27.75</v>
      </c>
      <c r="O370" s="2" t="n">
        <v>30</v>
      </c>
      <c r="P370" s="4" t="n">
        <v>1.84</v>
      </c>
      <c r="Q370" s="4" t="n">
        <v>8.57</v>
      </c>
      <c r="R370" s="4">
        <f>G370*(L370/100)*(O370/100)</f>
        <v/>
      </c>
      <c r="S370" s="4">
        <f>G370*(K370/360/100)*J370*(O370/100)</f>
        <v/>
      </c>
      <c r="T370" s="4">
        <f>P370-R370+Q370-S370</f>
        <v/>
      </c>
    </row>
    <row r="371">
      <c r="A371" s="2" t="inlineStr">
        <is>
          <t>Oro</t>
        </is>
      </c>
      <c r="B371" s="2" t="inlineStr">
        <is>
          <t>Amarillo</t>
        </is>
      </c>
      <c r="C371" s="3" t="n">
        <v>46027</v>
      </c>
      <c r="D371" s="2" t="inlineStr">
        <is>
          <t>A26123274</t>
        </is>
      </c>
      <c r="E371" s="2" t="inlineStr">
        <is>
          <t>Sales Expa…</t>
        </is>
      </c>
      <c r="F371" s="2" t="n">
        <v>3230644</v>
      </c>
      <c r="G371" s="4" t="n">
        <v>1726.53</v>
      </c>
      <c r="H371" s="3" t="n">
        <v>45997</v>
      </c>
      <c r="I371" s="3" t="n">
        <v>46078</v>
      </c>
      <c r="J371" s="2" t="n">
        <v>15</v>
      </c>
      <c r="K371" s="2" t="n">
        <v>31.62</v>
      </c>
      <c r="L371" s="2" t="n">
        <v>2.86</v>
      </c>
      <c r="M371" s="4" t="n">
        <v>49.38</v>
      </c>
      <c r="N371" s="4" t="n">
        <v>22.75</v>
      </c>
      <c r="O371" s="2" t="n">
        <v>20</v>
      </c>
      <c r="P371" s="4" t="n">
        <v>10.02</v>
      </c>
      <c r="Q371" s="4" t="n">
        <v>4.36</v>
      </c>
      <c r="R371" s="4">
        <f>G371*(L371/100)*(O371/100)</f>
        <v/>
      </c>
      <c r="S371" s="4">
        <f>G371*(K371/360/100)*J371*(O371/100)</f>
        <v/>
      </c>
      <c r="T371" s="4">
        <f>P371-R371+Q371-S371</f>
        <v/>
      </c>
    </row>
    <row r="372">
      <c r="A372" s="2" t="inlineStr">
        <is>
          <t>Oro</t>
        </is>
      </c>
      <c r="B372" s="2" t="inlineStr">
        <is>
          <t>Amarillo</t>
        </is>
      </c>
      <c r="C372" s="3" t="n">
        <v>46027</v>
      </c>
      <c r="D372" s="2" t="inlineStr">
        <is>
          <t>B97041895</t>
        </is>
      </c>
      <c r="E372" s="2" t="inlineStr">
        <is>
          <t>Formulacio…</t>
        </is>
      </c>
      <c r="F372" s="2" t="n">
        <v>1800759</v>
      </c>
      <c r="G372" s="4" t="n">
        <v>671.98</v>
      </c>
      <c r="H372" s="3" t="n">
        <v>46007</v>
      </c>
      <c r="I372" s="3" t="n">
        <v>46061</v>
      </c>
      <c r="J372" s="2" t="n">
        <v>41</v>
      </c>
      <c r="K372" s="2" t="n">
        <v>17.05</v>
      </c>
      <c r="L372" s="2" t="n">
        <v>0.89</v>
      </c>
      <c r="M372" s="4" t="n">
        <v>5.98</v>
      </c>
      <c r="N372" s="4" t="n">
        <v>13.05</v>
      </c>
      <c r="O372" s="2" t="n">
        <v>40</v>
      </c>
      <c r="P372" s="4" t="n">
        <v>2.25</v>
      </c>
      <c r="Q372" s="4" t="n">
        <v>5.24</v>
      </c>
      <c r="R372" s="4">
        <f>G372*(L372/100)*(O372/100)</f>
        <v/>
      </c>
      <c r="S372" s="4">
        <f>G372*(K372/360/100)*J372*(O372/100)</f>
        <v/>
      </c>
      <c r="T372" s="4">
        <f>P372-R372+Q372-S372</f>
        <v/>
      </c>
    </row>
    <row r="373">
      <c r="A373" s="2" t="inlineStr">
        <is>
          <t>Oro</t>
        </is>
      </c>
      <c r="B373" s="2" t="inlineStr">
        <is>
          <t>Amarillo</t>
        </is>
      </c>
      <c r="C373" s="3" t="n">
        <v>46027</v>
      </c>
      <c r="D373" s="2" t="inlineStr">
        <is>
          <t>B09652862</t>
        </is>
      </c>
      <c r="E373" s="2" t="inlineStr">
        <is>
          <t>Telas Asoci…</t>
        </is>
      </c>
      <c r="F373" s="2" t="n">
        <v>4314110</v>
      </c>
      <c r="G373" s="4" t="n">
        <v>740.78</v>
      </c>
      <c r="H373" s="3" t="n">
        <v>46014</v>
      </c>
      <c r="I373" s="3" t="n">
        <v>46046</v>
      </c>
      <c r="J373" s="2" t="n">
        <v>19</v>
      </c>
      <c r="K373" s="2" t="n">
        <v>48.62</v>
      </c>
      <c r="L373" s="2" t="n">
        <v>2.95</v>
      </c>
      <c r="M373" s="4" t="n">
        <v>21.85</v>
      </c>
      <c r="N373" s="4" t="n">
        <v>19.01</v>
      </c>
      <c r="O373" s="2" t="n">
        <v>70</v>
      </c>
      <c r="P373" s="4" t="n">
        <v>15.59</v>
      </c>
      <c r="Q373" s="4" t="n">
        <v>13.28</v>
      </c>
      <c r="R373" s="4">
        <f>G373*(L373/100)*(O373/100)</f>
        <v/>
      </c>
      <c r="S373" s="4">
        <f>G373*(K373/360/100)*J373*(O373/100)</f>
        <v/>
      </c>
      <c r="T373" s="4">
        <f>P373-R373+Q373-S373</f>
        <v/>
      </c>
    </row>
    <row r="374">
      <c r="A374" s="2" t="inlineStr">
        <is>
          <t>Oro</t>
        </is>
      </c>
      <c r="B374" s="2" t="inlineStr">
        <is>
          <t>Amarillo</t>
        </is>
      </c>
      <c r="C374" s="3" t="n">
        <v>46027</v>
      </c>
      <c r="D374" s="2" t="inlineStr">
        <is>
          <t>A91563398</t>
        </is>
      </c>
      <c r="E374" s="2" t="inlineStr">
        <is>
          <t>Relés Cro…</t>
        </is>
      </c>
      <c r="F374" s="2" t="n">
        <v>2946912</v>
      </c>
      <c r="G374" s="4" t="n">
        <v>460.23</v>
      </c>
      <c r="H374" s="3" t="n">
        <v>46002</v>
      </c>
      <c r="I374" s="3" t="n">
        <v>46054</v>
      </c>
      <c r="J374" s="2" t="n">
        <v>36</v>
      </c>
      <c r="K374" s="2" t="n">
        <v>14.06</v>
      </c>
      <c r="L374" s="2" t="n">
        <v>0.97</v>
      </c>
      <c r="M374" s="4" t="n">
        <v>4.46</v>
      </c>
      <c r="N374" s="4" t="n">
        <v>6.47</v>
      </c>
      <c r="O374" s="2" t="n">
        <v>40</v>
      </c>
      <c r="P374" s="4" t="n">
        <v>1.96</v>
      </c>
      <c r="Q374" s="4" t="n">
        <v>2.79</v>
      </c>
      <c r="R374" s="4">
        <f>G374*(L374/100)*(O374/100)</f>
        <v/>
      </c>
      <c r="S374" s="4">
        <f>G374*(K374/360/100)*J374*(O374/100)</f>
        <v/>
      </c>
      <c r="T374" s="4">
        <f>P374-R374+Q374-S374</f>
        <v/>
      </c>
    </row>
    <row r="375">
      <c r="A375" s="2" t="inlineStr">
        <is>
          <t>Oro</t>
        </is>
      </c>
      <c r="B375" s="2" t="inlineStr">
        <is>
          <t>Amarillo</t>
        </is>
      </c>
      <c r="C375" s="3" t="n">
        <v>46027</v>
      </c>
      <c r="D375" s="2" t="inlineStr">
        <is>
          <t>B54261715</t>
        </is>
      </c>
      <c r="E375" s="2" t="inlineStr">
        <is>
          <t>Tintes Medi…</t>
        </is>
      </c>
      <c r="F375" s="2" t="n">
        <v>1687694</v>
      </c>
      <c r="G375" s="4" t="n">
        <v>990.54</v>
      </c>
      <c r="H375" s="3" t="n">
        <v>46014</v>
      </c>
      <c r="I375" s="3" t="n">
        <v>46150</v>
      </c>
      <c r="J375" s="2" t="n">
        <v>41</v>
      </c>
      <c r="K375" s="2" t="n">
        <v>44.68</v>
      </c>
      <c r="L375" s="2" t="n">
        <v>2.36</v>
      </c>
      <c r="M375" s="4" t="n">
        <v>23.38</v>
      </c>
      <c r="N375" s="4" t="n">
        <v>50.4</v>
      </c>
      <c r="O375" s="2" t="n">
        <v>50</v>
      </c>
      <c r="P375" s="4" t="n">
        <v>11.71</v>
      </c>
      <c r="Q375" s="4" t="n">
        <v>25.49</v>
      </c>
      <c r="R375" s="4">
        <f>G375*(L375/100)*(O375/100)</f>
        <v/>
      </c>
      <c r="S375" s="4">
        <f>G375*(K375/360/100)*J375*(O375/100)</f>
        <v/>
      </c>
      <c r="T375" s="4">
        <f>P375-R375+Q375-S375</f>
        <v/>
      </c>
    </row>
    <row r="376">
      <c r="A376" s="2" t="inlineStr">
        <is>
          <t>Oro</t>
        </is>
      </c>
      <c r="B376" s="2" t="inlineStr">
        <is>
          <t>Amarillo</t>
        </is>
      </c>
      <c r="C376" s="3" t="n">
        <v>46027</v>
      </c>
      <c r="D376" s="2" t="inlineStr">
        <is>
          <t>B41722577</t>
        </is>
      </c>
      <c r="E376" s="2" t="inlineStr">
        <is>
          <t>Resinas Se…</t>
        </is>
      </c>
      <c r="F376" s="2" t="n">
        <v>1134280</v>
      </c>
      <c r="G376" s="4" t="n">
        <v>483.46</v>
      </c>
      <c r="H376" s="3" t="n">
        <v>46014</v>
      </c>
      <c r="I376" s="3" t="n">
        <v>46148</v>
      </c>
      <c r="J376" s="2" t="n">
        <v>77</v>
      </c>
      <c r="K376" s="2" t="n">
        <v>34.93</v>
      </c>
      <c r="L376" s="2" t="n">
        <v>2.63</v>
      </c>
      <c r="M376" s="4" t="n">
        <v>12.71</v>
      </c>
      <c r="N376" s="4" t="n">
        <v>36.12</v>
      </c>
      <c r="O376" s="2" t="n">
        <v>70</v>
      </c>
      <c r="P376" s="4" t="n">
        <v>8.82</v>
      </c>
      <c r="Q376" s="4" t="n">
        <v>25.43</v>
      </c>
      <c r="R376" s="4">
        <f>G376*(L376/100)*(O376/100)</f>
        <v/>
      </c>
      <c r="S376" s="4">
        <f>G376*(K376/360/100)*J376*(O376/100)</f>
        <v/>
      </c>
      <c r="T376" s="4">
        <f>P376-R376+Q376-S376</f>
        <v/>
      </c>
    </row>
    <row r="377">
      <c r="A377" s="2" t="inlineStr">
        <is>
          <t>Oro</t>
        </is>
      </c>
      <c r="B377" s="2" t="inlineStr">
        <is>
          <t>Amarillo</t>
        </is>
      </c>
      <c r="C377" s="3" t="n">
        <v>46027</v>
      </c>
      <c r="D377" s="2" t="inlineStr">
        <is>
          <t>B89382373</t>
        </is>
      </c>
      <c r="E377" s="2" t="inlineStr">
        <is>
          <t>Polímeros…</t>
        </is>
      </c>
      <c r="F377" s="2" t="n">
        <v>2538623</v>
      </c>
      <c r="G377" s="4" t="n">
        <v>513.5</v>
      </c>
      <c r="H377" s="3" t="n">
        <v>46016</v>
      </c>
      <c r="I377" s="3" t="n">
        <v>46197</v>
      </c>
      <c r="J377" s="2" t="n">
        <v>16</v>
      </c>
      <c r="K377" s="2" t="n">
        <v>10.25</v>
      </c>
      <c r="L377" s="2" t="n">
        <v>2.98</v>
      </c>
      <c r="M377" s="4" t="n">
        <v>15.3</v>
      </c>
      <c r="N377" s="4" t="n">
        <v>2.34</v>
      </c>
      <c r="O377" s="2" t="n">
        <v>70</v>
      </c>
      <c r="P377" s="4" t="n">
        <v>10.88</v>
      </c>
      <c r="Q377" s="4" t="n">
        <v>1.44</v>
      </c>
      <c r="R377" s="4">
        <f>G377*(L377/100)*(O377/100)</f>
        <v/>
      </c>
      <c r="S377" s="4">
        <f>G377*(K377/360/100)*J377*(O377/100)</f>
        <v/>
      </c>
      <c r="T377" s="4">
        <f>P377-R377+Q377-S377</f>
        <v/>
      </c>
    </row>
    <row r="378">
      <c r="A378" s="2" t="inlineStr">
        <is>
          <t>Oro</t>
        </is>
      </c>
      <c r="B378" s="2" t="inlineStr">
        <is>
          <t>Amarillo</t>
        </is>
      </c>
      <c r="C378" s="3" t="n">
        <v>46027</v>
      </c>
      <c r="D378" s="2" t="inlineStr">
        <is>
          <t>A48673391</t>
        </is>
      </c>
      <c r="E378" s="2" t="inlineStr">
        <is>
          <t>Auditorías…</t>
        </is>
      </c>
      <c r="F378" s="2" t="n">
        <v>2987903</v>
      </c>
      <c r="G378" s="4" t="n">
        <v>7166.91</v>
      </c>
      <c r="H378" s="3" t="n">
        <v>46006</v>
      </c>
      <c r="I378" s="3" t="n">
        <v>46057</v>
      </c>
      <c r="J378" s="2" t="n">
        <v>29</v>
      </c>
      <c r="K378" s="2" t="n">
        <v>45.39</v>
      </c>
      <c r="L378" s="2" t="n">
        <v>2.05</v>
      </c>
      <c r="M378" s="4" t="n">
        <v>146.92</v>
      </c>
      <c r="N378" s="4" t="n">
        <v>262.05</v>
      </c>
      <c r="O378" s="2" t="n">
        <v>40</v>
      </c>
      <c r="P378" s="4" t="n">
        <v>59</v>
      </c>
      <c r="Q378" s="4" t="n">
        <v>104.95</v>
      </c>
      <c r="R378" s="4">
        <f>G378*(L378/100)*(O378/100)</f>
        <v/>
      </c>
      <c r="S378" s="4">
        <f>G378*(K378/360/100)*J378*(O378/100)</f>
        <v/>
      </c>
      <c r="T378" s="4">
        <f>P378-R378+Q378-S378</f>
        <v/>
      </c>
    </row>
    <row r="379">
      <c r="A379" s="2" t="inlineStr">
        <is>
          <t>Oro</t>
        </is>
      </c>
      <c r="B379" s="2" t="inlineStr">
        <is>
          <t>Amarillo</t>
        </is>
      </c>
      <c r="C379" s="3" t="n">
        <v>46027</v>
      </c>
      <c r="D379" s="2" t="inlineStr">
        <is>
          <t>A73888019</t>
        </is>
      </c>
      <c r="E379" s="2" t="inlineStr">
        <is>
          <t>Fletes Sect…</t>
        </is>
      </c>
      <c r="F379" s="2" t="n">
        <v>4561928</v>
      </c>
      <c r="G379" s="4" t="n">
        <v>9557.209999999999</v>
      </c>
      <c r="H379" s="3" t="n">
        <v>46014</v>
      </c>
      <c r="I379" s="3" t="n">
        <v>46117</v>
      </c>
      <c r="J379" s="2" t="n">
        <v>25</v>
      </c>
      <c r="K379" s="2" t="n">
        <v>10.86</v>
      </c>
      <c r="L379" s="2" t="n">
        <v>0.79</v>
      </c>
      <c r="M379" s="4" t="n">
        <v>75.5</v>
      </c>
      <c r="N379" s="4" t="n">
        <v>72.08</v>
      </c>
      <c r="O379" s="2" t="n">
        <v>40</v>
      </c>
      <c r="P379" s="4" t="n">
        <v>30.36</v>
      </c>
      <c r="Q379" s="4" t="n">
        <v>28.89</v>
      </c>
      <c r="R379" s="4">
        <f>G379*(L379/100)*(O379/100)</f>
        <v/>
      </c>
      <c r="S379" s="4">
        <f>G379*(K379/360/100)*J379*(O379/100)</f>
        <v/>
      </c>
      <c r="T379" s="4">
        <f>P379-R379+Q379-S379</f>
        <v/>
      </c>
    </row>
    <row r="380">
      <c r="A380" s="2" t="inlineStr">
        <is>
          <t>Oro</t>
        </is>
      </c>
      <c r="B380" s="2" t="inlineStr">
        <is>
          <t>Amarillo</t>
        </is>
      </c>
      <c r="C380" s="3" t="n">
        <v>46027</v>
      </c>
      <c r="D380" s="2" t="inlineStr">
        <is>
          <t>A23855489</t>
        </is>
      </c>
      <c r="E380" s="2" t="inlineStr">
        <is>
          <t>Harinas Atl…</t>
        </is>
      </c>
      <c r="F380" s="2" t="n">
        <v>2187167</v>
      </c>
      <c r="G380" s="4" t="n">
        <v>502.18</v>
      </c>
      <c r="H380" s="3" t="n">
        <v>46002</v>
      </c>
      <c r="I380" s="3" t="n">
        <v>46078</v>
      </c>
      <c r="J380" s="2" t="n">
        <v>43</v>
      </c>
      <c r="K380" s="2" t="n">
        <v>24.69</v>
      </c>
      <c r="L380" s="2" t="n">
        <v>1.35</v>
      </c>
      <c r="M380" s="4" t="n">
        <v>6.78</v>
      </c>
      <c r="N380" s="4" t="n">
        <v>14.81</v>
      </c>
      <c r="O380" s="2" t="n">
        <v>60</v>
      </c>
      <c r="P380" s="4" t="n">
        <v>4.05</v>
      </c>
      <c r="Q380" s="4" t="n">
        <v>9.01</v>
      </c>
      <c r="R380" s="4">
        <f>G380*(L380/100)*(O380/100)</f>
        <v/>
      </c>
      <c r="S380" s="4">
        <f>G380*(K380/360/100)*J380*(O380/100)</f>
        <v/>
      </c>
      <c r="T380" s="4">
        <f>P380-R380+Q380-S380</f>
        <v/>
      </c>
    </row>
    <row r="381">
      <c r="A381" s="2" t="inlineStr">
        <is>
          <t>Oro</t>
        </is>
      </c>
      <c r="B381" s="2" t="inlineStr">
        <is>
          <t>Amarillo</t>
        </is>
      </c>
      <c r="C381" s="3" t="n">
        <v>46027</v>
      </c>
      <c r="D381" s="2" t="inlineStr">
        <is>
          <t>B78732192</t>
        </is>
      </c>
      <c r="E381" s="2" t="inlineStr">
        <is>
          <t>Aleaciones…</t>
        </is>
      </c>
      <c r="F381" s="2" t="n">
        <v>2049099</v>
      </c>
      <c r="G381" s="4" t="n">
        <v>703.73</v>
      </c>
      <c r="H381" s="3" t="n">
        <v>45997</v>
      </c>
      <c r="I381" s="3" t="n">
        <v>46131</v>
      </c>
      <c r="J381" s="2" t="n">
        <v>55</v>
      </c>
      <c r="K381" s="2" t="n">
        <v>24.06</v>
      </c>
      <c r="L381" s="2" t="n">
        <v>2.8</v>
      </c>
      <c r="M381" s="4" t="n">
        <v>19.7</v>
      </c>
      <c r="N381" s="4" t="n">
        <v>25.87</v>
      </c>
      <c r="O381" s="2" t="n">
        <v>60</v>
      </c>
      <c r="P381" s="4" t="n">
        <v>11.72</v>
      </c>
      <c r="Q381" s="4" t="n">
        <v>15.51</v>
      </c>
      <c r="R381" s="4">
        <f>G381*(L381/100)*(O381/100)</f>
        <v/>
      </c>
      <c r="S381" s="4">
        <f>G381*(K381/360/100)*J381*(O381/100)</f>
        <v/>
      </c>
      <c r="T381" s="4">
        <f>P381-R381+Q381-S381</f>
        <v/>
      </c>
    </row>
    <row r="382">
      <c r="A382" s="2" t="inlineStr">
        <is>
          <t>Oro</t>
        </is>
      </c>
      <c r="B382" s="2" t="inlineStr">
        <is>
          <t>Amarillo</t>
        </is>
      </c>
      <c r="C382" s="3" t="n">
        <v>46027</v>
      </c>
      <c r="D382" s="2" t="inlineStr">
        <is>
          <t>A99381919</t>
        </is>
      </c>
      <c r="E382" s="2" t="inlineStr">
        <is>
          <t>Diodos Gig…</t>
        </is>
      </c>
      <c r="F382" s="2" t="n">
        <v>2149322</v>
      </c>
      <c r="G382" s="4" t="n">
        <v>866.09</v>
      </c>
      <c r="H382" s="3" t="n">
        <v>45997</v>
      </c>
      <c r="I382" s="3" t="n">
        <v>46083</v>
      </c>
      <c r="J382" s="2" t="n">
        <v>45</v>
      </c>
      <c r="K382" s="2" t="n">
        <v>32.07</v>
      </c>
      <c r="L382" s="2" t="n">
        <v>1.71</v>
      </c>
      <c r="M382" s="4" t="n">
        <v>14.81</v>
      </c>
      <c r="N382" s="4" t="n">
        <v>34.72</v>
      </c>
      <c r="O382" s="2" t="n">
        <v>40</v>
      </c>
      <c r="P382" s="4" t="n">
        <v>5.73</v>
      </c>
      <c r="Q382" s="4" t="n">
        <v>13.77</v>
      </c>
      <c r="R382" s="4">
        <f>G382*(L382/100)*(O382/100)</f>
        <v/>
      </c>
      <c r="S382" s="4">
        <f>G382*(K382/360/100)*J382*(O382/100)</f>
        <v/>
      </c>
      <c r="T382" s="4">
        <f>P382-R382+Q382-S382</f>
        <v/>
      </c>
    </row>
    <row r="383">
      <c r="A383" s="2" t="inlineStr">
        <is>
          <t>Oro</t>
        </is>
      </c>
      <c r="B383" s="2" t="inlineStr">
        <is>
          <t>Amarillo</t>
        </is>
      </c>
      <c r="C383" s="3" t="n">
        <v>46027</v>
      </c>
      <c r="D383" s="2" t="inlineStr">
        <is>
          <t>A26824603</t>
        </is>
      </c>
      <c r="E383" s="2" t="inlineStr">
        <is>
          <t>Rodamient…</t>
        </is>
      </c>
      <c r="F383" s="2" t="n">
        <v>1662858</v>
      </c>
      <c r="G383" s="4" t="n">
        <v>851.99</v>
      </c>
      <c r="H383" s="3" t="n">
        <v>46016</v>
      </c>
      <c r="I383" s="3" t="n">
        <v>46146</v>
      </c>
      <c r="J383" s="2" t="n">
        <v>38</v>
      </c>
      <c r="K383" s="2" t="n">
        <v>28.91</v>
      </c>
      <c r="L383" s="2" t="n">
        <v>0.58</v>
      </c>
      <c r="M383" s="4" t="n">
        <v>4.94</v>
      </c>
      <c r="N383" s="4" t="n">
        <v>26</v>
      </c>
      <c r="O383" s="2" t="n">
        <v>60</v>
      </c>
      <c r="P383" s="4" t="n">
        <v>3.14</v>
      </c>
      <c r="Q383" s="4" t="n">
        <v>15.57</v>
      </c>
      <c r="R383" s="4">
        <f>G383*(L383/100)*(O383/100)</f>
        <v/>
      </c>
      <c r="S383" s="4">
        <f>G383*(K383/360/100)*J383*(O383/100)</f>
        <v/>
      </c>
      <c r="T383" s="4">
        <f>P383-R383+Q383-S383</f>
        <v/>
      </c>
    </row>
    <row r="384">
      <c r="A384" s="2" t="inlineStr">
        <is>
          <t>Oro</t>
        </is>
      </c>
      <c r="B384" s="2" t="inlineStr">
        <is>
          <t>Amarillo</t>
        </is>
      </c>
      <c r="C384" s="3" t="n">
        <v>46027</v>
      </c>
      <c r="D384" s="2" t="inlineStr">
        <is>
          <t>B75393804</t>
        </is>
      </c>
      <c r="E384" s="2" t="inlineStr">
        <is>
          <t>Canalizacio…</t>
        </is>
      </c>
      <c r="F384" s="2" t="n">
        <v>2033522</v>
      </c>
      <c r="G384" s="4" t="n">
        <v>303.24</v>
      </c>
      <c r="H384" s="3" t="n">
        <v>46004</v>
      </c>
      <c r="I384" s="3" t="n">
        <v>46103</v>
      </c>
      <c r="J384" s="2" t="n">
        <v>18</v>
      </c>
      <c r="K384" s="2" t="n">
        <v>16.89</v>
      </c>
      <c r="L384" s="2" t="n">
        <v>2.72</v>
      </c>
      <c r="M384" s="4" t="n">
        <v>8.25</v>
      </c>
      <c r="N384" s="4" t="n">
        <v>2.56</v>
      </c>
      <c r="O384" s="2" t="n">
        <v>60</v>
      </c>
      <c r="P384" s="4" t="n">
        <v>4.93</v>
      </c>
      <c r="Q384" s="4" t="n">
        <v>1.68</v>
      </c>
      <c r="R384" s="4">
        <f>G384*(L384/100)*(O384/100)</f>
        <v/>
      </c>
      <c r="S384" s="4">
        <f>G384*(K384/360/100)*J384*(O384/100)</f>
        <v/>
      </c>
      <c r="T384" s="4">
        <f>P384-R384+Q384-S384</f>
        <v/>
      </c>
    </row>
    <row r="385">
      <c r="A385" s="2" t="inlineStr">
        <is>
          <t>Oro</t>
        </is>
      </c>
      <c r="B385" s="2" t="inlineStr">
        <is>
          <t>Amarillo</t>
        </is>
      </c>
      <c r="C385" s="3" t="n">
        <v>46027</v>
      </c>
      <c r="D385" s="2" t="inlineStr">
        <is>
          <t>B68298716</t>
        </is>
      </c>
      <c r="E385" s="2" t="inlineStr">
        <is>
          <t>Sistemas E…</t>
        </is>
      </c>
      <c r="F385" s="2" t="n">
        <v>1790480</v>
      </c>
      <c r="G385" s="4" t="n">
        <v>649.52</v>
      </c>
      <c r="H385" s="3" t="n">
        <v>45993</v>
      </c>
      <c r="I385" s="3" t="n">
        <v>46043</v>
      </c>
      <c r="J385" s="2" t="n">
        <v>69</v>
      </c>
      <c r="K385" s="2" t="n">
        <v>19.15</v>
      </c>
      <c r="L385" s="2" t="n">
        <v>2.17</v>
      </c>
      <c r="M385" s="4" t="n">
        <v>14.09</v>
      </c>
      <c r="N385" s="4" t="n">
        <v>23.84</v>
      </c>
      <c r="O385" s="2" t="n">
        <v>30</v>
      </c>
      <c r="P385" s="4" t="n">
        <v>4.18</v>
      </c>
      <c r="Q385" s="4" t="n">
        <v>6.95</v>
      </c>
      <c r="R385" s="4">
        <f>G385*(L385/100)*(O385/100)</f>
        <v/>
      </c>
      <c r="S385" s="4">
        <f>G385*(K385/360/100)*J385*(O385/100)</f>
        <v/>
      </c>
      <c r="T385" s="4">
        <f>P385-R385+Q385-S385</f>
        <v/>
      </c>
    </row>
    <row r="386">
      <c r="A386" s="2" t="inlineStr">
        <is>
          <t>Oro</t>
        </is>
      </c>
      <c r="B386" s="2" t="inlineStr">
        <is>
          <t>Amarillo</t>
        </is>
      </c>
      <c r="C386" s="3" t="n">
        <v>46027</v>
      </c>
      <c r="D386" s="2" t="inlineStr">
        <is>
          <t>A38358129</t>
        </is>
      </c>
      <c r="E386" s="2" t="inlineStr">
        <is>
          <t>Cargas Re…</t>
        </is>
      </c>
      <c r="F386" s="2" t="n">
        <v>1069875</v>
      </c>
      <c r="G386" s="4" t="n">
        <v>944.26</v>
      </c>
      <c r="H386" s="3" t="n">
        <v>46013</v>
      </c>
      <c r="I386" s="3" t="n">
        <v>46146</v>
      </c>
      <c r="J386" s="2" t="n">
        <v>14</v>
      </c>
      <c r="K386" s="2" t="n">
        <v>48.73</v>
      </c>
      <c r="L386" s="2" t="n">
        <v>2.91</v>
      </c>
      <c r="M386" s="4" t="n">
        <v>27.48</v>
      </c>
      <c r="N386" s="4" t="n">
        <v>17.89</v>
      </c>
      <c r="O386" s="2" t="n">
        <v>60</v>
      </c>
      <c r="P386" s="4" t="n">
        <v>16.26</v>
      </c>
      <c r="Q386" s="4" t="n">
        <v>10.96</v>
      </c>
      <c r="R386" s="4">
        <f>G386*(L386/100)*(O386/100)</f>
        <v/>
      </c>
      <c r="S386" s="4">
        <f>G386*(K386/360/100)*J386*(O386/100)</f>
        <v/>
      </c>
      <c r="T386" s="4">
        <f>P386-R386+Q386-S386</f>
        <v/>
      </c>
    </row>
    <row r="387">
      <c r="A387" s="2" t="inlineStr">
        <is>
          <t>Oro</t>
        </is>
      </c>
      <c r="B387" s="2" t="inlineStr">
        <is>
          <t>Amarillo</t>
        </is>
      </c>
      <c r="C387" s="3" t="n">
        <v>46027</v>
      </c>
      <c r="D387" s="2" t="inlineStr">
        <is>
          <t>A75127506</t>
        </is>
      </c>
      <c r="E387" s="2" t="inlineStr">
        <is>
          <t>Certificacio…</t>
        </is>
      </c>
      <c r="F387" s="2" t="n">
        <v>2692471</v>
      </c>
      <c r="G387" s="4" t="n">
        <v>9570.77</v>
      </c>
      <c r="H387" s="3" t="n">
        <v>46013</v>
      </c>
      <c r="I387" s="3" t="n">
        <v>46191</v>
      </c>
      <c r="J387" s="2" t="n">
        <v>14</v>
      </c>
      <c r="K387" s="2" t="n">
        <v>31.06</v>
      </c>
      <c r="L387" s="2" t="n">
        <v>0.91</v>
      </c>
      <c r="M387" s="4" t="n">
        <v>87.09</v>
      </c>
      <c r="N387" s="4" t="n">
        <v>115.6</v>
      </c>
      <c r="O387" s="2" t="n">
        <v>20</v>
      </c>
      <c r="P387" s="4" t="n">
        <v>17.7</v>
      </c>
      <c r="Q387" s="4" t="n">
        <v>23.32</v>
      </c>
      <c r="R387" s="4">
        <f>G387*(L387/100)*(O387/100)</f>
        <v/>
      </c>
      <c r="S387" s="4">
        <f>G387*(K387/360/100)*J387*(O387/100)</f>
        <v/>
      </c>
      <c r="T387" s="4">
        <f>P387-R387+Q387-S387</f>
        <v/>
      </c>
    </row>
    <row r="388">
      <c r="A388" s="2" t="inlineStr">
        <is>
          <t>Oro</t>
        </is>
      </c>
      <c r="B388" s="2" t="inlineStr">
        <is>
          <t>Amarillo</t>
        </is>
      </c>
      <c r="C388" s="3" t="n">
        <v>46027</v>
      </c>
      <c r="D388" s="2" t="inlineStr">
        <is>
          <t>B55804374</t>
        </is>
      </c>
      <c r="E388" s="2" t="inlineStr">
        <is>
          <t>Cartones P…</t>
        </is>
      </c>
      <c r="F388" s="2" t="n">
        <v>3579704</v>
      </c>
      <c r="G388" s="4" t="n">
        <v>844.23</v>
      </c>
      <c r="H388" s="3" t="n">
        <v>46003</v>
      </c>
      <c r="I388" s="3" t="n">
        <v>46063</v>
      </c>
      <c r="J388" s="2" t="n">
        <v>87</v>
      </c>
      <c r="K388" s="2" t="n">
        <v>34.14</v>
      </c>
      <c r="L388" s="2" t="n">
        <v>1.08</v>
      </c>
      <c r="M388" s="4" t="n">
        <v>9.119999999999999</v>
      </c>
      <c r="N388" s="4" t="n">
        <v>69.65000000000001</v>
      </c>
      <c r="O388" s="2" t="n">
        <v>20</v>
      </c>
      <c r="P388" s="4" t="n">
        <v>1.53</v>
      </c>
      <c r="Q388" s="4" t="n">
        <v>13.98</v>
      </c>
      <c r="R388" s="4">
        <f>G388*(L388/100)*(O388/100)</f>
        <v/>
      </c>
      <c r="S388" s="4">
        <f>G388*(K388/360/100)*J388*(O388/100)</f>
        <v/>
      </c>
      <c r="T388" s="4">
        <f>P388-R388+Q388-S388</f>
        <v/>
      </c>
    </row>
    <row r="389">
      <c r="A389" s="2" t="inlineStr">
        <is>
          <t>Oro</t>
        </is>
      </c>
      <c r="B389" s="2" t="inlineStr">
        <is>
          <t>Amarillo</t>
        </is>
      </c>
      <c r="C389" s="3" t="n">
        <v>46027</v>
      </c>
      <c r="D389" s="2" t="inlineStr">
        <is>
          <t>A40233317</t>
        </is>
      </c>
      <c r="E389" s="2" t="inlineStr">
        <is>
          <t>Cuarzos La…</t>
        </is>
      </c>
      <c r="F389" s="2" t="n">
        <v>1943998</v>
      </c>
      <c r="G389" s="4" t="n">
        <v>9549.059999999999</v>
      </c>
      <c r="H389" s="3" t="n">
        <v>45995</v>
      </c>
      <c r="I389" s="3" t="n">
        <v>46176</v>
      </c>
      <c r="J389" s="2" t="n">
        <v>31</v>
      </c>
      <c r="K389" s="2" t="n">
        <v>15.38</v>
      </c>
      <c r="L389" s="2" t="n">
        <v>1.95</v>
      </c>
      <c r="M389" s="4" t="n">
        <v>186.21</v>
      </c>
      <c r="N389" s="4" t="n">
        <v>126.47</v>
      </c>
      <c r="O389" s="2" t="n">
        <v>30</v>
      </c>
      <c r="P389" s="4" t="n">
        <v>55.91</v>
      </c>
      <c r="Q389" s="4" t="n">
        <v>37.82</v>
      </c>
      <c r="R389" s="4">
        <f>G389*(L389/100)*(O389/100)</f>
        <v/>
      </c>
      <c r="S389" s="4">
        <f>G389*(K389/360/100)*J389*(O389/100)</f>
        <v/>
      </c>
      <c r="T389" s="4">
        <f>P389-R389+Q389-S389</f>
        <v/>
      </c>
    </row>
    <row r="390">
      <c r="A390" s="2" t="inlineStr">
        <is>
          <t>Oro</t>
        </is>
      </c>
      <c r="B390" s="2" t="inlineStr">
        <is>
          <t>Amarillo</t>
        </is>
      </c>
      <c r="C390" s="3" t="n">
        <v>46027</v>
      </c>
      <c r="D390" s="2" t="inlineStr">
        <is>
          <t>B83741355</t>
        </is>
      </c>
      <c r="E390" s="2" t="inlineStr">
        <is>
          <t>Parquets Lí…</t>
        </is>
      </c>
      <c r="F390" s="2" t="n">
        <v>3999397</v>
      </c>
      <c r="G390" s="4" t="n">
        <v>5795.02</v>
      </c>
      <c r="H390" s="3" t="n">
        <v>45998</v>
      </c>
      <c r="I390" s="3" t="n">
        <v>46168</v>
      </c>
      <c r="J390" s="2" t="n">
        <v>11</v>
      </c>
      <c r="K390" s="2" t="n">
        <v>40.05</v>
      </c>
      <c r="L390" s="2" t="n">
        <v>2.73</v>
      </c>
      <c r="M390" s="4" t="n">
        <v>158.2</v>
      </c>
      <c r="N390" s="4" t="n">
        <v>70.92</v>
      </c>
      <c r="O390" s="2" t="n">
        <v>70</v>
      </c>
      <c r="P390" s="4" t="n">
        <v>110.91</v>
      </c>
      <c r="Q390" s="4" t="n">
        <v>49.55</v>
      </c>
      <c r="R390" s="4">
        <f>G390*(L390/100)*(O390/100)</f>
        <v/>
      </c>
      <c r="S390" s="4">
        <f>G390*(K390/360/100)*J390*(O390/100)</f>
        <v/>
      </c>
      <c r="T390" s="4">
        <f>P390-R390+Q390-S390</f>
        <v/>
      </c>
    </row>
    <row r="391">
      <c r="A391" s="2" t="inlineStr">
        <is>
          <t>Oro</t>
        </is>
      </c>
      <c r="B391" s="2" t="inlineStr">
        <is>
          <t>Amarillo</t>
        </is>
      </c>
      <c r="C391" s="3" t="n">
        <v>46027</v>
      </c>
      <c r="D391" s="2" t="inlineStr">
        <is>
          <t>B09286084</t>
        </is>
      </c>
      <c r="E391" s="2" t="inlineStr">
        <is>
          <t>Engranajes…</t>
        </is>
      </c>
      <c r="F391" s="2" t="n">
        <v>2256074</v>
      </c>
      <c r="G391" s="4" t="n">
        <v>112.59</v>
      </c>
      <c r="H391" s="3" t="n">
        <v>46004</v>
      </c>
      <c r="I391" s="3" t="n">
        <v>46163</v>
      </c>
      <c r="J391" s="2" t="n">
        <v>61</v>
      </c>
      <c r="K391" s="2" t="n">
        <v>31.26</v>
      </c>
      <c r="L391" s="2" t="n">
        <v>2.66</v>
      </c>
      <c r="M391" s="4" t="n">
        <v>2.99</v>
      </c>
      <c r="N391" s="4" t="n">
        <v>5.96</v>
      </c>
      <c r="O391" s="2" t="n">
        <v>60</v>
      </c>
      <c r="P391" s="4" t="n">
        <v>1.83</v>
      </c>
      <c r="Q391" s="4" t="n">
        <v>3.37</v>
      </c>
      <c r="R391" s="4">
        <f>G391*(L391/100)*(O391/100)</f>
        <v/>
      </c>
      <c r="S391" s="4">
        <f>G391*(K391/360/100)*J391*(O391/100)</f>
        <v/>
      </c>
      <c r="T391" s="4">
        <f>P391-R391+Q391-S391</f>
        <v/>
      </c>
    </row>
    <row r="392">
      <c r="A392" s="2" t="inlineStr">
        <is>
          <t>Oro</t>
        </is>
      </c>
      <c r="B392" s="2" t="inlineStr">
        <is>
          <t>Amarillo</t>
        </is>
      </c>
      <c r="C392" s="3" t="n">
        <v>46027</v>
      </c>
      <c r="D392" s="2" t="inlineStr">
        <is>
          <t>A15867466</t>
        </is>
      </c>
      <c r="E392" s="2" t="inlineStr">
        <is>
          <t>Fletes Traz…</t>
        </is>
      </c>
      <c r="F392" s="2" t="n">
        <v>4080170</v>
      </c>
      <c r="G392" s="4" t="n">
        <v>287.1</v>
      </c>
      <c r="H392" s="3" t="n">
        <v>46003</v>
      </c>
      <c r="I392" s="3" t="n">
        <v>46134</v>
      </c>
      <c r="J392" s="2" t="n">
        <v>35</v>
      </c>
      <c r="K392" s="2" t="n">
        <v>46.4</v>
      </c>
      <c r="L392" s="2" t="n">
        <v>0.54</v>
      </c>
      <c r="M392" s="4" t="n">
        <v>1.55</v>
      </c>
      <c r="N392" s="4" t="n">
        <v>12.95</v>
      </c>
      <c r="O392" s="2" t="n">
        <v>30</v>
      </c>
      <c r="P392" s="4" t="n">
        <v>0.48</v>
      </c>
      <c r="Q392" s="4" t="n">
        <v>3.99</v>
      </c>
      <c r="R392" s="4">
        <f>G392*(L392/100)*(O392/100)</f>
        <v/>
      </c>
      <c r="S392" s="4">
        <f>G392*(K392/360/100)*J392*(O392/100)</f>
        <v/>
      </c>
      <c r="T392" s="4">
        <f>P392-R392+Q392-S392</f>
        <v/>
      </c>
    </row>
    <row r="393">
      <c r="A393" s="2" t="inlineStr">
        <is>
          <t>Oro</t>
        </is>
      </c>
      <c r="B393" s="2" t="inlineStr">
        <is>
          <t>Amarillo</t>
        </is>
      </c>
      <c r="C393" s="3" t="n">
        <v>46027</v>
      </c>
      <c r="D393" s="2" t="inlineStr">
        <is>
          <t>B36183561</t>
        </is>
      </c>
      <c r="E393" s="2" t="inlineStr">
        <is>
          <t>Baterías M…</t>
        </is>
      </c>
      <c r="F393" s="2" t="n">
        <v>4790619</v>
      </c>
      <c r="G393" s="4" t="n">
        <v>5837.89</v>
      </c>
      <c r="H393" s="3" t="n">
        <v>45997</v>
      </c>
      <c r="I393" s="3" t="n">
        <v>46071</v>
      </c>
      <c r="J393" s="2" t="n">
        <v>37</v>
      </c>
      <c r="K393" s="2" t="n">
        <v>43.41</v>
      </c>
      <c r="L393" s="2" t="n">
        <v>1.68</v>
      </c>
      <c r="M393" s="4" t="n">
        <v>98.08</v>
      </c>
      <c r="N393" s="4" t="n">
        <v>260.46</v>
      </c>
      <c r="O393" s="2" t="n">
        <v>70</v>
      </c>
      <c r="P393" s="4" t="n">
        <v>68.48</v>
      </c>
      <c r="Q393" s="4" t="n">
        <v>182.04</v>
      </c>
      <c r="R393" s="4">
        <f>G393*(L393/100)*(O393/100)</f>
        <v/>
      </c>
      <c r="S393" s="4">
        <f>G393*(K393/360/100)*J393*(O393/100)</f>
        <v/>
      </c>
      <c r="T393" s="4">
        <f>P393-R393+Q393-S393</f>
        <v/>
      </c>
    </row>
    <row r="394">
      <c r="A394" s="2" t="inlineStr">
        <is>
          <t>Oro</t>
        </is>
      </c>
      <c r="B394" s="2" t="inlineStr">
        <is>
          <t>Amarillo</t>
        </is>
      </c>
      <c r="C394" s="3" t="n">
        <v>46027</v>
      </c>
      <c r="D394" s="2" t="inlineStr">
        <is>
          <t>B38637782</t>
        </is>
      </c>
      <c r="E394" s="2" t="inlineStr">
        <is>
          <t>Ejes Antioxi…</t>
        </is>
      </c>
      <c r="F394" s="2" t="n">
        <v>1264903</v>
      </c>
      <c r="G394" s="4" t="n">
        <v>926.08</v>
      </c>
      <c r="H394" s="3" t="n">
        <v>46014</v>
      </c>
      <c r="I394" s="3" t="n">
        <v>46044</v>
      </c>
      <c r="J394" s="2" t="n">
        <v>71</v>
      </c>
      <c r="K394" s="2" t="n">
        <v>38.12</v>
      </c>
      <c r="L394" s="2" t="n">
        <v>2.73</v>
      </c>
      <c r="M394" s="4" t="n">
        <v>25.28</v>
      </c>
      <c r="N394" s="4" t="n">
        <v>69.62</v>
      </c>
      <c r="O394" s="2" t="n">
        <v>30</v>
      </c>
      <c r="P394" s="4" t="n">
        <v>7.86</v>
      </c>
      <c r="Q394" s="4" t="n">
        <v>20.81</v>
      </c>
      <c r="R394" s="4">
        <f>G394*(L394/100)*(O394/100)</f>
        <v/>
      </c>
      <c r="S394" s="4">
        <f>G394*(K394/360/100)*J394*(O394/100)</f>
        <v/>
      </c>
      <c r="T394" s="4">
        <f>P394-R394+Q394-S394</f>
        <v/>
      </c>
    </row>
    <row r="395">
      <c r="A395" s="2" t="inlineStr">
        <is>
          <t>Oro</t>
        </is>
      </c>
      <c r="B395" s="2" t="inlineStr">
        <is>
          <t>Amarillo</t>
        </is>
      </c>
      <c r="C395" s="3" t="n">
        <v>46027</v>
      </c>
      <c r="D395" s="2" t="inlineStr">
        <is>
          <t>A75740753</t>
        </is>
      </c>
      <c r="E395" s="2" t="inlineStr">
        <is>
          <t>Proteínas…</t>
        </is>
      </c>
      <c r="F395" s="2" t="n">
        <v>3814426</v>
      </c>
      <c r="G395" s="4" t="n">
        <v>276.82</v>
      </c>
      <c r="H395" s="3" t="n">
        <v>45994</v>
      </c>
      <c r="I395" s="3" t="n">
        <v>46181</v>
      </c>
      <c r="J395" s="2" t="n">
        <v>78</v>
      </c>
      <c r="K395" s="2" t="n">
        <v>38.55</v>
      </c>
      <c r="L395" s="2" t="n">
        <v>2.74</v>
      </c>
      <c r="M395" s="4" t="n">
        <v>7.58</v>
      </c>
      <c r="N395" s="4" t="n">
        <v>23.12</v>
      </c>
      <c r="O395" s="2" t="n">
        <v>20</v>
      </c>
      <c r="P395" s="4" t="n">
        <v>1.34</v>
      </c>
      <c r="Q395" s="4" t="n">
        <v>4.6</v>
      </c>
      <c r="R395" s="4">
        <f>G395*(L395/100)*(O395/100)</f>
        <v/>
      </c>
      <c r="S395" s="4">
        <f>G395*(K395/360/100)*J395*(O395/100)</f>
        <v/>
      </c>
      <c r="T395" s="4">
        <f>P395-R395+Q395-S395</f>
        <v/>
      </c>
    </row>
    <row r="396">
      <c r="A396" s="2" t="inlineStr">
        <is>
          <t>Oro</t>
        </is>
      </c>
      <c r="B396" s="2" t="inlineStr">
        <is>
          <t>Amarillo</t>
        </is>
      </c>
      <c r="C396" s="3" t="n">
        <v>46027</v>
      </c>
      <c r="D396" s="2" t="inlineStr">
        <is>
          <t>B27653469</t>
        </is>
      </c>
      <c r="E396" s="2" t="inlineStr">
        <is>
          <t>Áridos Sold…</t>
        </is>
      </c>
      <c r="F396" s="2" t="n">
        <v>2479426</v>
      </c>
      <c r="G396" s="4" t="n">
        <v>8948.629999999999</v>
      </c>
      <c r="H396" s="3" t="n">
        <v>46006</v>
      </c>
      <c r="I396" s="3" t="n">
        <v>46180</v>
      </c>
      <c r="J396" s="2" t="n">
        <v>87</v>
      </c>
      <c r="K396" s="2" t="n">
        <v>41.81</v>
      </c>
      <c r="L396" s="2" t="n">
        <v>2.33</v>
      </c>
      <c r="M396" s="4" t="n">
        <v>208.5</v>
      </c>
      <c r="N396" s="4" t="n">
        <v>904.1799999999999</v>
      </c>
      <c r="O396" s="2" t="n">
        <v>40</v>
      </c>
      <c r="P396" s="4" t="n">
        <v>83.23</v>
      </c>
      <c r="Q396" s="4" t="n">
        <v>361.65</v>
      </c>
      <c r="R396" s="4">
        <f>G396*(L396/100)*(O396/100)</f>
        <v/>
      </c>
      <c r="S396" s="4">
        <f>G396*(K396/360/100)*J396*(O396/100)</f>
        <v/>
      </c>
      <c r="T396" s="4">
        <f>P396-R396+Q396-S396</f>
        <v/>
      </c>
    </row>
    <row r="397">
      <c r="A397" s="2" t="inlineStr">
        <is>
          <t>Oro</t>
        </is>
      </c>
      <c r="B397" s="2" t="inlineStr">
        <is>
          <t>Amarillo</t>
        </is>
      </c>
      <c r="C397" s="3" t="n">
        <v>46027</v>
      </c>
      <c r="D397" s="2" t="inlineStr">
        <is>
          <t>B44792460</t>
        </is>
      </c>
      <c r="E397" s="2" t="inlineStr">
        <is>
          <t>Cables Ma…</t>
        </is>
      </c>
      <c r="F397" s="2" t="n">
        <v>2187075</v>
      </c>
      <c r="G397" s="4" t="n">
        <v>870.3</v>
      </c>
      <c r="H397" s="3" t="n">
        <v>45997</v>
      </c>
      <c r="I397" s="3" t="n">
        <v>46105</v>
      </c>
      <c r="J397" s="2" t="n">
        <v>62</v>
      </c>
      <c r="K397" s="2" t="n">
        <v>46</v>
      </c>
      <c r="L397" s="2" t="n">
        <v>1.7</v>
      </c>
      <c r="M397" s="4" t="n">
        <v>14.8</v>
      </c>
      <c r="N397" s="4" t="n">
        <v>68.95</v>
      </c>
      <c r="O397" s="2" t="n">
        <v>40</v>
      </c>
      <c r="P397" s="4" t="n">
        <v>6.01</v>
      </c>
      <c r="Q397" s="4" t="n">
        <v>27.79</v>
      </c>
      <c r="R397" s="4">
        <f>G397*(L397/100)*(O397/100)</f>
        <v/>
      </c>
      <c r="S397" s="4">
        <f>G397*(K397/360/100)*J397*(O397/100)</f>
        <v/>
      </c>
      <c r="T397" s="4">
        <f>P397-R397+Q397-S397</f>
        <v/>
      </c>
    </row>
    <row r="398">
      <c r="A398" s="2" t="inlineStr">
        <is>
          <t>Oro</t>
        </is>
      </c>
      <c r="B398" s="2" t="inlineStr">
        <is>
          <t>Amarillo</t>
        </is>
      </c>
      <c r="C398" s="3" t="n">
        <v>46027</v>
      </c>
      <c r="D398" s="2" t="inlineStr">
        <is>
          <t>B53934415</t>
        </is>
      </c>
      <c r="E398" s="2" t="inlineStr">
        <is>
          <t>Variadores…</t>
        </is>
      </c>
      <c r="F398" s="2" t="n">
        <v>4616323</v>
      </c>
      <c r="G398" s="4" t="n">
        <v>726.98</v>
      </c>
      <c r="H398" s="3" t="n">
        <v>46017</v>
      </c>
      <c r="I398" s="3" t="n">
        <v>46108</v>
      </c>
      <c r="J398" s="2" t="n">
        <v>47</v>
      </c>
      <c r="K398" s="2" t="n">
        <v>19.13</v>
      </c>
      <c r="L398" s="2" t="n">
        <v>2.85</v>
      </c>
      <c r="M398" s="4" t="n">
        <v>20.72</v>
      </c>
      <c r="N398" s="4" t="n">
        <v>18.16</v>
      </c>
      <c r="O398" s="2" t="n">
        <v>40</v>
      </c>
      <c r="P398" s="4" t="n">
        <v>8.58</v>
      </c>
      <c r="Q398" s="4" t="n">
        <v>7.1</v>
      </c>
      <c r="R398" s="4">
        <f>G398*(L398/100)*(O398/100)</f>
        <v/>
      </c>
      <c r="S398" s="4">
        <f>G398*(K398/360/100)*J398*(O398/100)</f>
        <v/>
      </c>
      <c r="T398" s="4">
        <f>P398-R398+Q398-S398</f>
        <v/>
      </c>
    </row>
    <row r="399">
      <c r="A399" s="2" t="inlineStr">
        <is>
          <t>Oro</t>
        </is>
      </c>
      <c r="B399" s="2" t="inlineStr">
        <is>
          <t>Amarillo</t>
        </is>
      </c>
      <c r="C399" s="3" t="n">
        <v>46027</v>
      </c>
      <c r="D399" s="2" t="inlineStr">
        <is>
          <t>B24639776</t>
        </is>
      </c>
      <c r="E399" s="2" t="inlineStr">
        <is>
          <t>Colas Reci…</t>
        </is>
      </c>
      <c r="F399" s="2" t="n">
        <v>3246981</v>
      </c>
      <c r="G399" s="4" t="n">
        <v>182.34</v>
      </c>
      <c r="H399" s="3" t="n">
        <v>46004</v>
      </c>
      <c r="I399" s="3" t="n">
        <v>46175</v>
      </c>
      <c r="J399" s="2" t="n">
        <v>57</v>
      </c>
      <c r="K399" s="2" t="n">
        <v>21.89</v>
      </c>
      <c r="L399" s="2" t="n">
        <v>2.27</v>
      </c>
      <c r="M399" s="4" t="n">
        <v>4.14</v>
      </c>
      <c r="N399" s="4" t="n">
        <v>6.32</v>
      </c>
      <c r="O399" s="2" t="n">
        <v>30</v>
      </c>
      <c r="P399" s="4" t="n">
        <v>1.3</v>
      </c>
      <c r="Q399" s="4" t="n">
        <v>2.09</v>
      </c>
      <c r="R399" s="4">
        <f>G399*(L399/100)*(O399/100)</f>
        <v/>
      </c>
      <c r="S399" s="4">
        <f>G399*(K399/360/100)*J399*(O399/100)</f>
        <v/>
      </c>
      <c r="T399" s="4">
        <f>P399-R399+Q399-S399</f>
        <v/>
      </c>
    </row>
    <row r="400">
      <c r="A400" s="2" t="inlineStr">
        <is>
          <t>Oro</t>
        </is>
      </c>
      <c r="B400" s="2" t="inlineStr">
        <is>
          <t>Amarillo</t>
        </is>
      </c>
      <c r="C400" s="3" t="n">
        <v>46027</v>
      </c>
      <c r="D400" s="2" t="inlineStr">
        <is>
          <t>B43920097</t>
        </is>
      </c>
      <c r="E400" s="2" t="inlineStr">
        <is>
          <t>Cartones P…</t>
        </is>
      </c>
      <c r="F400" s="2" t="n">
        <v>1291044</v>
      </c>
      <c r="G400" s="4" t="n">
        <v>293.15</v>
      </c>
      <c r="H400" s="3" t="n">
        <v>45992</v>
      </c>
      <c r="I400" s="3" t="n">
        <v>46079</v>
      </c>
      <c r="J400" s="2" t="n">
        <v>50</v>
      </c>
      <c r="K400" s="2" t="n">
        <v>13.31</v>
      </c>
      <c r="L400" s="2" t="n">
        <v>0.62</v>
      </c>
      <c r="M400" s="4" t="n">
        <v>1.82</v>
      </c>
      <c r="N400" s="4" t="n">
        <v>5.42</v>
      </c>
      <c r="O400" s="2" t="n">
        <v>40</v>
      </c>
      <c r="P400" s="4" t="n">
        <v>0.78</v>
      </c>
      <c r="Q400" s="4" t="n">
        <v>2.36</v>
      </c>
      <c r="R400" s="4">
        <f>G400*(L400/100)*(O400/100)</f>
        <v/>
      </c>
      <c r="S400" s="4">
        <f>G400*(K400/360/100)*J400*(O400/100)</f>
        <v/>
      </c>
      <c r="T400" s="4">
        <f>P400-R400+Q400-S400</f>
        <v/>
      </c>
    </row>
    <row r="401">
      <c r="A401" s="2" t="inlineStr">
        <is>
          <t>Oro</t>
        </is>
      </c>
      <c r="B401" s="2" t="inlineStr">
        <is>
          <t>Amarillo</t>
        </is>
      </c>
      <c r="C401" s="3" t="n">
        <v>46027</v>
      </c>
      <c r="D401" s="2" t="inlineStr">
        <is>
          <t>B58558391</t>
        </is>
      </c>
      <c r="E401" s="2" t="inlineStr">
        <is>
          <t>Filtrados Li…</t>
        </is>
      </c>
      <c r="F401" s="2" t="n">
        <v>2323446</v>
      </c>
      <c r="G401" s="4" t="n">
        <v>952.4</v>
      </c>
      <c r="H401" s="3" t="n">
        <v>46008</v>
      </c>
      <c r="I401" s="3" t="n">
        <v>46076</v>
      </c>
      <c r="J401" s="2" t="n">
        <v>35</v>
      </c>
      <c r="K401" s="2" t="n">
        <v>23.21</v>
      </c>
      <c r="L401" s="2" t="n">
        <v>2.79</v>
      </c>
      <c r="M401" s="4" t="n">
        <v>26.57</v>
      </c>
      <c r="N401" s="4" t="n">
        <v>21.49</v>
      </c>
      <c r="O401" s="2" t="n">
        <v>50</v>
      </c>
      <c r="P401" s="4" t="n">
        <v>13.37</v>
      </c>
      <c r="Q401" s="4" t="n">
        <v>11.04</v>
      </c>
      <c r="R401" s="4">
        <f>G401*(L401/100)*(O401/100)</f>
        <v/>
      </c>
      <c r="S401" s="4">
        <f>G401*(K401/360/100)*J401*(O401/100)</f>
        <v/>
      </c>
      <c r="T401" s="4">
        <f>P401-R401+Q401-S401</f>
        <v/>
      </c>
    </row>
    <row r="402">
      <c r="A402" s="2" t="inlineStr">
        <is>
          <t>Oro</t>
        </is>
      </c>
      <c r="B402" s="2" t="inlineStr">
        <is>
          <t>Amarillo</t>
        </is>
      </c>
      <c r="C402" s="3" t="n">
        <v>46027</v>
      </c>
      <c r="D402" s="2" t="inlineStr">
        <is>
          <t>B52703546</t>
        </is>
      </c>
      <c r="E402" s="2" t="inlineStr">
        <is>
          <t>Conservas…</t>
        </is>
      </c>
      <c r="F402" s="2" t="n">
        <v>4078874</v>
      </c>
      <c r="G402" s="4" t="n">
        <v>622.65</v>
      </c>
      <c r="H402" s="3" t="n">
        <v>46008</v>
      </c>
      <c r="I402" s="3" t="n">
        <v>46179</v>
      </c>
      <c r="J402" s="2" t="n">
        <v>25</v>
      </c>
      <c r="K402" s="2" t="n">
        <v>16.41</v>
      </c>
      <c r="L402" s="2" t="n">
        <v>0.66</v>
      </c>
      <c r="M402" s="4" t="n">
        <v>4.11</v>
      </c>
      <c r="N402" s="4" t="n">
        <v>7.1</v>
      </c>
      <c r="O402" s="2" t="n">
        <v>30</v>
      </c>
      <c r="P402" s="4" t="n">
        <v>1.06</v>
      </c>
      <c r="Q402" s="4" t="n">
        <v>1.91</v>
      </c>
      <c r="R402" s="4">
        <f>G402*(L402/100)*(O402/100)</f>
        <v/>
      </c>
      <c r="S402" s="4">
        <f>G402*(K402/360/100)*J402*(O402/100)</f>
        <v/>
      </c>
      <c r="T402" s="4">
        <f>P402-R402+Q402-S402</f>
        <v/>
      </c>
    </row>
    <row r="403">
      <c r="A403" s="2" t="inlineStr">
        <is>
          <t>Oro</t>
        </is>
      </c>
      <c r="B403" s="2" t="inlineStr">
        <is>
          <t>Amarillo</t>
        </is>
      </c>
      <c r="C403" s="3" t="n">
        <v>46027</v>
      </c>
      <c r="D403" s="2" t="inlineStr">
        <is>
          <t>A68843027</t>
        </is>
      </c>
      <c r="E403" s="2" t="inlineStr">
        <is>
          <t>Tarimas Ga…</t>
        </is>
      </c>
      <c r="F403" s="2" t="n">
        <v>3914021</v>
      </c>
      <c r="G403" s="4" t="n">
        <v>985.73</v>
      </c>
      <c r="H403" s="3" t="n">
        <v>46019</v>
      </c>
      <c r="I403" s="3" t="n">
        <v>46195</v>
      </c>
      <c r="J403" s="2" t="n">
        <v>59</v>
      </c>
      <c r="K403" s="2" t="n">
        <v>12.01</v>
      </c>
      <c r="L403" s="2" t="n">
        <v>0.66</v>
      </c>
      <c r="M403" s="4" t="n">
        <v>6.51</v>
      </c>
      <c r="N403" s="4" t="n">
        <v>19.4</v>
      </c>
      <c r="O403" s="2" t="n">
        <v>50</v>
      </c>
      <c r="P403" s="4" t="n">
        <v>3.29</v>
      </c>
      <c r="Q403" s="4" t="n">
        <v>9.9</v>
      </c>
      <c r="R403" s="4">
        <f>G403*(L403/100)*(O403/100)</f>
        <v/>
      </c>
      <c r="S403" s="4">
        <f>G403*(K403/360/100)*J403*(O403/100)</f>
        <v/>
      </c>
      <c r="T403" s="4">
        <f>P403-R403+Q403-S403</f>
        <v/>
      </c>
    </row>
    <row r="404">
      <c r="A404" s="2" t="inlineStr">
        <is>
          <t>Oro</t>
        </is>
      </c>
      <c r="B404" s="2" t="inlineStr">
        <is>
          <t>Amarillo</t>
        </is>
      </c>
      <c r="C404" s="3" t="n">
        <v>46027</v>
      </c>
      <c r="D404" s="2" t="inlineStr">
        <is>
          <t>B88683138</t>
        </is>
      </c>
      <c r="E404" s="2" t="inlineStr">
        <is>
          <t>Lubricantes…</t>
        </is>
      </c>
      <c r="F404" s="2" t="n">
        <v>2472560</v>
      </c>
      <c r="G404" s="4" t="n">
        <v>943.33</v>
      </c>
      <c r="H404" s="3" t="n">
        <v>45995</v>
      </c>
      <c r="I404" s="3" t="n">
        <v>46192</v>
      </c>
      <c r="J404" s="2" t="n">
        <v>37</v>
      </c>
      <c r="K404" s="2" t="n">
        <v>24.32</v>
      </c>
      <c r="L404" s="2" t="n">
        <v>2.59</v>
      </c>
      <c r="M404" s="4" t="n">
        <v>24.43</v>
      </c>
      <c r="N404" s="4" t="n">
        <v>23.58</v>
      </c>
      <c r="O404" s="2" t="n">
        <v>20</v>
      </c>
      <c r="P404" s="4" t="n">
        <v>5.18</v>
      </c>
      <c r="Q404" s="4" t="n">
        <v>4.86</v>
      </c>
      <c r="R404" s="4">
        <f>G404*(L404/100)*(O404/100)</f>
        <v/>
      </c>
      <c r="S404" s="4">
        <f>G404*(K404/360/100)*J404*(O404/100)</f>
        <v/>
      </c>
      <c r="T404" s="4">
        <f>P404-R404+Q404-S404</f>
        <v/>
      </c>
    </row>
    <row r="405">
      <c r="A405" s="2" t="inlineStr">
        <is>
          <t>Oro</t>
        </is>
      </c>
      <c r="B405" s="2" t="inlineStr">
        <is>
          <t>Amarillo</t>
        </is>
      </c>
      <c r="C405" s="3" t="n">
        <v>46027</v>
      </c>
      <c r="D405" s="2" t="inlineStr">
        <is>
          <t>A19336470</t>
        </is>
      </c>
      <c r="E405" s="2" t="inlineStr">
        <is>
          <t>Cárnicos Ci…</t>
        </is>
      </c>
      <c r="F405" s="2" t="n">
        <v>3363314</v>
      </c>
      <c r="G405" s="4" t="n">
        <v>618.75</v>
      </c>
      <c r="H405" s="3" t="n">
        <v>46013</v>
      </c>
      <c r="I405" s="3" t="n">
        <v>46186</v>
      </c>
      <c r="J405" s="2" t="n">
        <v>81</v>
      </c>
      <c r="K405" s="2" t="n">
        <v>33.94</v>
      </c>
      <c r="L405" s="2" t="n">
        <v>1.76</v>
      </c>
      <c r="M405" s="4" t="n">
        <v>10.89</v>
      </c>
      <c r="N405" s="4" t="n">
        <v>47.25</v>
      </c>
      <c r="O405" s="2" t="n">
        <v>50</v>
      </c>
      <c r="P405" s="4" t="n">
        <v>5.2</v>
      </c>
      <c r="Q405" s="4" t="n">
        <v>23.59</v>
      </c>
      <c r="R405" s="4">
        <f>G405*(L405/100)*(O405/100)</f>
        <v/>
      </c>
      <c r="S405" s="4">
        <f>G405*(K405/360/100)*J405*(O405/100)</f>
        <v/>
      </c>
      <c r="T405" s="4">
        <f>P405-R405+Q405-S405</f>
        <v/>
      </c>
    </row>
    <row r="406">
      <c r="A406" s="2" t="inlineStr">
        <is>
          <t>Oro</t>
        </is>
      </c>
      <c r="B406" s="2" t="inlineStr">
        <is>
          <t>Amarillo</t>
        </is>
      </c>
      <c r="C406" s="3" t="n">
        <v>46027</v>
      </c>
      <c r="D406" s="2" t="inlineStr">
        <is>
          <t>B67859772</t>
        </is>
      </c>
      <c r="E406" s="2" t="inlineStr">
        <is>
          <t>Tarimas Pi…</t>
        </is>
      </c>
      <c r="F406" s="2" t="n">
        <v>1731544</v>
      </c>
      <c r="G406" s="4" t="n">
        <v>139.06</v>
      </c>
      <c r="H406" s="3" t="n">
        <v>45997</v>
      </c>
      <c r="I406" s="3" t="n">
        <v>46062</v>
      </c>
      <c r="J406" s="2" t="n">
        <v>18</v>
      </c>
      <c r="K406" s="2" t="n">
        <v>33.23</v>
      </c>
      <c r="L406" s="2" t="n">
        <v>1.1</v>
      </c>
      <c r="M406" s="4" t="n">
        <v>1.53</v>
      </c>
      <c r="N406" s="4" t="n">
        <v>2.31</v>
      </c>
      <c r="O406" s="2" t="n">
        <v>50</v>
      </c>
      <c r="P406" s="4" t="n">
        <v>0.8100000000000001</v>
      </c>
      <c r="Q406" s="4" t="n">
        <v>1</v>
      </c>
      <c r="R406" s="4">
        <f>G406*(L406/100)*(O406/100)</f>
        <v/>
      </c>
      <c r="S406" s="4">
        <f>G406*(K406/360/100)*J406*(O406/100)</f>
        <v/>
      </c>
      <c r="T406" s="4">
        <f>P406-R406+Q406-S406</f>
        <v/>
      </c>
    </row>
    <row r="407">
      <c r="A407" s="2" t="inlineStr">
        <is>
          <t>Oro</t>
        </is>
      </c>
      <c r="B407" s="2" t="inlineStr">
        <is>
          <t>Amarillo</t>
        </is>
      </c>
      <c r="C407" s="3" t="n">
        <v>46027</v>
      </c>
      <c r="D407" s="2" t="inlineStr">
        <is>
          <t>B79511448</t>
        </is>
      </c>
      <c r="E407" s="2" t="inlineStr">
        <is>
          <t>Morteros N…</t>
        </is>
      </c>
      <c r="F407" s="2" t="n">
        <v>1667140</v>
      </c>
      <c r="G407" s="4" t="n">
        <v>317.96</v>
      </c>
      <c r="H407" s="3" t="n">
        <v>46013</v>
      </c>
      <c r="I407" s="3" t="n">
        <v>46151</v>
      </c>
      <c r="J407" s="2" t="n">
        <v>61</v>
      </c>
      <c r="K407" s="2" t="n">
        <v>32.62</v>
      </c>
      <c r="L407" s="2" t="n">
        <v>2.77</v>
      </c>
      <c r="M407" s="4" t="n">
        <v>8.81</v>
      </c>
      <c r="N407" s="4" t="n">
        <v>17.57</v>
      </c>
      <c r="O407" s="2" t="n">
        <v>20</v>
      </c>
      <c r="P407" s="4" t="n">
        <v>1.92</v>
      </c>
      <c r="Q407" s="4" t="n">
        <v>3.39</v>
      </c>
      <c r="R407" s="4">
        <f>G407*(L407/100)*(O407/100)</f>
        <v/>
      </c>
      <c r="S407" s="4">
        <f>G407*(K407/360/100)*J407*(O407/100)</f>
        <v/>
      </c>
      <c r="T407" s="4">
        <f>P407-R407+Q407-S407</f>
        <v/>
      </c>
    </row>
    <row r="408">
      <c r="A408" s="2" t="inlineStr">
        <is>
          <t>Oro</t>
        </is>
      </c>
      <c r="B408" s="2" t="inlineStr">
        <is>
          <t>Amarillo</t>
        </is>
      </c>
      <c r="C408" s="3" t="n">
        <v>46027</v>
      </c>
      <c r="D408" s="2" t="inlineStr">
        <is>
          <t>A97760474</t>
        </is>
      </c>
      <c r="E408" s="2" t="inlineStr">
        <is>
          <t>Auditorías…</t>
        </is>
      </c>
      <c r="F408" s="2" t="n">
        <v>3328057</v>
      </c>
      <c r="G408" s="4" t="n">
        <v>501.75</v>
      </c>
      <c r="H408" s="3" t="n">
        <v>45996</v>
      </c>
      <c r="I408" s="3" t="n">
        <v>46168</v>
      </c>
      <c r="J408" s="2" t="n">
        <v>37</v>
      </c>
      <c r="K408" s="2" t="n">
        <v>29.69</v>
      </c>
      <c r="L408" s="2" t="n">
        <v>2.97</v>
      </c>
      <c r="M408" s="4" t="n">
        <v>14.9</v>
      </c>
      <c r="N408" s="4" t="n">
        <v>15.31</v>
      </c>
      <c r="O408" s="2" t="n">
        <v>50</v>
      </c>
      <c r="P408" s="4" t="n">
        <v>7.39</v>
      </c>
      <c r="Q408" s="4" t="n">
        <v>7.48</v>
      </c>
      <c r="R408" s="4">
        <f>G408*(L408/100)*(O408/100)</f>
        <v/>
      </c>
      <c r="S408" s="4">
        <f>G408*(K408/360/100)*J408*(O408/100)</f>
        <v/>
      </c>
      <c r="T408" s="4">
        <f>P408-R408+Q408-S408</f>
        <v/>
      </c>
    </row>
    <row r="409">
      <c r="A409" s="2" t="inlineStr">
        <is>
          <t>Oro</t>
        </is>
      </c>
      <c r="B409" s="2" t="inlineStr">
        <is>
          <t>Amarillo</t>
        </is>
      </c>
      <c r="C409" s="3" t="n">
        <v>46027</v>
      </c>
      <c r="D409" s="2" t="inlineStr">
        <is>
          <t>A18715209</t>
        </is>
      </c>
      <c r="E409" s="2" t="inlineStr">
        <is>
          <t>Licencias S…</t>
        </is>
      </c>
      <c r="F409" s="2" t="n">
        <v>3013146</v>
      </c>
      <c r="G409" s="4" t="n">
        <v>228.83</v>
      </c>
      <c r="H409" s="3" t="n">
        <v>46002</v>
      </c>
      <c r="I409" s="3" t="n">
        <v>46199</v>
      </c>
      <c r="J409" s="2" t="n">
        <v>70</v>
      </c>
      <c r="K409" s="2" t="n">
        <v>12.15</v>
      </c>
      <c r="L409" s="2" t="n">
        <v>2.86</v>
      </c>
      <c r="M409" s="4" t="n">
        <v>6.54</v>
      </c>
      <c r="N409" s="4" t="n">
        <v>5.41</v>
      </c>
      <c r="O409" s="2" t="n">
        <v>20</v>
      </c>
      <c r="P409" s="4" t="n">
        <v>1.06</v>
      </c>
      <c r="Q409" s="4" t="n">
        <v>0.9399999999999999</v>
      </c>
      <c r="R409" s="4">
        <f>G409*(L409/100)*(O409/100)</f>
        <v/>
      </c>
      <c r="S409" s="4">
        <f>G409*(K409/360/100)*J409*(O409/100)</f>
        <v/>
      </c>
      <c r="T409" s="4">
        <f>P409-R409+Q409-S409</f>
        <v/>
      </c>
    </row>
    <row r="410">
      <c r="A410" s="2" t="inlineStr">
        <is>
          <t>Oro</t>
        </is>
      </c>
      <c r="B410" s="2" t="inlineStr">
        <is>
          <t>Amarillo</t>
        </is>
      </c>
      <c r="C410" s="3" t="n">
        <v>46027</v>
      </c>
      <c r="D410" s="2" t="inlineStr">
        <is>
          <t>A09766957</t>
        </is>
      </c>
      <c r="E410" s="2" t="inlineStr">
        <is>
          <t>Pavimentos…</t>
        </is>
      </c>
      <c r="F410" s="2" t="n">
        <v>3630680</v>
      </c>
      <c r="G410" s="4" t="n">
        <v>635.26</v>
      </c>
      <c r="H410" s="3" t="n">
        <v>46016</v>
      </c>
      <c r="I410" s="3" t="n">
        <v>46181</v>
      </c>
      <c r="J410" s="2" t="n">
        <v>74</v>
      </c>
      <c r="K410" s="2" t="n">
        <v>44.31</v>
      </c>
      <c r="L410" s="2" t="n">
        <v>1.03</v>
      </c>
      <c r="M410" s="4" t="n">
        <v>6.54</v>
      </c>
      <c r="N410" s="4" t="n">
        <v>57.86</v>
      </c>
      <c r="O410" s="2" t="n">
        <v>70</v>
      </c>
      <c r="P410" s="4" t="n">
        <v>4.33</v>
      </c>
      <c r="Q410" s="4" t="n">
        <v>40.4</v>
      </c>
      <c r="R410" s="4">
        <f>G410*(L410/100)*(O410/100)</f>
        <v/>
      </c>
      <c r="S410" s="4">
        <f>G410*(K410/360/100)*J410*(O410/100)</f>
        <v/>
      </c>
      <c r="T410" s="4">
        <f>P410-R410+Q410-S410</f>
        <v/>
      </c>
    </row>
    <row r="411">
      <c r="A411" s="2" t="inlineStr">
        <is>
          <t>Oro</t>
        </is>
      </c>
      <c r="B411" s="2" t="inlineStr">
        <is>
          <t>Amarillo</t>
        </is>
      </c>
      <c r="C411" s="3" t="n">
        <v>46027</v>
      </c>
      <c r="D411" s="2" t="inlineStr">
        <is>
          <t>A87389155</t>
        </is>
      </c>
      <c r="E411" s="2" t="inlineStr">
        <is>
          <t>Bioresiduos…</t>
        </is>
      </c>
      <c r="F411" s="2" t="n">
        <v>2870573</v>
      </c>
      <c r="G411" s="4" t="n">
        <v>8412.309999999999</v>
      </c>
      <c r="H411" s="3" t="n">
        <v>45999</v>
      </c>
      <c r="I411" s="3" t="n">
        <v>46060</v>
      </c>
      <c r="J411" s="2" t="n">
        <v>26</v>
      </c>
      <c r="K411" s="2" t="n">
        <v>22.16</v>
      </c>
      <c r="L411" s="2" t="n">
        <v>0.68</v>
      </c>
      <c r="M411" s="4" t="n">
        <v>57.2</v>
      </c>
      <c r="N411" s="4" t="n">
        <v>134.63</v>
      </c>
      <c r="O411" s="2" t="n">
        <v>50</v>
      </c>
      <c r="P411" s="4" t="n">
        <v>28.48</v>
      </c>
      <c r="Q411" s="4" t="n">
        <v>67.09</v>
      </c>
      <c r="R411" s="4">
        <f>G411*(L411/100)*(O411/100)</f>
        <v/>
      </c>
      <c r="S411" s="4">
        <f>G411*(K411/360/100)*J411*(O411/100)</f>
        <v/>
      </c>
      <c r="T411" s="4">
        <f>P411-R411+Q411-S411</f>
        <v/>
      </c>
    </row>
    <row r="412">
      <c r="A412" s="2" t="inlineStr">
        <is>
          <t>Oro</t>
        </is>
      </c>
      <c r="B412" s="2" t="inlineStr">
        <is>
          <t>Amarillo</t>
        </is>
      </c>
      <c r="C412" s="3" t="n">
        <v>46027</v>
      </c>
      <c r="D412" s="2" t="inlineStr">
        <is>
          <t>B04195747</t>
        </is>
      </c>
      <c r="E412" s="2" t="inlineStr">
        <is>
          <t>Aromas Sul…</t>
        </is>
      </c>
      <c r="F412" s="2" t="n">
        <v>3110431</v>
      </c>
      <c r="G412" s="4" t="n">
        <v>2859.58</v>
      </c>
      <c r="H412" s="3" t="n">
        <v>45995</v>
      </c>
      <c r="I412" s="3" t="n">
        <v>46055</v>
      </c>
      <c r="J412" s="2" t="n">
        <v>60</v>
      </c>
      <c r="K412" s="2" t="n">
        <v>27.28</v>
      </c>
      <c r="L412" s="2" t="n">
        <v>2.82</v>
      </c>
      <c r="M412" s="4" t="n">
        <v>80.64</v>
      </c>
      <c r="N412" s="4" t="n">
        <v>130.02</v>
      </c>
      <c r="O412" s="2" t="n">
        <v>60</v>
      </c>
      <c r="P412" s="4" t="n">
        <v>48.19</v>
      </c>
      <c r="Q412" s="4" t="n">
        <v>78.05</v>
      </c>
      <c r="R412" s="4">
        <f>G412*(L412/100)*(O412/100)</f>
        <v/>
      </c>
      <c r="S412" s="4">
        <f>G412*(K412/360/100)*J412*(O412/100)</f>
        <v/>
      </c>
      <c r="T412" s="4">
        <f>P412-R412+Q412-S412</f>
        <v/>
      </c>
    </row>
    <row r="413">
      <c r="A413" s="2" t="inlineStr">
        <is>
          <t>Oro</t>
        </is>
      </c>
      <c r="B413" s="2" t="inlineStr">
        <is>
          <t>Amarillo</t>
        </is>
      </c>
      <c r="C413" s="3" t="n">
        <v>46027</v>
      </c>
      <c r="D413" s="2" t="inlineStr">
        <is>
          <t>A03634312</t>
        </is>
      </c>
      <c r="E413" s="2" t="inlineStr">
        <is>
          <t>Pavimentos…</t>
        </is>
      </c>
      <c r="F413" s="2" t="n">
        <v>1902326</v>
      </c>
      <c r="G413" s="4" t="n">
        <v>5531.05</v>
      </c>
      <c r="H413" s="3" t="n">
        <v>46018</v>
      </c>
      <c r="I413" s="3" t="n">
        <v>46031</v>
      </c>
      <c r="J413" s="2" t="n">
        <v>65</v>
      </c>
      <c r="K413" s="2" t="n">
        <v>28.62</v>
      </c>
      <c r="L413" s="2" t="n">
        <v>1.52</v>
      </c>
      <c r="M413" s="4" t="n">
        <v>84.06999999999999</v>
      </c>
      <c r="N413" s="4" t="n">
        <v>285.82</v>
      </c>
      <c r="O413" s="2" t="n">
        <v>30</v>
      </c>
      <c r="P413" s="4" t="n">
        <v>25.33</v>
      </c>
      <c r="Q413" s="4" t="n">
        <v>85.86</v>
      </c>
      <c r="R413" s="4">
        <f>G413*(L413/100)*(O413/100)</f>
        <v/>
      </c>
      <c r="S413" s="4">
        <f>G413*(K413/360/100)*J413*(O413/100)</f>
        <v/>
      </c>
      <c r="T413" s="4">
        <f>P413-R413+Q413-S413</f>
        <v/>
      </c>
    </row>
    <row r="414">
      <c r="A414" s="2" t="inlineStr">
        <is>
          <t>Oro</t>
        </is>
      </c>
      <c r="B414" s="2" t="inlineStr">
        <is>
          <t>Amarillo</t>
        </is>
      </c>
      <c r="C414" s="3" t="n">
        <v>46027</v>
      </c>
      <c r="D414" s="2" t="inlineStr">
        <is>
          <t>B19269355</t>
        </is>
      </c>
      <c r="E414" s="2" t="inlineStr">
        <is>
          <t>Paneles Mi…</t>
        </is>
      </c>
      <c r="F414" s="2" t="n">
        <v>2305069</v>
      </c>
      <c r="G414" s="4" t="n">
        <v>1513.01</v>
      </c>
      <c r="H414" s="3" t="n">
        <v>46002</v>
      </c>
      <c r="I414" s="3" t="n">
        <v>46031</v>
      </c>
      <c r="J414" s="2" t="n">
        <v>65</v>
      </c>
      <c r="K414" s="2" t="n">
        <v>20.51</v>
      </c>
      <c r="L414" s="2" t="n">
        <v>2.63</v>
      </c>
      <c r="M414" s="4" t="n">
        <v>39.79</v>
      </c>
      <c r="N414" s="4" t="n">
        <v>56.03</v>
      </c>
      <c r="O414" s="2" t="n">
        <v>60</v>
      </c>
      <c r="P414" s="4" t="n">
        <v>24.1</v>
      </c>
      <c r="Q414" s="4" t="n">
        <v>33.72</v>
      </c>
      <c r="R414" s="4">
        <f>G414*(L414/100)*(O414/100)</f>
        <v/>
      </c>
      <c r="S414" s="4">
        <f>G414*(K414/360/100)*J414*(O414/100)</f>
        <v/>
      </c>
      <c r="T414" s="4">
        <f>P414-R414+Q414-S414</f>
        <v/>
      </c>
    </row>
    <row r="415">
      <c r="A415" s="2" t="inlineStr">
        <is>
          <t>Oro</t>
        </is>
      </c>
      <c r="B415" s="2" t="inlineStr">
        <is>
          <t>Amarillo</t>
        </is>
      </c>
      <c r="C415" s="3" t="n">
        <v>46027</v>
      </c>
      <c r="D415" s="2" t="inlineStr">
        <is>
          <t>B39380211</t>
        </is>
      </c>
      <c r="E415" s="2" t="inlineStr">
        <is>
          <t>Minerales…</t>
        </is>
      </c>
      <c r="F415" s="2" t="n">
        <v>4714117</v>
      </c>
      <c r="G415" s="4" t="n">
        <v>695.0700000000001</v>
      </c>
      <c r="H415" s="3" t="n">
        <v>46008</v>
      </c>
      <c r="I415" s="3" t="n">
        <v>46023</v>
      </c>
      <c r="J415" s="2" t="n">
        <v>38</v>
      </c>
      <c r="K415" s="2" t="n">
        <v>31.07</v>
      </c>
      <c r="L415" s="2" t="n">
        <v>2.58</v>
      </c>
      <c r="M415" s="4" t="n">
        <v>17.93</v>
      </c>
      <c r="N415" s="4" t="n">
        <v>22.8</v>
      </c>
      <c r="O415" s="2" t="n">
        <v>60</v>
      </c>
      <c r="P415" s="4" t="n">
        <v>10.98</v>
      </c>
      <c r="Q415" s="4" t="n">
        <v>13.61</v>
      </c>
      <c r="R415" s="4">
        <f>G415*(L415/100)*(O415/100)</f>
        <v/>
      </c>
      <c r="S415" s="4">
        <f>G415*(K415/360/100)*J415*(O415/100)</f>
        <v/>
      </c>
      <c r="T415" s="4">
        <f>P415-R415+Q415-S415</f>
        <v/>
      </c>
    </row>
    <row r="416">
      <c r="A416" s="2" t="inlineStr">
        <is>
          <t>Oro</t>
        </is>
      </c>
      <c r="B416" s="2" t="inlineStr">
        <is>
          <t>Amarillo</t>
        </is>
      </c>
      <c r="C416" s="3" t="n">
        <v>46027</v>
      </c>
      <c r="D416" s="2" t="inlineStr">
        <is>
          <t>B52579272</t>
        </is>
      </c>
      <c r="E416" s="2" t="inlineStr">
        <is>
          <t>Cajas Acab…</t>
        </is>
      </c>
      <c r="F416" s="2" t="n">
        <v>4038839</v>
      </c>
      <c r="G416" s="4" t="n">
        <v>542.4299999999999</v>
      </c>
      <c r="H416" s="3" t="n">
        <v>45993</v>
      </c>
      <c r="I416" s="3" t="n">
        <v>46091</v>
      </c>
      <c r="J416" s="2" t="n">
        <v>82</v>
      </c>
      <c r="K416" s="2" t="n">
        <v>38.92</v>
      </c>
      <c r="L416" s="2" t="n">
        <v>1.29</v>
      </c>
      <c r="M416" s="4" t="n">
        <v>7</v>
      </c>
      <c r="N416" s="4" t="n">
        <v>48.09</v>
      </c>
      <c r="O416" s="2" t="n">
        <v>20</v>
      </c>
      <c r="P416" s="4" t="n">
        <v>1.42</v>
      </c>
      <c r="Q416" s="4" t="n">
        <v>9.359999999999999</v>
      </c>
      <c r="R416" s="4">
        <f>G416*(L416/100)*(O416/100)</f>
        <v/>
      </c>
      <c r="S416" s="4">
        <f>G416*(K416/360/100)*J416*(O416/100)</f>
        <v/>
      </c>
      <c r="T416" s="4">
        <f>P416-R416+Q416-S416</f>
        <v/>
      </c>
    </row>
    <row r="417">
      <c r="A417" s="2" t="inlineStr">
        <is>
          <t>Oro</t>
        </is>
      </c>
      <c r="B417" s="2" t="inlineStr">
        <is>
          <t>Amarillo</t>
        </is>
      </c>
      <c r="C417" s="3" t="n">
        <v>46027</v>
      </c>
      <c r="D417" s="2" t="inlineStr">
        <is>
          <t>A94663659</t>
        </is>
      </c>
      <c r="E417" s="2" t="inlineStr">
        <is>
          <t>Adoquines…</t>
        </is>
      </c>
      <c r="F417" s="2" t="n">
        <v>1865355</v>
      </c>
      <c r="G417" s="4" t="n">
        <v>175.32</v>
      </c>
      <c r="H417" s="3" t="n">
        <v>46001</v>
      </c>
      <c r="I417" s="3" t="n">
        <v>46119</v>
      </c>
      <c r="J417" s="2" t="n">
        <v>21</v>
      </c>
      <c r="K417" s="2" t="n">
        <v>20.32</v>
      </c>
      <c r="L417" s="2" t="n">
        <v>0.78</v>
      </c>
      <c r="M417" s="4" t="n">
        <v>1.37</v>
      </c>
      <c r="N417" s="4" t="n">
        <v>2.08</v>
      </c>
      <c r="O417" s="2" t="n">
        <v>70</v>
      </c>
      <c r="P417" s="4" t="n">
        <v>1.15</v>
      </c>
      <c r="Q417" s="4" t="n">
        <v>1.28</v>
      </c>
      <c r="R417" s="4">
        <f>G417*(L417/100)*(O417/100)</f>
        <v/>
      </c>
      <c r="S417" s="4">
        <f>G417*(K417/360/100)*J417*(O417/100)</f>
        <v/>
      </c>
      <c r="T417" s="4">
        <f>P417-R417+Q417-S417</f>
        <v/>
      </c>
    </row>
    <row r="418">
      <c r="A418" s="2" t="inlineStr">
        <is>
          <t>Oro</t>
        </is>
      </c>
      <c r="B418" s="2" t="inlineStr">
        <is>
          <t>Amarillo</t>
        </is>
      </c>
      <c r="C418" s="3" t="n">
        <v>46027</v>
      </c>
      <c r="D418" s="2" t="inlineStr">
        <is>
          <t>B53134368</t>
        </is>
      </c>
      <c r="E418" s="2" t="inlineStr">
        <is>
          <t>Cárnicos S…</t>
        </is>
      </c>
      <c r="F418" s="2" t="n">
        <v>4131774</v>
      </c>
      <c r="G418" s="4" t="n">
        <v>108.15</v>
      </c>
      <c r="H418" s="3" t="n">
        <v>46013</v>
      </c>
      <c r="I418" s="3" t="n">
        <v>46033</v>
      </c>
      <c r="J418" s="2" t="n">
        <v>75</v>
      </c>
      <c r="K418" s="2" t="n">
        <v>31.9</v>
      </c>
      <c r="L418" s="2" t="n">
        <v>2.57</v>
      </c>
      <c r="M418" s="4" t="n">
        <v>2.78</v>
      </c>
      <c r="N418" s="4" t="n">
        <v>7.19</v>
      </c>
      <c r="O418" s="2" t="n">
        <v>50</v>
      </c>
      <c r="P418" s="4" t="n">
        <v>1.25</v>
      </c>
      <c r="Q418" s="4" t="n">
        <v>3.87</v>
      </c>
      <c r="R418" s="4">
        <f>G418*(L418/100)*(O418/100)</f>
        <v/>
      </c>
      <c r="S418" s="4">
        <f>G418*(K418/360/100)*J418*(O418/100)</f>
        <v/>
      </c>
      <c r="T418" s="4">
        <f>P418-R418+Q418-S418</f>
        <v/>
      </c>
    </row>
    <row r="419">
      <c r="A419" s="2" t="inlineStr">
        <is>
          <t>Oro</t>
        </is>
      </c>
      <c r="B419" s="2" t="inlineStr">
        <is>
          <t>Amarillo</t>
        </is>
      </c>
      <c r="C419" s="3" t="n">
        <v>46027</v>
      </c>
      <c r="D419" s="2" t="inlineStr">
        <is>
          <t>A10265313</t>
        </is>
      </c>
      <c r="E419" s="2" t="inlineStr">
        <is>
          <t>Catalizador…</t>
        </is>
      </c>
      <c r="F419" s="2" t="n">
        <v>3478764</v>
      </c>
      <c r="G419" s="4" t="n">
        <v>488.6</v>
      </c>
      <c r="H419" s="3" t="n">
        <v>45993</v>
      </c>
      <c r="I419" s="3" t="n">
        <v>46032</v>
      </c>
      <c r="J419" s="2" t="n">
        <v>17</v>
      </c>
      <c r="K419" s="2" t="n">
        <v>34.1</v>
      </c>
      <c r="L419" s="2" t="n">
        <v>0.91</v>
      </c>
      <c r="M419" s="4" t="n">
        <v>4.45</v>
      </c>
      <c r="N419" s="4" t="n">
        <v>7.87</v>
      </c>
      <c r="O419" s="2" t="n">
        <v>70</v>
      </c>
      <c r="P419" s="4" t="n">
        <v>3.32</v>
      </c>
      <c r="Q419" s="4" t="n">
        <v>5.76</v>
      </c>
      <c r="R419" s="4">
        <f>G419*(L419/100)*(O419/100)</f>
        <v/>
      </c>
      <c r="S419" s="4">
        <f>G419*(K419/360/100)*J419*(O419/100)</f>
        <v/>
      </c>
      <c r="T419" s="4">
        <f>P419-R419+Q419-S419</f>
        <v/>
      </c>
    </row>
    <row r="420">
      <c r="A420" s="2" t="inlineStr">
        <is>
          <t>Oro</t>
        </is>
      </c>
      <c r="B420" s="2" t="inlineStr">
        <is>
          <t>Amarillo</t>
        </is>
      </c>
      <c r="C420" s="3" t="n">
        <v>46027</v>
      </c>
      <c r="D420" s="2" t="inlineStr">
        <is>
          <t>B98336942</t>
        </is>
      </c>
      <c r="E420" s="2" t="inlineStr">
        <is>
          <t>Azúcares G…</t>
        </is>
      </c>
      <c r="F420" s="2" t="n">
        <v>4544445</v>
      </c>
      <c r="G420" s="4" t="n">
        <v>249.38</v>
      </c>
      <c r="H420" s="3" t="n">
        <v>46009</v>
      </c>
      <c r="I420" s="3" t="n">
        <v>46191</v>
      </c>
      <c r="J420" s="2" t="n">
        <v>19</v>
      </c>
      <c r="K420" s="2" t="n">
        <v>39.55</v>
      </c>
      <c r="L420" s="2" t="n">
        <v>2.62</v>
      </c>
      <c r="M420" s="4" t="n">
        <v>6.53</v>
      </c>
      <c r="N420" s="4" t="n">
        <v>5.21</v>
      </c>
      <c r="O420" s="2" t="n">
        <v>20</v>
      </c>
      <c r="P420" s="4" t="n">
        <v>1.04</v>
      </c>
      <c r="Q420" s="4" t="n">
        <v>1.14</v>
      </c>
      <c r="R420" s="4">
        <f>G420*(L420/100)*(O420/100)</f>
        <v/>
      </c>
      <c r="S420" s="4">
        <f>G420*(K420/360/100)*J420*(O420/100)</f>
        <v/>
      </c>
      <c r="T420" s="4">
        <f>P420-R420+Q420-S420</f>
        <v/>
      </c>
    </row>
    <row r="421">
      <c r="A421" s="2" t="inlineStr">
        <is>
          <t>Oro</t>
        </is>
      </c>
      <c r="B421" s="2" t="inlineStr">
        <is>
          <t>Amarillo</t>
        </is>
      </c>
      <c r="C421" s="3" t="n">
        <v>46027</v>
      </c>
      <c r="D421" s="2" t="inlineStr">
        <is>
          <t>B99713630</t>
        </is>
      </c>
      <c r="E421" s="2" t="inlineStr">
        <is>
          <t>Aditivos Me…</t>
        </is>
      </c>
      <c r="F421" s="2" t="n">
        <v>1635844</v>
      </c>
      <c r="G421" s="4" t="n">
        <v>279.89</v>
      </c>
      <c r="H421" s="3" t="n">
        <v>46015</v>
      </c>
      <c r="I421" s="3" t="n">
        <v>46073</v>
      </c>
      <c r="J421" s="2" t="n">
        <v>64</v>
      </c>
      <c r="K421" s="2" t="n">
        <v>32.93</v>
      </c>
      <c r="L421" s="2" t="n">
        <v>2.33</v>
      </c>
      <c r="M421" s="4" t="n">
        <v>6.52</v>
      </c>
      <c r="N421" s="4" t="n">
        <v>16.39</v>
      </c>
      <c r="O421" s="2" t="n">
        <v>50</v>
      </c>
      <c r="P421" s="4" t="n">
        <v>3.18</v>
      </c>
      <c r="Q421" s="4" t="n">
        <v>8.18</v>
      </c>
      <c r="R421" s="4">
        <f>G421*(L421/100)*(O421/100)</f>
        <v/>
      </c>
      <c r="S421" s="4">
        <f>G421*(K421/360/100)*J421*(O421/100)</f>
        <v/>
      </c>
      <c r="T421" s="4">
        <f>P421-R421+Q421-S421</f>
        <v/>
      </c>
    </row>
    <row r="422">
      <c r="A422" s="2" t="inlineStr">
        <is>
          <t>Oro</t>
        </is>
      </c>
      <c r="B422" s="2" t="inlineStr">
        <is>
          <t>Amarillo</t>
        </is>
      </c>
      <c r="C422" s="3" t="n">
        <v>46027</v>
      </c>
      <c r="D422" s="2" t="inlineStr">
        <is>
          <t>A94044603</t>
        </is>
      </c>
      <c r="E422" s="2" t="inlineStr">
        <is>
          <t>Mieles Blin…</t>
        </is>
      </c>
      <c r="F422" s="2" t="n">
        <v>1975256</v>
      </c>
      <c r="G422" s="4" t="n">
        <v>619.48</v>
      </c>
      <c r="H422" s="3" t="n">
        <v>46007</v>
      </c>
      <c r="I422" s="3" t="n">
        <v>46186</v>
      </c>
      <c r="J422" s="2" t="n">
        <v>86</v>
      </c>
      <c r="K422" s="2" t="n">
        <v>20.99</v>
      </c>
      <c r="L422" s="2" t="n">
        <v>2.76</v>
      </c>
      <c r="M422" s="4" t="n">
        <v>17.1</v>
      </c>
      <c r="N422" s="4" t="n">
        <v>31.06</v>
      </c>
      <c r="O422" s="2" t="n">
        <v>70</v>
      </c>
      <c r="P422" s="4" t="n">
        <v>12.13</v>
      </c>
      <c r="Q422" s="4" t="n">
        <v>21.47</v>
      </c>
      <c r="R422" s="4">
        <f>G422*(L422/100)*(O422/100)</f>
        <v/>
      </c>
      <c r="S422" s="4">
        <f>G422*(K422/360/100)*J422*(O422/100)</f>
        <v/>
      </c>
      <c r="T422" s="4">
        <f>P422-R422+Q422-S422</f>
        <v/>
      </c>
    </row>
    <row r="423">
      <c r="A423" s="2" t="inlineStr">
        <is>
          <t>Oro</t>
        </is>
      </c>
      <c r="B423" s="2" t="inlineStr">
        <is>
          <t>Amarillo</t>
        </is>
      </c>
      <c r="C423" s="3" t="n">
        <v>46027</v>
      </c>
      <c r="D423" s="2" t="inlineStr">
        <is>
          <t>B73902506</t>
        </is>
      </c>
      <c r="E423" s="2" t="inlineStr">
        <is>
          <t>Licores Sist…</t>
        </is>
      </c>
      <c r="F423" s="2" t="n">
        <v>1245214</v>
      </c>
      <c r="G423" s="4" t="n">
        <v>347.54</v>
      </c>
      <c r="H423" s="3" t="n">
        <v>46011</v>
      </c>
      <c r="I423" s="3" t="n">
        <v>46098</v>
      </c>
      <c r="J423" s="2" t="n">
        <v>46</v>
      </c>
      <c r="K423" s="2" t="n">
        <v>25.18</v>
      </c>
      <c r="L423" s="2" t="n">
        <v>2.45</v>
      </c>
      <c r="M423" s="4" t="n">
        <v>8.51</v>
      </c>
      <c r="N423" s="4" t="n">
        <v>11.18</v>
      </c>
      <c r="O423" s="2" t="n">
        <v>40</v>
      </c>
      <c r="P423" s="4" t="n">
        <v>3.11</v>
      </c>
      <c r="Q423" s="4" t="n">
        <v>4.18</v>
      </c>
      <c r="R423" s="4">
        <f>G423*(L423/100)*(O423/100)</f>
        <v/>
      </c>
      <c r="S423" s="4">
        <f>G423*(K423/360/100)*J423*(O423/100)</f>
        <v/>
      </c>
      <c r="T423" s="4">
        <f>P423-R423+Q423-S423</f>
        <v/>
      </c>
    </row>
    <row r="424">
      <c r="A424" s="2" t="inlineStr">
        <is>
          <t>Oro</t>
        </is>
      </c>
      <c r="B424" s="2" t="inlineStr">
        <is>
          <t>Amarillo</t>
        </is>
      </c>
      <c r="C424" s="3" t="n">
        <v>46027</v>
      </c>
      <c r="D424" s="2" t="inlineStr">
        <is>
          <t>A84495282</t>
        </is>
      </c>
      <c r="E424" s="2" t="inlineStr">
        <is>
          <t>Aromas Se…</t>
        </is>
      </c>
      <c r="F424" s="2" t="n">
        <v>2243018</v>
      </c>
      <c r="G424" s="4" t="n">
        <v>1503.81</v>
      </c>
      <c r="H424" s="3" t="n">
        <v>46002</v>
      </c>
      <c r="I424" s="3" t="n">
        <v>46199</v>
      </c>
      <c r="J424" s="2" t="n">
        <v>13</v>
      </c>
      <c r="K424" s="2" t="n">
        <v>19.51</v>
      </c>
      <c r="L424" s="2" t="n">
        <v>1.7</v>
      </c>
      <c r="M424" s="4" t="n">
        <v>25.56</v>
      </c>
      <c r="N424" s="4" t="n">
        <v>10.59</v>
      </c>
      <c r="O424" s="2" t="n">
        <v>60</v>
      </c>
      <c r="P424" s="4" t="n">
        <v>15.3</v>
      </c>
      <c r="Q424" s="4" t="n">
        <v>6.27</v>
      </c>
      <c r="R424" s="4">
        <f>G424*(L424/100)*(O424/100)</f>
        <v/>
      </c>
      <c r="S424" s="4">
        <f>G424*(K424/360/100)*J424*(O424/100)</f>
        <v/>
      </c>
      <c r="T424" s="4">
        <f>P424-R424+Q424-S424</f>
        <v/>
      </c>
    </row>
    <row r="425">
      <c r="A425" s="2" t="inlineStr">
        <is>
          <t>Oro</t>
        </is>
      </c>
      <c r="B425" s="2" t="inlineStr">
        <is>
          <t>Amarillo</t>
        </is>
      </c>
      <c r="C425" s="3" t="n">
        <v>46027</v>
      </c>
      <c r="D425" s="2" t="inlineStr">
        <is>
          <t>B25435383</t>
        </is>
      </c>
      <c r="E425" s="2" t="inlineStr">
        <is>
          <t>Aparejos A…</t>
        </is>
      </c>
      <c r="F425" s="2" t="n">
        <v>1662876</v>
      </c>
      <c r="G425" s="4" t="n">
        <v>6347.91</v>
      </c>
      <c r="H425" s="3" t="n">
        <v>46018</v>
      </c>
      <c r="I425" s="3" t="n">
        <v>46138</v>
      </c>
      <c r="J425" s="2" t="n">
        <v>79</v>
      </c>
      <c r="K425" s="2" t="n">
        <v>36</v>
      </c>
      <c r="L425" s="2" t="n">
        <v>1.72</v>
      </c>
      <c r="M425" s="4" t="n">
        <v>109.18</v>
      </c>
      <c r="N425" s="4" t="n">
        <v>501.48</v>
      </c>
      <c r="O425" s="2" t="n">
        <v>40</v>
      </c>
      <c r="P425" s="4" t="n">
        <v>43.87</v>
      </c>
      <c r="Q425" s="4" t="n">
        <v>200.81</v>
      </c>
      <c r="R425" s="4">
        <f>G425*(L425/100)*(O425/100)</f>
        <v/>
      </c>
      <c r="S425" s="4">
        <f>G425*(K425/360/100)*J425*(O425/100)</f>
        <v/>
      </c>
      <c r="T425" s="4">
        <f>P425-R425+Q425-S425</f>
        <v/>
      </c>
    </row>
    <row r="426">
      <c r="A426" s="2" t="inlineStr">
        <is>
          <t>Oro</t>
        </is>
      </c>
      <c r="B426" s="2" t="inlineStr">
        <is>
          <t>Amarillo</t>
        </is>
      </c>
      <c r="C426" s="3" t="n">
        <v>46027</v>
      </c>
      <c r="D426" s="2" t="inlineStr">
        <is>
          <t>A22002209</t>
        </is>
      </c>
      <c r="E426" s="2" t="inlineStr">
        <is>
          <t>Biomasas…</t>
        </is>
      </c>
      <c r="F426" s="2" t="n">
        <v>1276640</v>
      </c>
      <c r="G426" s="4" t="n">
        <v>3345.42</v>
      </c>
      <c r="H426" s="3" t="n">
        <v>45998</v>
      </c>
      <c r="I426" s="3" t="n">
        <v>46183</v>
      </c>
      <c r="J426" s="2" t="n">
        <v>22</v>
      </c>
      <c r="K426" s="2" t="n">
        <v>28.34</v>
      </c>
      <c r="L426" s="2" t="n">
        <v>0.51</v>
      </c>
      <c r="M426" s="4" t="n">
        <v>17.06</v>
      </c>
      <c r="N426" s="4" t="n">
        <v>57.94</v>
      </c>
      <c r="O426" s="2" t="n">
        <v>40</v>
      </c>
      <c r="P426" s="4" t="n">
        <v>6.62</v>
      </c>
      <c r="Q426" s="4" t="n">
        <v>23.37</v>
      </c>
      <c r="R426" s="4">
        <f>G426*(L426/100)*(O426/100)</f>
        <v/>
      </c>
      <c r="S426" s="4">
        <f>G426*(K426/360/100)*J426*(O426/100)</f>
        <v/>
      </c>
      <c r="T426" s="4">
        <f>P426-R426+Q426-S426</f>
        <v/>
      </c>
    </row>
    <row r="427">
      <c r="A427" s="2" t="inlineStr">
        <is>
          <t>Oro</t>
        </is>
      </c>
      <c r="B427" s="2" t="inlineStr">
        <is>
          <t>Amarillo</t>
        </is>
      </c>
      <c r="C427" s="3" t="n">
        <v>46027</v>
      </c>
      <c r="D427" s="2" t="inlineStr">
        <is>
          <t>A40233317</t>
        </is>
      </c>
      <c r="E427" s="2" t="inlineStr">
        <is>
          <t>Cuarzos La…</t>
        </is>
      </c>
      <c r="F427" s="2" t="n">
        <v>3617802</v>
      </c>
      <c r="G427" s="4" t="n">
        <v>748.67</v>
      </c>
      <c r="H427" s="3" t="n">
        <v>46012</v>
      </c>
      <c r="I427" s="3" t="n">
        <v>46200</v>
      </c>
      <c r="J427" s="2" t="n">
        <v>21</v>
      </c>
      <c r="K427" s="2" t="n">
        <v>10.39</v>
      </c>
      <c r="L427" s="2" t="n">
        <v>0.79</v>
      </c>
      <c r="M427" s="4" t="n">
        <v>5.91</v>
      </c>
      <c r="N427" s="4" t="n">
        <v>4.54</v>
      </c>
      <c r="O427" s="2" t="n">
        <v>50</v>
      </c>
      <c r="P427" s="4" t="n">
        <v>2.91</v>
      </c>
      <c r="Q427" s="4" t="n">
        <v>2.13</v>
      </c>
      <c r="R427" s="4">
        <f>G427*(L427/100)*(O427/100)</f>
        <v/>
      </c>
      <c r="S427" s="4">
        <f>G427*(K427/360/100)*J427*(O427/100)</f>
        <v/>
      </c>
      <c r="T427" s="4">
        <f>P427-R427+Q427-S427</f>
        <v/>
      </c>
    </row>
    <row r="428">
      <c r="A428" s="2" t="inlineStr">
        <is>
          <t>Oro</t>
        </is>
      </c>
      <c r="B428" s="2" t="inlineStr">
        <is>
          <t>Amarillo</t>
        </is>
      </c>
      <c r="C428" s="3" t="n">
        <v>46027</v>
      </c>
      <c r="D428" s="2" t="inlineStr">
        <is>
          <t>A95974636</t>
        </is>
      </c>
      <c r="E428" s="2" t="inlineStr">
        <is>
          <t>Insecticidas…</t>
        </is>
      </c>
      <c r="F428" s="2" t="n">
        <v>3977245</v>
      </c>
      <c r="G428" s="4" t="n">
        <v>496.48</v>
      </c>
      <c r="H428" s="3" t="n">
        <v>46011</v>
      </c>
      <c r="I428" s="3" t="n">
        <v>46117</v>
      </c>
      <c r="J428" s="2" t="n">
        <v>82</v>
      </c>
      <c r="K428" s="2" t="n">
        <v>25.83</v>
      </c>
      <c r="L428" s="2" t="n">
        <v>1.77</v>
      </c>
      <c r="M428" s="4" t="n">
        <v>8.789999999999999</v>
      </c>
      <c r="N428" s="4" t="n">
        <v>29.21</v>
      </c>
      <c r="O428" s="2" t="n">
        <v>40</v>
      </c>
      <c r="P428" s="4" t="n">
        <v>3.73</v>
      </c>
      <c r="Q428" s="4" t="n">
        <v>11.75</v>
      </c>
      <c r="R428" s="4">
        <f>G428*(L428/100)*(O428/100)</f>
        <v/>
      </c>
      <c r="S428" s="4">
        <f>G428*(K428/360/100)*J428*(O428/100)</f>
        <v/>
      </c>
      <c r="T428" s="4">
        <f>P428-R428+Q428-S428</f>
        <v/>
      </c>
    </row>
    <row r="429">
      <c r="A429" s="2" t="inlineStr">
        <is>
          <t>Oro</t>
        </is>
      </c>
      <c r="B429" s="2" t="inlineStr">
        <is>
          <t>Amarillo</t>
        </is>
      </c>
      <c r="C429" s="3" t="n">
        <v>46027</v>
      </c>
      <c r="D429" s="2" t="inlineStr">
        <is>
          <t>A53525598</t>
        </is>
      </c>
      <c r="E429" s="2" t="inlineStr">
        <is>
          <t>Fundicione…</t>
        </is>
      </c>
      <c r="F429" s="2" t="n">
        <v>2962842</v>
      </c>
      <c r="G429" s="4" t="n">
        <v>108.05</v>
      </c>
      <c r="H429" s="3" t="n">
        <v>46010</v>
      </c>
      <c r="I429" s="3" t="n">
        <v>46116</v>
      </c>
      <c r="J429" s="2" t="n">
        <v>53</v>
      </c>
      <c r="K429" s="2" t="n">
        <v>16.93</v>
      </c>
      <c r="L429" s="2" t="n">
        <v>1.82</v>
      </c>
      <c r="M429" s="4" t="n">
        <v>1.97</v>
      </c>
      <c r="N429" s="4" t="n">
        <v>2.69</v>
      </c>
      <c r="O429" s="2" t="n">
        <v>20</v>
      </c>
      <c r="P429" s="4" t="n">
        <v>0.41</v>
      </c>
      <c r="Q429" s="4" t="n">
        <v>0.6899999999999999</v>
      </c>
      <c r="R429" s="4">
        <f>G429*(L429/100)*(O429/100)</f>
        <v/>
      </c>
      <c r="S429" s="4">
        <f>G429*(K429/360/100)*J429*(O429/100)</f>
        <v/>
      </c>
      <c r="T429" s="4">
        <f>P429-R429+Q429-S429</f>
        <v/>
      </c>
    </row>
    <row r="430">
      <c r="A430" s="2" t="inlineStr">
        <is>
          <t>Oro</t>
        </is>
      </c>
      <c r="B430" s="2" t="inlineStr">
        <is>
          <t>Amarillo</t>
        </is>
      </c>
      <c r="C430" s="3" t="n">
        <v>46027</v>
      </c>
      <c r="D430" s="2" t="inlineStr">
        <is>
          <t>B19479967</t>
        </is>
      </c>
      <c r="E430" s="2" t="inlineStr">
        <is>
          <t>Depuracion…</t>
        </is>
      </c>
      <c r="F430" s="2" t="n">
        <v>2874265</v>
      </c>
      <c r="G430" s="4" t="n">
        <v>833.39</v>
      </c>
      <c r="H430" s="3" t="n">
        <v>46016</v>
      </c>
      <c r="I430" s="3" t="n">
        <v>46099</v>
      </c>
      <c r="J430" s="2" t="n">
        <v>55</v>
      </c>
      <c r="K430" s="2" t="n">
        <v>32.21</v>
      </c>
      <c r="L430" s="2" t="n">
        <v>1.4</v>
      </c>
      <c r="M430" s="4" t="n">
        <v>11.67</v>
      </c>
      <c r="N430" s="4" t="n">
        <v>41.01</v>
      </c>
      <c r="O430" s="2" t="n">
        <v>50</v>
      </c>
      <c r="P430" s="4" t="n">
        <v>6.06</v>
      </c>
      <c r="Q430" s="4" t="n">
        <v>20.47</v>
      </c>
      <c r="R430" s="4">
        <f>G430*(L430/100)*(O430/100)</f>
        <v/>
      </c>
      <c r="S430" s="4">
        <f>G430*(K430/360/100)*J430*(O430/100)</f>
        <v/>
      </c>
      <c r="T430" s="4">
        <f>P430-R430+Q430-S430</f>
        <v/>
      </c>
    </row>
    <row r="431">
      <c r="A431" s="2" t="inlineStr">
        <is>
          <t>Oro</t>
        </is>
      </c>
      <c r="B431" s="2" t="inlineStr">
        <is>
          <t>Amarillo</t>
        </is>
      </c>
      <c r="C431" s="3" t="n">
        <v>46027</v>
      </c>
      <c r="D431" s="2" t="inlineStr">
        <is>
          <t>A83294252</t>
        </is>
      </c>
      <c r="E431" s="2" t="inlineStr">
        <is>
          <t>Agroquímic…</t>
        </is>
      </c>
      <c r="F431" s="2" t="n">
        <v>1644607</v>
      </c>
      <c r="G431" s="4" t="n">
        <v>301.27</v>
      </c>
      <c r="H431" s="3" t="n">
        <v>45999</v>
      </c>
      <c r="I431" s="3" t="n">
        <v>46121</v>
      </c>
      <c r="J431" s="2" t="n">
        <v>79</v>
      </c>
      <c r="K431" s="2" t="n">
        <v>49.63</v>
      </c>
      <c r="L431" s="2" t="n">
        <v>2.86</v>
      </c>
      <c r="M431" s="4" t="n">
        <v>8.619999999999999</v>
      </c>
      <c r="N431" s="4" t="n">
        <v>32.81</v>
      </c>
      <c r="O431" s="2" t="n">
        <v>50</v>
      </c>
      <c r="P431" s="4" t="n">
        <v>4.58</v>
      </c>
      <c r="Q431" s="4" t="n">
        <v>16.31</v>
      </c>
      <c r="R431" s="4">
        <f>G431*(L431/100)*(O431/100)</f>
        <v/>
      </c>
      <c r="S431" s="4">
        <f>G431*(K431/360/100)*J431*(O431/100)</f>
        <v/>
      </c>
      <c r="T431" s="4">
        <f>P431-R431+Q431-S431</f>
        <v/>
      </c>
    </row>
    <row r="432">
      <c r="A432" s="2" t="inlineStr">
        <is>
          <t>Oro</t>
        </is>
      </c>
      <c r="B432" s="2" t="inlineStr">
        <is>
          <t>Amarillo</t>
        </is>
      </c>
      <c r="C432" s="3" t="n">
        <v>46027</v>
      </c>
      <c r="D432" s="2" t="inlineStr">
        <is>
          <t>A91945379</t>
        </is>
      </c>
      <c r="E432" s="2" t="inlineStr">
        <is>
          <t>Grafitos Gl…</t>
        </is>
      </c>
      <c r="F432" s="2" t="n">
        <v>3100775</v>
      </c>
      <c r="G432" s="4" t="n">
        <v>106.32</v>
      </c>
      <c r="H432" s="3" t="n">
        <v>46016</v>
      </c>
      <c r="I432" s="3" t="n">
        <v>46109</v>
      </c>
      <c r="J432" s="2" t="n">
        <v>79</v>
      </c>
      <c r="K432" s="2" t="n">
        <v>43.4</v>
      </c>
      <c r="L432" s="2" t="n">
        <v>2.05</v>
      </c>
      <c r="M432" s="4" t="n">
        <v>2.18</v>
      </c>
      <c r="N432" s="4" t="n">
        <v>10.13</v>
      </c>
      <c r="O432" s="2" t="n">
        <v>50</v>
      </c>
      <c r="P432" s="4" t="n">
        <v>0.9</v>
      </c>
      <c r="Q432" s="4" t="n">
        <v>5.09</v>
      </c>
      <c r="R432" s="4">
        <f>G432*(L432/100)*(O432/100)</f>
        <v/>
      </c>
      <c r="S432" s="4">
        <f>G432*(K432/360/100)*J432*(O432/100)</f>
        <v/>
      </c>
      <c r="T432" s="4">
        <f>P432-R432+Q432-S432</f>
        <v/>
      </c>
    </row>
    <row r="433">
      <c r="A433" s="2" t="inlineStr">
        <is>
          <t>Oro</t>
        </is>
      </c>
      <c r="B433" s="2" t="inlineStr">
        <is>
          <t>Amarillo</t>
        </is>
      </c>
      <c r="C433" s="3" t="n">
        <v>46027</v>
      </c>
      <c r="D433" s="2" t="inlineStr">
        <is>
          <t>A87659735</t>
        </is>
      </c>
      <c r="E433" s="2" t="inlineStr">
        <is>
          <t>Cápsulas U…</t>
        </is>
      </c>
      <c r="F433" s="2" t="n">
        <v>3436611</v>
      </c>
      <c r="G433" s="4" t="n">
        <v>176.76</v>
      </c>
      <c r="H433" s="3" t="n">
        <v>46014</v>
      </c>
      <c r="I433" s="3" t="n">
        <v>46130</v>
      </c>
      <c r="J433" s="2" t="n">
        <v>74</v>
      </c>
      <c r="K433" s="2" t="n">
        <v>22.24</v>
      </c>
      <c r="L433" s="2" t="n">
        <v>0.5</v>
      </c>
      <c r="M433" s="4" t="n">
        <v>0.88</v>
      </c>
      <c r="N433" s="4" t="n">
        <v>8.08</v>
      </c>
      <c r="O433" s="2" t="n">
        <v>40</v>
      </c>
      <c r="P433" s="4" t="n">
        <v>0.23</v>
      </c>
      <c r="Q433" s="4" t="n">
        <v>3.08</v>
      </c>
      <c r="R433" s="4">
        <f>G433*(L433/100)*(O433/100)</f>
        <v/>
      </c>
      <c r="S433" s="4">
        <f>G433*(K433/360/100)*J433*(O433/100)</f>
        <v/>
      </c>
      <c r="T433" s="4">
        <f>P433-R433+Q433-S433</f>
        <v/>
      </c>
    </row>
    <row r="434">
      <c r="A434" s="2" t="inlineStr">
        <is>
          <t>Oro</t>
        </is>
      </c>
      <c r="B434" s="2" t="inlineStr">
        <is>
          <t>Amarillo</t>
        </is>
      </c>
      <c r="C434" s="3" t="n">
        <v>46027</v>
      </c>
      <c r="D434" s="2" t="inlineStr">
        <is>
          <t>B66756052</t>
        </is>
      </c>
      <c r="E434" s="2" t="inlineStr">
        <is>
          <t>Perfiles Apr…</t>
        </is>
      </c>
      <c r="F434" s="2" t="n">
        <v>4023117</v>
      </c>
      <c r="G434" s="4" t="n">
        <v>705.53</v>
      </c>
      <c r="H434" s="3" t="n">
        <v>45996</v>
      </c>
      <c r="I434" s="3" t="n">
        <v>46193</v>
      </c>
      <c r="J434" s="2" t="n">
        <v>65</v>
      </c>
      <c r="K434" s="2" t="n">
        <v>32.96</v>
      </c>
      <c r="L434" s="2" t="n">
        <v>1.5</v>
      </c>
      <c r="M434" s="4" t="n">
        <v>10.58</v>
      </c>
      <c r="N434" s="4" t="n">
        <v>41.99</v>
      </c>
      <c r="O434" s="2" t="n">
        <v>40</v>
      </c>
      <c r="P434" s="4" t="n">
        <v>4.18</v>
      </c>
      <c r="Q434" s="4" t="n">
        <v>16.63</v>
      </c>
      <c r="R434" s="4">
        <f>G434*(L434/100)*(O434/100)</f>
        <v/>
      </c>
      <c r="S434" s="4">
        <f>G434*(K434/360/100)*J434*(O434/100)</f>
        <v/>
      </c>
      <c r="T434" s="4">
        <f>P434-R434+Q434-S434</f>
        <v/>
      </c>
    </row>
    <row r="435">
      <c r="A435" s="2" t="inlineStr">
        <is>
          <t>Oro</t>
        </is>
      </c>
      <c r="B435" s="2" t="inlineStr">
        <is>
          <t>Amarillo</t>
        </is>
      </c>
      <c r="C435" s="3" t="n">
        <v>46027</v>
      </c>
      <c r="D435" s="2" t="inlineStr">
        <is>
          <t>A62809818</t>
        </is>
      </c>
      <c r="E435" s="2" t="inlineStr">
        <is>
          <t>Aleaciones…</t>
        </is>
      </c>
      <c r="F435" s="2" t="n">
        <v>4921024</v>
      </c>
      <c r="G435" s="4" t="n">
        <v>264.57</v>
      </c>
      <c r="H435" s="3" t="n">
        <v>45993</v>
      </c>
      <c r="I435" s="3" t="n">
        <v>46193</v>
      </c>
      <c r="J435" s="2" t="n">
        <v>75</v>
      </c>
      <c r="K435" s="2" t="n">
        <v>38.75</v>
      </c>
      <c r="L435" s="2" t="n">
        <v>0.5</v>
      </c>
      <c r="M435" s="4" t="n">
        <v>1.32</v>
      </c>
      <c r="N435" s="4" t="n">
        <v>21.36</v>
      </c>
      <c r="O435" s="2" t="n">
        <v>40</v>
      </c>
      <c r="P435" s="4" t="n">
        <v>0.79</v>
      </c>
      <c r="Q435" s="4" t="n">
        <v>8.380000000000001</v>
      </c>
      <c r="R435" s="4">
        <f>G435*(L435/100)*(O435/100)</f>
        <v/>
      </c>
      <c r="S435" s="4">
        <f>G435*(K435/360/100)*J435*(O435/100)</f>
        <v/>
      </c>
      <c r="T435" s="4">
        <f>P435-R435+Q435-S435</f>
        <v/>
      </c>
    </row>
    <row r="436">
      <c r="A436" s="2" t="inlineStr">
        <is>
          <t>Oro</t>
        </is>
      </c>
      <c r="B436" s="2" t="inlineStr">
        <is>
          <t>Amarillo</t>
        </is>
      </c>
      <c r="C436" s="3" t="n">
        <v>46027</v>
      </c>
      <c r="D436" s="2" t="inlineStr">
        <is>
          <t>B23345947</t>
        </is>
      </c>
      <c r="E436" s="2" t="inlineStr">
        <is>
          <t>Acumulado…</t>
        </is>
      </c>
      <c r="F436" s="2" t="n">
        <v>4035769</v>
      </c>
      <c r="G436" s="4" t="n">
        <v>1100.46</v>
      </c>
      <c r="H436" s="3" t="n">
        <v>45992</v>
      </c>
      <c r="I436" s="3" t="n">
        <v>46155</v>
      </c>
      <c r="J436" s="2" t="n">
        <v>29</v>
      </c>
      <c r="K436" s="2" t="n">
        <v>24.77</v>
      </c>
      <c r="L436" s="2" t="n">
        <v>2.2</v>
      </c>
      <c r="M436" s="4" t="n">
        <v>24.21</v>
      </c>
      <c r="N436" s="4" t="n">
        <v>21.96</v>
      </c>
      <c r="O436" s="2" t="n">
        <v>50</v>
      </c>
      <c r="P436" s="4" t="n">
        <v>12.36</v>
      </c>
      <c r="Q436" s="4" t="n">
        <v>10.69</v>
      </c>
      <c r="R436" s="4">
        <f>G436*(L436/100)*(O436/100)</f>
        <v/>
      </c>
      <c r="S436" s="4">
        <f>G436*(K436/360/100)*J436*(O436/100)</f>
        <v/>
      </c>
      <c r="T436" s="4">
        <f>P436-R436+Q436-S436</f>
        <v/>
      </c>
    </row>
    <row r="437">
      <c r="A437" s="2" t="inlineStr">
        <is>
          <t>Oro</t>
        </is>
      </c>
      <c r="B437" s="2" t="inlineStr">
        <is>
          <t>Amarillo</t>
        </is>
      </c>
      <c r="C437" s="3" t="n">
        <v>46027</v>
      </c>
      <c r="D437" s="2" t="inlineStr">
        <is>
          <t>B05094639</t>
        </is>
      </c>
      <c r="E437" s="2" t="inlineStr">
        <is>
          <t>Certificacio…</t>
        </is>
      </c>
      <c r="F437" s="2" t="n">
        <v>3268892</v>
      </c>
      <c r="G437" s="4" t="n">
        <v>182.74</v>
      </c>
      <c r="H437" s="3" t="n">
        <v>45997</v>
      </c>
      <c r="I437" s="3" t="n">
        <v>46165</v>
      </c>
      <c r="J437" s="2" t="n">
        <v>46</v>
      </c>
      <c r="K437" s="2" t="n">
        <v>14.82</v>
      </c>
      <c r="L437" s="2" t="n">
        <v>2.46</v>
      </c>
      <c r="M437" s="4" t="n">
        <v>4.5</v>
      </c>
      <c r="N437" s="4" t="n">
        <v>3.46</v>
      </c>
      <c r="O437" s="2" t="n">
        <v>60</v>
      </c>
      <c r="P437" s="4" t="n">
        <v>2.52</v>
      </c>
      <c r="Q437" s="4" t="n">
        <v>2.25</v>
      </c>
      <c r="R437" s="4">
        <f>G437*(L437/100)*(O437/100)</f>
        <v/>
      </c>
      <c r="S437" s="4">
        <f>G437*(K437/360/100)*J437*(O437/100)</f>
        <v/>
      </c>
      <c r="T437" s="4">
        <f>P437-R437+Q437-S437</f>
        <v/>
      </c>
    </row>
    <row r="438">
      <c r="A438" s="2" t="inlineStr">
        <is>
          <t>Oro</t>
        </is>
      </c>
      <c r="B438" s="2" t="inlineStr">
        <is>
          <t>Amarillo</t>
        </is>
      </c>
      <c r="C438" s="3" t="n">
        <v>46027</v>
      </c>
      <c r="D438" s="2" t="inlineStr">
        <is>
          <t>B96119778</t>
        </is>
      </c>
      <c r="E438" s="2" t="inlineStr">
        <is>
          <t>Registros E…</t>
        </is>
      </c>
      <c r="F438" s="2" t="n">
        <v>4978188</v>
      </c>
      <c r="G438" s="4" t="n">
        <v>388.4</v>
      </c>
      <c r="H438" s="3" t="n">
        <v>46004</v>
      </c>
      <c r="I438" s="3" t="n">
        <v>46037</v>
      </c>
      <c r="J438" s="2" t="n">
        <v>64</v>
      </c>
      <c r="K438" s="2" t="n">
        <v>17.25</v>
      </c>
      <c r="L438" s="2" t="n">
        <v>1.45</v>
      </c>
      <c r="M438" s="4" t="n">
        <v>5.63</v>
      </c>
      <c r="N438" s="4" t="n">
        <v>11.91</v>
      </c>
      <c r="O438" s="2" t="n">
        <v>70</v>
      </c>
      <c r="P438" s="4" t="n">
        <v>3.71</v>
      </c>
      <c r="Q438" s="4" t="n">
        <v>8.08</v>
      </c>
      <c r="R438" s="4">
        <f>G438*(L438/100)*(O438/100)</f>
        <v/>
      </c>
      <c r="S438" s="4">
        <f>G438*(K438/360/100)*J438*(O438/100)</f>
        <v/>
      </c>
      <c r="T438" s="4">
        <f>P438-R438+Q438-S438</f>
        <v/>
      </c>
    </row>
    <row r="439">
      <c r="A439" s="2" t="inlineStr">
        <is>
          <t>Oro</t>
        </is>
      </c>
      <c r="B439" s="2" t="inlineStr">
        <is>
          <t>Amarillo</t>
        </is>
      </c>
      <c r="C439" s="3" t="n">
        <v>46027</v>
      </c>
      <c r="D439" s="2" t="inlineStr">
        <is>
          <t>A48932627</t>
        </is>
      </c>
      <c r="E439" s="2" t="inlineStr">
        <is>
          <t>Depósitos…</t>
        </is>
      </c>
      <c r="F439" s="2" t="n">
        <v>1684670</v>
      </c>
      <c r="G439" s="4" t="n">
        <v>571.58</v>
      </c>
      <c r="H439" s="3" t="n">
        <v>46012</v>
      </c>
      <c r="I439" s="3" t="n">
        <v>46098</v>
      </c>
      <c r="J439" s="2" t="n">
        <v>49</v>
      </c>
      <c r="K439" s="2" t="n">
        <v>46.59</v>
      </c>
      <c r="L439" s="2" t="n">
        <v>1.75</v>
      </c>
      <c r="M439" s="4" t="n">
        <v>10</v>
      </c>
      <c r="N439" s="4" t="n">
        <v>36.25</v>
      </c>
      <c r="O439" s="2" t="n">
        <v>20</v>
      </c>
      <c r="P439" s="4" t="n">
        <v>2.3</v>
      </c>
      <c r="Q439" s="4" t="n">
        <v>6.98</v>
      </c>
      <c r="R439" s="4">
        <f>G439*(L439/100)*(O439/100)</f>
        <v/>
      </c>
      <c r="S439" s="4">
        <f>G439*(K439/360/100)*J439*(O439/100)</f>
        <v/>
      </c>
      <c r="T439" s="4">
        <f>P439-R439+Q439-S439</f>
        <v/>
      </c>
    </row>
    <row r="440">
      <c r="A440" s="2" t="inlineStr">
        <is>
          <t>Oro</t>
        </is>
      </c>
      <c r="B440" s="2" t="inlineStr">
        <is>
          <t>Amarillo</t>
        </is>
      </c>
      <c r="C440" s="3" t="n">
        <v>46027</v>
      </c>
      <c r="D440" s="2" t="inlineStr">
        <is>
          <t>B42360172</t>
        </is>
      </c>
      <c r="E440" s="2" t="inlineStr">
        <is>
          <t>Bioestimula…</t>
        </is>
      </c>
      <c r="F440" s="2" t="n">
        <v>4707765</v>
      </c>
      <c r="G440" s="4" t="n">
        <v>685.4299999999999</v>
      </c>
      <c r="H440" s="3" t="n">
        <v>46016</v>
      </c>
      <c r="I440" s="3" t="n">
        <v>46182</v>
      </c>
      <c r="J440" s="2" t="n">
        <v>53</v>
      </c>
      <c r="K440" s="2" t="n">
        <v>19.25</v>
      </c>
      <c r="L440" s="2" t="n">
        <v>0.71</v>
      </c>
      <c r="M440" s="4" t="n">
        <v>4.87</v>
      </c>
      <c r="N440" s="4" t="n">
        <v>19.43</v>
      </c>
      <c r="O440" s="2" t="n">
        <v>20</v>
      </c>
      <c r="P440" s="4" t="n">
        <v>0.93</v>
      </c>
      <c r="Q440" s="4" t="n">
        <v>4.14</v>
      </c>
      <c r="R440" s="4">
        <f>G440*(L440/100)*(O440/100)</f>
        <v/>
      </c>
      <c r="S440" s="4">
        <f>G440*(K440/360/100)*J440*(O440/100)</f>
        <v/>
      </c>
      <c r="T440" s="4">
        <f>P440-R440+Q440-S440</f>
        <v/>
      </c>
    </row>
    <row r="441">
      <c r="A441" s="2" t="inlineStr">
        <is>
          <t>Oro</t>
        </is>
      </c>
      <c r="B441" s="2" t="inlineStr">
        <is>
          <t>Amarillo</t>
        </is>
      </c>
      <c r="C441" s="3" t="n">
        <v>46027</v>
      </c>
      <c r="D441" s="2" t="inlineStr">
        <is>
          <t>B00802970</t>
        </is>
      </c>
      <c r="E441" s="2" t="inlineStr">
        <is>
          <t>Tubulares…</t>
        </is>
      </c>
      <c r="F441" s="2" t="n">
        <v>3802064</v>
      </c>
      <c r="G441" s="4" t="n">
        <v>7010.73</v>
      </c>
      <c r="H441" s="3" t="n">
        <v>46009</v>
      </c>
      <c r="I441" s="3" t="n">
        <v>46084</v>
      </c>
      <c r="J441" s="2" t="n">
        <v>75</v>
      </c>
      <c r="K441" s="2" t="n">
        <v>14.23</v>
      </c>
      <c r="L441" s="2" t="n">
        <v>2.54</v>
      </c>
      <c r="M441" s="4" t="n">
        <v>178.07</v>
      </c>
      <c r="N441" s="4" t="n">
        <v>207.84</v>
      </c>
      <c r="O441" s="2" t="n">
        <v>60</v>
      </c>
      <c r="P441" s="4" t="n">
        <v>106.95</v>
      </c>
      <c r="Q441" s="4" t="n">
        <v>124.43</v>
      </c>
      <c r="R441" s="4">
        <f>G441*(L441/100)*(O441/100)</f>
        <v/>
      </c>
      <c r="S441" s="4">
        <f>G441*(K441/360/100)*J441*(O441/100)</f>
        <v/>
      </c>
      <c r="T441" s="4">
        <f>P441-R441+Q441-S441</f>
        <v/>
      </c>
    </row>
    <row r="442">
      <c r="A442" s="2" t="inlineStr">
        <is>
          <t>Oro</t>
        </is>
      </c>
      <c r="B442" s="2" t="inlineStr">
        <is>
          <t>Amarillo</t>
        </is>
      </c>
      <c r="C442" s="3" t="n">
        <v>46027</v>
      </c>
      <c r="D442" s="2" t="inlineStr">
        <is>
          <t>B81969135</t>
        </is>
      </c>
      <c r="E442" s="2" t="inlineStr">
        <is>
          <t>Circuitos Al…</t>
        </is>
      </c>
      <c r="F442" s="2" t="n">
        <v>3834641</v>
      </c>
      <c r="G442" s="4" t="n">
        <v>4551.12</v>
      </c>
      <c r="H442" s="3" t="n">
        <v>46002</v>
      </c>
      <c r="I442" s="3" t="n">
        <v>46187</v>
      </c>
      <c r="J442" s="2" t="n">
        <v>28</v>
      </c>
      <c r="K442" s="2" t="n">
        <v>30.51</v>
      </c>
      <c r="L442" s="2" t="n">
        <v>1.3</v>
      </c>
      <c r="M442" s="4" t="n">
        <v>59.16</v>
      </c>
      <c r="N442" s="4" t="n">
        <v>108</v>
      </c>
      <c r="O442" s="2" t="n">
        <v>50</v>
      </c>
      <c r="P442" s="4" t="n">
        <v>29.34</v>
      </c>
      <c r="Q442" s="4" t="n">
        <v>53.75</v>
      </c>
      <c r="R442" s="4">
        <f>G442*(L442/100)*(O442/100)</f>
        <v/>
      </c>
      <c r="S442" s="4">
        <f>G442*(K442/360/100)*J442*(O442/100)</f>
        <v/>
      </c>
      <c r="T442" s="4">
        <f>P442-R442+Q442-S442</f>
        <v/>
      </c>
    </row>
    <row r="443">
      <c r="A443" s="2" t="inlineStr">
        <is>
          <t>Oro</t>
        </is>
      </c>
      <c r="B443" s="2" t="inlineStr">
        <is>
          <t>Amarillo</t>
        </is>
      </c>
      <c r="C443" s="3" t="n">
        <v>46027</v>
      </c>
      <c r="D443" s="2" t="inlineStr">
        <is>
          <t>B12464643</t>
        </is>
      </c>
      <c r="E443" s="2" t="inlineStr">
        <is>
          <t>Aditivos Gl…</t>
        </is>
      </c>
      <c r="F443" s="2" t="n">
        <v>1282918</v>
      </c>
      <c r="G443" s="4" t="n">
        <v>4475.36</v>
      </c>
      <c r="H443" s="3" t="n">
        <v>46007</v>
      </c>
      <c r="I443" s="3" t="n">
        <v>46087</v>
      </c>
      <c r="J443" s="2" t="n">
        <v>59</v>
      </c>
      <c r="K443" s="2" t="n">
        <v>46.35</v>
      </c>
      <c r="L443" s="2" t="n">
        <v>0.52</v>
      </c>
      <c r="M443" s="4" t="n">
        <v>23.27</v>
      </c>
      <c r="N443" s="4" t="n">
        <v>339.96</v>
      </c>
      <c r="O443" s="2" t="n">
        <v>70</v>
      </c>
      <c r="P443" s="4" t="n">
        <v>16.16</v>
      </c>
      <c r="Q443" s="4" t="n">
        <v>238.05</v>
      </c>
      <c r="R443" s="4">
        <f>G443*(L443/100)*(O443/100)</f>
        <v/>
      </c>
      <c r="S443" s="4">
        <f>G443*(K443/360/100)*J443*(O443/100)</f>
        <v/>
      </c>
      <c r="T443" s="4">
        <f>P443-R443+Q443-S443</f>
        <v/>
      </c>
    </row>
    <row r="444">
      <c r="A444" s="2" t="inlineStr">
        <is>
          <t>Oro</t>
        </is>
      </c>
      <c r="B444" s="2" t="inlineStr">
        <is>
          <t>Amarillo</t>
        </is>
      </c>
      <c r="C444" s="3" t="n">
        <v>46027</v>
      </c>
      <c r="D444" s="2" t="inlineStr">
        <is>
          <t>A97986289</t>
        </is>
      </c>
      <c r="E444" s="2" t="inlineStr">
        <is>
          <t>Bronces Es…</t>
        </is>
      </c>
      <c r="F444" s="2" t="n">
        <v>1012211</v>
      </c>
      <c r="G444" s="4" t="n">
        <v>9825.870000000001</v>
      </c>
      <c r="H444" s="3" t="n">
        <v>45996</v>
      </c>
      <c r="I444" s="3" t="n">
        <v>46100</v>
      </c>
      <c r="J444" s="2" t="n">
        <v>69</v>
      </c>
      <c r="K444" s="2" t="n">
        <v>29</v>
      </c>
      <c r="L444" s="2" t="n">
        <v>2.1</v>
      </c>
      <c r="M444" s="4" t="n">
        <v>206.34</v>
      </c>
      <c r="N444" s="4" t="n">
        <v>546.15</v>
      </c>
      <c r="O444" s="2" t="n">
        <v>40</v>
      </c>
      <c r="P444" s="4" t="n">
        <v>82.7</v>
      </c>
      <c r="Q444" s="4" t="n">
        <v>218.67</v>
      </c>
      <c r="R444" s="4">
        <f>G444*(L444/100)*(O444/100)</f>
        <v/>
      </c>
      <c r="S444" s="4">
        <f>G444*(K444/360/100)*J444*(O444/100)</f>
        <v/>
      </c>
      <c r="T444" s="4">
        <f>P444-R444+Q444-S444</f>
        <v/>
      </c>
    </row>
    <row r="445">
      <c r="A445" s="2" t="inlineStr">
        <is>
          <t>Oro</t>
        </is>
      </c>
      <c r="B445" s="2" t="inlineStr">
        <is>
          <t>Amarillo</t>
        </is>
      </c>
      <c r="C445" s="3" t="n">
        <v>46027</v>
      </c>
      <c r="D445" s="2" t="inlineStr">
        <is>
          <t>B32305268</t>
        </is>
      </c>
      <c r="E445" s="2" t="inlineStr">
        <is>
          <t>Elastómero…</t>
        </is>
      </c>
      <c r="F445" s="2" t="n">
        <v>4763446</v>
      </c>
      <c r="G445" s="4" t="n">
        <v>335.5</v>
      </c>
      <c r="H445" s="3" t="n">
        <v>46018</v>
      </c>
      <c r="I445" s="3" t="n">
        <v>46041</v>
      </c>
      <c r="J445" s="2" t="n">
        <v>76</v>
      </c>
      <c r="K445" s="2" t="n">
        <v>30.26</v>
      </c>
      <c r="L445" s="2" t="n">
        <v>1.53</v>
      </c>
      <c r="M445" s="4" t="n">
        <v>5.13</v>
      </c>
      <c r="N445" s="4" t="n">
        <v>21.43</v>
      </c>
      <c r="O445" s="2" t="n">
        <v>40</v>
      </c>
      <c r="P445" s="4" t="n">
        <v>2.11</v>
      </c>
      <c r="Q445" s="4" t="n">
        <v>8.48</v>
      </c>
      <c r="R445" s="4">
        <f>G445*(L445/100)*(O445/100)</f>
        <v/>
      </c>
      <c r="S445" s="4">
        <f>G445*(K445/360/100)*J445*(O445/100)</f>
        <v/>
      </c>
      <c r="T445" s="4">
        <f>P445-R445+Q445-S445</f>
        <v/>
      </c>
    </row>
    <row r="446">
      <c r="A446" s="2" t="inlineStr">
        <is>
          <t>Oro</t>
        </is>
      </c>
      <c r="B446" s="2" t="inlineStr">
        <is>
          <t>Amarillo</t>
        </is>
      </c>
      <c r="C446" s="3" t="n">
        <v>46027</v>
      </c>
      <c r="D446" s="2" t="inlineStr">
        <is>
          <t>A04874614</t>
        </is>
      </c>
      <c r="E446" s="2" t="inlineStr">
        <is>
          <t>Aguas Refr…</t>
        </is>
      </c>
      <c r="F446" s="2" t="n">
        <v>3839350</v>
      </c>
      <c r="G446" s="4" t="n">
        <v>926.58</v>
      </c>
      <c r="H446" s="3" t="n">
        <v>46001</v>
      </c>
      <c r="I446" s="3" t="n">
        <v>46132</v>
      </c>
      <c r="J446" s="2" t="n">
        <v>23</v>
      </c>
      <c r="K446" s="2" t="n">
        <v>32.9</v>
      </c>
      <c r="L446" s="2" t="n">
        <v>2.53</v>
      </c>
      <c r="M446" s="4" t="n">
        <v>23.44</v>
      </c>
      <c r="N446" s="4" t="n">
        <v>19.48</v>
      </c>
      <c r="O446" s="2" t="n">
        <v>70</v>
      </c>
      <c r="P446" s="4" t="n">
        <v>16.7</v>
      </c>
      <c r="Q446" s="4" t="n">
        <v>13.9</v>
      </c>
      <c r="R446" s="4">
        <f>G446*(L446/100)*(O446/100)</f>
        <v/>
      </c>
      <c r="S446" s="4">
        <f>G446*(K446/360/100)*J446*(O446/100)</f>
        <v/>
      </c>
      <c r="T446" s="4">
        <f>P446-R446+Q446-S446</f>
        <v/>
      </c>
    </row>
    <row r="447">
      <c r="A447" s="2" t="inlineStr">
        <is>
          <t>Oro</t>
        </is>
      </c>
      <c r="B447" s="2" t="inlineStr">
        <is>
          <t>Amarillo</t>
        </is>
      </c>
      <c r="C447" s="3" t="n">
        <v>46027</v>
      </c>
      <c r="D447" s="2" t="inlineStr">
        <is>
          <t>B83741355</t>
        </is>
      </c>
      <c r="E447" s="2" t="inlineStr">
        <is>
          <t>Parquets Lí…</t>
        </is>
      </c>
      <c r="F447" s="2" t="n">
        <v>2328411</v>
      </c>
      <c r="G447" s="4" t="n">
        <v>9306.809999999999</v>
      </c>
      <c r="H447" s="3" t="n">
        <v>45992</v>
      </c>
      <c r="I447" s="3" t="n">
        <v>46087</v>
      </c>
      <c r="J447" s="2" t="n">
        <v>62</v>
      </c>
      <c r="K447" s="2" t="n">
        <v>33.91</v>
      </c>
      <c r="L447" s="2" t="n">
        <v>1.06</v>
      </c>
      <c r="M447" s="4" t="n">
        <v>98.65000000000001</v>
      </c>
      <c r="N447" s="4" t="n">
        <v>543.52</v>
      </c>
      <c r="O447" s="2" t="n">
        <v>40</v>
      </c>
      <c r="P447" s="4" t="n">
        <v>39.6</v>
      </c>
      <c r="Q447" s="4" t="n">
        <v>217.61</v>
      </c>
      <c r="R447" s="4">
        <f>G447*(L447/100)*(O447/100)</f>
        <v/>
      </c>
      <c r="S447" s="4">
        <f>G447*(K447/360/100)*J447*(O447/100)</f>
        <v/>
      </c>
      <c r="T447" s="4">
        <f>P447-R447+Q447-S447</f>
        <v/>
      </c>
    </row>
    <row r="448">
      <c r="A448" s="2" t="inlineStr">
        <is>
          <t>Oro</t>
        </is>
      </c>
      <c r="B448" s="2" t="inlineStr">
        <is>
          <t>Amarillo</t>
        </is>
      </c>
      <c r="C448" s="3" t="n">
        <v>46027</v>
      </c>
      <c r="D448" s="2" t="inlineStr">
        <is>
          <t>B24275805</t>
        </is>
      </c>
      <c r="E448" s="2" t="inlineStr">
        <is>
          <t>Variadores…</t>
        </is>
      </c>
      <c r="F448" s="2" t="n">
        <v>1151594</v>
      </c>
      <c r="G448" s="4" t="n">
        <v>997.95</v>
      </c>
      <c r="H448" s="3" t="n">
        <v>45995</v>
      </c>
      <c r="I448" s="3" t="n">
        <v>46119</v>
      </c>
      <c r="J448" s="2" t="n">
        <v>50</v>
      </c>
      <c r="K448" s="2" t="n">
        <v>48.42</v>
      </c>
      <c r="L448" s="2" t="n">
        <v>2.38</v>
      </c>
      <c r="M448" s="4" t="n">
        <v>23.75</v>
      </c>
      <c r="N448" s="4" t="n">
        <v>67.11</v>
      </c>
      <c r="O448" s="2" t="n">
        <v>30</v>
      </c>
      <c r="P448" s="4" t="n">
        <v>7.24</v>
      </c>
      <c r="Q448" s="4" t="n">
        <v>20.25</v>
      </c>
      <c r="R448" s="4">
        <f>G448*(L448/100)*(O448/100)</f>
        <v/>
      </c>
      <c r="S448" s="4">
        <f>G448*(K448/360/100)*J448*(O448/100)</f>
        <v/>
      </c>
      <c r="T448" s="4">
        <f>P448-R448+Q448-S448</f>
        <v/>
      </c>
    </row>
    <row r="449">
      <c r="A449" s="2" t="inlineStr">
        <is>
          <t>Oro</t>
        </is>
      </c>
      <c r="B449" s="2" t="inlineStr">
        <is>
          <t>Amarillo</t>
        </is>
      </c>
      <c r="C449" s="3" t="n">
        <v>46027</v>
      </c>
      <c r="D449" s="2" t="inlineStr">
        <is>
          <t>B92469407</t>
        </is>
      </c>
      <c r="E449" s="2" t="inlineStr">
        <is>
          <t>Emulsiones…</t>
        </is>
      </c>
      <c r="F449" s="2" t="n">
        <v>3825968</v>
      </c>
      <c r="G449" s="4" t="n">
        <v>459.25</v>
      </c>
      <c r="H449" s="3" t="n">
        <v>45993</v>
      </c>
      <c r="I449" s="3" t="n">
        <v>46089</v>
      </c>
      <c r="J449" s="2" t="n">
        <v>18</v>
      </c>
      <c r="K449" s="2" t="n">
        <v>17.74</v>
      </c>
      <c r="L449" s="2" t="n">
        <v>2.26</v>
      </c>
      <c r="M449" s="4" t="n">
        <v>10.38</v>
      </c>
      <c r="N449" s="4" t="n">
        <v>4.07</v>
      </c>
      <c r="O449" s="2" t="n">
        <v>30</v>
      </c>
      <c r="P449" s="4" t="n">
        <v>3.01</v>
      </c>
      <c r="Q449" s="4" t="n">
        <v>0.97</v>
      </c>
      <c r="R449" s="4">
        <f>G449*(L449/100)*(O449/100)</f>
        <v/>
      </c>
      <c r="S449" s="4">
        <f>G449*(K449/360/100)*J449*(O449/100)</f>
        <v/>
      </c>
      <c r="T449" s="4">
        <f>P449-R449+Q449-S449</f>
        <v/>
      </c>
    </row>
    <row r="450">
      <c r="A450" s="2" t="inlineStr">
        <is>
          <t>Oro</t>
        </is>
      </c>
      <c r="B450" s="2" t="inlineStr">
        <is>
          <t>Amarillo</t>
        </is>
      </c>
      <c r="C450" s="3" t="n">
        <v>46027</v>
      </c>
      <c r="D450" s="2" t="inlineStr">
        <is>
          <t>B65922674</t>
        </is>
      </c>
      <c r="E450" s="2" t="inlineStr">
        <is>
          <t>Titanios Co…</t>
        </is>
      </c>
      <c r="F450" s="2" t="n">
        <v>3183250</v>
      </c>
      <c r="G450" s="4" t="n">
        <v>792.71</v>
      </c>
      <c r="H450" s="3" t="n">
        <v>46013</v>
      </c>
      <c r="I450" s="3" t="n">
        <v>46023</v>
      </c>
      <c r="J450" s="2" t="n">
        <v>55</v>
      </c>
      <c r="K450" s="2" t="n">
        <v>28.35</v>
      </c>
      <c r="L450" s="2" t="n">
        <v>1.14</v>
      </c>
      <c r="M450" s="4" t="n">
        <v>9.039999999999999</v>
      </c>
      <c r="N450" s="4" t="n">
        <v>34.33</v>
      </c>
      <c r="O450" s="2" t="n">
        <v>60</v>
      </c>
      <c r="P450" s="4" t="n">
        <v>5.26</v>
      </c>
      <c r="Q450" s="4" t="n">
        <v>20.38</v>
      </c>
      <c r="R450" s="4">
        <f>G450*(L450/100)*(O450/100)</f>
        <v/>
      </c>
      <c r="S450" s="4">
        <f>G450*(K450/360/100)*J450*(O450/100)</f>
        <v/>
      </c>
      <c r="T450" s="4">
        <f>P450-R450+Q450-S450</f>
        <v/>
      </c>
    </row>
    <row r="451">
      <c r="A451" s="2" t="inlineStr">
        <is>
          <t>Oro</t>
        </is>
      </c>
      <c r="B451" s="2" t="inlineStr">
        <is>
          <t>Amarillo</t>
        </is>
      </c>
      <c r="C451" s="3" t="n">
        <v>46027</v>
      </c>
      <c r="D451" s="2" t="inlineStr">
        <is>
          <t>B44792460</t>
        </is>
      </c>
      <c r="E451" s="2" t="inlineStr">
        <is>
          <t>Cables Ma…</t>
        </is>
      </c>
      <c r="F451" s="2" t="n">
        <v>1649378</v>
      </c>
      <c r="G451" s="4" t="n">
        <v>133.13</v>
      </c>
      <c r="H451" s="3" t="n">
        <v>46004</v>
      </c>
      <c r="I451" s="3" t="n">
        <v>46102</v>
      </c>
      <c r="J451" s="2" t="n">
        <v>32</v>
      </c>
      <c r="K451" s="2" t="n">
        <v>24.98</v>
      </c>
      <c r="L451" s="2" t="n">
        <v>1.23</v>
      </c>
      <c r="M451" s="4" t="n">
        <v>1.64</v>
      </c>
      <c r="N451" s="4" t="n">
        <v>2.96</v>
      </c>
      <c r="O451" s="2" t="n">
        <v>30</v>
      </c>
      <c r="P451" s="4" t="n">
        <v>0.77</v>
      </c>
      <c r="Q451" s="4" t="n">
        <v>1.12</v>
      </c>
      <c r="R451" s="4">
        <f>G451*(L451/100)*(O451/100)</f>
        <v/>
      </c>
      <c r="S451" s="4">
        <f>G451*(K451/360/100)*J451*(O451/100)</f>
        <v/>
      </c>
      <c r="T451" s="4">
        <f>P451-R451+Q451-S451</f>
        <v/>
      </c>
    </row>
    <row r="452">
      <c r="A452" s="2" t="inlineStr">
        <is>
          <t>Oro</t>
        </is>
      </c>
      <c r="B452" s="2" t="inlineStr">
        <is>
          <t>Amarillo</t>
        </is>
      </c>
      <c r="C452" s="3" t="n">
        <v>46027</v>
      </c>
      <c r="D452" s="2" t="inlineStr">
        <is>
          <t>A71249948</t>
        </is>
      </c>
      <c r="E452" s="2" t="inlineStr">
        <is>
          <t>Rectificado…</t>
        </is>
      </c>
      <c r="F452" s="2" t="n">
        <v>1859987</v>
      </c>
      <c r="G452" s="4" t="n">
        <v>881.33</v>
      </c>
      <c r="H452" s="3" t="n">
        <v>45999</v>
      </c>
      <c r="I452" s="3" t="n">
        <v>46183</v>
      </c>
      <c r="J452" s="2" t="n">
        <v>51</v>
      </c>
      <c r="K452" s="2" t="n">
        <v>45.44</v>
      </c>
      <c r="L452" s="2" t="n">
        <v>2.43</v>
      </c>
      <c r="M452" s="4" t="n">
        <v>21.42</v>
      </c>
      <c r="N452" s="4" t="n">
        <v>56.73</v>
      </c>
      <c r="O452" s="2" t="n">
        <v>40</v>
      </c>
      <c r="P452" s="4" t="n">
        <v>8.27</v>
      </c>
      <c r="Q452" s="4" t="n">
        <v>22.6</v>
      </c>
      <c r="R452" s="4">
        <f>G452*(L452/100)*(O452/100)</f>
        <v/>
      </c>
      <c r="S452" s="4">
        <f>G452*(K452/360/100)*J452*(O452/100)</f>
        <v/>
      </c>
      <c r="T452" s="4">
        <f>P452-R452+Q452-S452</f>
        <v/>
      </c>
    </row>
    <row r="453">
      <c r="A453" s="2" t="inlineStr">
        <is>
          <t>Oro</t>
        </is>
      </c>
      <c r="B453" s="2" t="inlineStr">
        <is>
          <t>Amarillo</t>
        </is>
      </c>
      <c r="C453" s="3" t="n">
        <v>46027</v>
      </c>
      <c r="D453" s="2" t="inlineStr">
        <is>
          <t>B87597074</t>
        </is>
      </c>
      <c r="E453" s="2" t="inlineStr">
        <is>
          <t>Procesos R…</t>
        </is>
      </c>
      <c r="F453" s="2" t="n">
        <v>2615005</v>
      </c>
      <c r="G453" s="4" t="n">
        <v>675.1799999999999</v>
      </c>
      <c r="H453" s="3" t="n">
        <v>45999</v>
      </c>
      <c r="I453" s="3" t="n">
        <v>46059</v>
      </c>
      <c r="J453" s="2" t="n">
        <v>52</v>
      </c>
      <c r="K453" s="2" t="n">
        <v>24.81</v>
      </c>
      <c r="L453" s="2" t="n">
        <v>1.77</v>
      </c>
      <c r="M453" s="4" t="n">
        <v>11.95</v>
      </c>
      <c r="N453" s="4" t="n">
        <v>24.2</v>
      </c>
      <c r="O453" s="2" t="n">
        <v>20</v>
      </c>
      <c r="P453" s="4" t="n">
        <v>2.18</v>
      </c>
      <c r="Q453" s="4" t="n">
        <v>4.66</v>
      </c>
      <c r="R453" s="4">
        <f>G453*(L453/100)*(O453/100)</f>
        <v/>
      </c>
      <c r="S453" s="4">
        <f>G453*(K453/360/100)*J453*(O453/100)</f>
        <v/>
      </c>
      <c r="T453" s="4">
        <f>P453-R453+Q453-S453</f>
        <v/>
      </c>
    </row>
    <row r="454">
      <c r="A454" s="2" t="inlineStr">
        <is>
          <t>Oro</t>
        </is>
      </c>
      <c r="B454" s="2" t="inlineStr">
        <is>
          <t>Amarillo</t>
        </is>
      </c>
      <c r="C454" s="3" t="n">
        <v>46027</v>
      </c>
      <c r="D454" s="2" t="inlineStr">
        <is>
          <t>B18651928</t>
        </is>
      </c>
      <c r="E454" s="2" t="inlineStr">
        <is>
          <t>Cables Nitr…</t>
        </is>
      </c>
      <c r="F454" s="2" t="n">
        <v>4095200</v>
      </c>
      <c r="G454" s="4" t="n">
        <v>715.3</v>
      </c>
      <c r="H454" s="3" t="n">
        <v>45995</v>
      </c>
      <c r="I454" s="3" t="n">
        <v>46105</v>
      </c>
      <c r="J454" s="2" t="n">
        <v>83</v>
      </c>
      <c r="K454" s="2" t="n">
        <v>33.57</v>
      </c>
      <c r="L454" s="2" t="n">
        <v>2.03</v>
      </c>
      <c r="M454" s="4" t="n">
        <v>14.52</v>
      </c>
      <c r="N454" s="4" t="n">
        <v>55.36</v>
      </c>
      <c r="O454" s="2" t="n">
        <v>70</v>
      </c>
      <c r="P454" s="4" t="n">
        <v>9.93</v>
      </c>
      <c r="Q454" s="4" t="n">
        <v>38.82</v>
      </c>
      <c r="R454" s="4">
        <f>G454*(L454/100)*(O454/100)</f>
        <v/>
      </c>
      <c r="S454" s="4">
        <f>G454*(K454/360/100)*J454*(O454/100)</f>
        <v/>
      </c>
      <c r="T454" s="4">
        <f>P454-R454+Q454-S454</f>
        <v/>
      </c>
    </row>
    <row r="455">
      <c r="A455" s="2" t="inlineStr">
        <is>
          <t>Oro</t>
        </is>
      </c>
      <c r="B455" s="2" t="inlineStr">
        <is>
          <t>Amarillo</t>
        </is>
      </c>
      <c r="C455" s="3" t="n">
        <v>46027</v>
      </c>
      <c r="D455" s="2" t="inlineStr">
        <is>
          <t>A33953201</t>
        </is>
      </c>
      <c r="E455" s="2" t="inlineStr">
        <is>
          <t>Contenedor…</t>
        </is>
      </c>
      <c r="F455" s="2" t="n">
        <v>4675848</v>
      </c>
      <c r="G455" s="4" t="n">
        <v>852.6</v>
      </c>
      <c r="H455" s="3" t="n">
        <v>45993</v>
      </c>
      <c r="I455" s="3" t="n">
        <v>46131</v>
      </c>
      <c r="J455" s="2" t="n">
        <v>72</v>
      </c>
      <c r="K455" s="2" t="n">
        <v>49.55</v>
      </c>
      <c r="L455" s="2" t="n">
        <v>1.35</v>
      </c>
      <c r="M455" s="4" t="n">
        <v>11.51</v>
      </c>
      <c r="N455" s="4" t="n">
        <v>84.48999999999999</v>
      </c>
      <c r="O455" s="2" t="n">
        <v>50</v>
      </c>
      <c r="P455" s="4" t="n">
        <v>5.63</v>
      </c>
      <c r="Q455" s="4" t="n">
        <v>42.34</v>
      </c>
      <c r="R455" s="4">
        <f>G455*(L455/100)*(O455/100)</f>
        <v/>
      </c>
      <c r="S455" s="4">
        <f>G455*(K455/360/100)*J455*(O455/100)</f>
        <v/>
      </c>
      <c r="T455" s="4">
        <f>P455-R455+Q455-S455</f>
        <v/>
      </c>
    </row>
    <row r="456">
      <c r="A456" s="2" t="inlineStr">
        <is>
          <t>Oro</t>
        </is>
      </c>
      <c r="B456" s="2" t="inlineStr">
        <is>
          <t>Amarillo</t>
        </is>
      </c>
      <c r="C456" s="3" t="n">
        <v>46027</v>
      </c>
      <c r="D456" s="2" t="inlineStr">
        <is>
          <t>B71642041</t>
        </is>
      </c>
      <c r="E456" s="2" t="inlineStr">
        <is>
          <t>Placas Pio…</t>
        </is>
      </c>
      <c r="F456" s="2" t="n">
        <v>2861170</v>
      </c>
      <c r="G456" s="4" t="n">
        <v>424.8</v>
      </c>
      <c r="H456" s="3" t="n">
        <v>45995</v>
      </c>
      <c r="I456" s="3" t="n">
        <v>46107</v>
      </c>
      <c r="J456" s="2" t="n">
        <v>52</v>
      </c>
      <c r="K456" s="2" t="n">
        <v>44.95</v>
      </c>
      <c r="L456" s="2" t="n">
        <v>1.28</v>
      </c>
      <c r="M456" s="4" t="n">
        <v>5.44</v>
      </c>
      <c r="N456" s="4" t="n">
        <v>27.58</v>
      </c>
      <c r="O456" s="2" t="n">
        <v>40</v>
      </c>
      <c r="P456" s="4" t="n">
        <v>1.95</v>
      </c>
      <c r="Q456" s="4" t="n">
        <v>11.2</v>
      </c>
      <c r="R456" s="4">
        <f>G456*(L456/100)*(O456/100)</f>
        <v/>
      </c>
      <c r="S456" s="4">
        <f>G456*(K456/360/100)*J456*(O456/100)</f>
        <v/>
      </c>
      <c r="T456" s="4">
        <f>P456-R456+Q456-S456</f>
        <v/>
      </c>
    </row>
    <row r="457">
      <c r="A457" s="2" t="inlineStr">
        <is>
          <t>Oro</t>
        </is>
      </c>
      <c r="B457" s="2" t="inlineStr">
        <is>
          <t>Amarillo</t>
        </is>
      </c>
      <c r="C457" s="3" t="n">
        <v>46027</v>
      </c>
      <c r="D457" s="2" t="inlineStr">
        <is>
          <t>A37058389</t>
        </is>
      </c>
      <c r="E457" s="2" t="inlineStr">
        <is>
          <t>Áridos Ibéri…</t>
        </is>
      </c>
      <c r="F457" s="2" t="n">
        <v>2772574</v>
      </c>
      <c r="G457" s="4" t="n">
        <v>9450.1</v>
      </c>
      <c r="H457" s="3" t="n">
        <v>45993</v>
      </c>
      <c r="I457" s="3" t="n">
        <v>46071</v>
      </c>
      <c r="J457" s="2" t="n">
        <v>58</v>
      </c>
      <c r="K457" s="2" t="n">
        <v>17.89</v>
      </c>
      <c r="L457" s="2" t="n">
        <v>2.86</v>
      </c>
      <c r="M457" s="4" t="n">
        <v>270.27</v>
      </c>
      <c r="N457" s="4" t="n">
        <v>272.38</v>
      </c>
      <c r="O457" s="2" t="n">
        <v>40</v>
      </c>
      <c r="P457" s="4" t="n">
        <v>107.95</v>
      </c>
      <c r="Q457" s="4" t="n">
        <v>109</v>
      </c>
      <c r="R457" s="4">
        <f>G457*(L457/100)*(O457/100)</f>
        <v/>
      </c>
      <c r="S457" s="4">
        <f>G457*(K457/360/100)*J457*(O457/100)</f>
        <v/>
      </c>
      <c r="T457" s="4">
        <f>P457-R457+Q457-S457</f>
        <v/>
      </c>
    </row>
    <row r="458">
      <c r="A458" s="2" t="inlineStr">
        <is>
          <t>Oro</t>
        </is>
      </c>
      <c r="B458" s="2" t="inlineStr">
        <is>
          <t>Amarillo</t>
        </is>
      </c>
      <c r="C458" s="3" t="n">
        <v>46027</v>
      </c>
      <c r="D458" s="2" t="inlineStr">
        <is>
          <t>A54358423</t>
        </is>
      </c>
      <c r="E458" s="2" t="inlineStr">
        <is>
          <t>Cuarzos Ex…</t>
        </is>
      </c>
      <c r="F458" s="2" t="n">
        <v>4488444</v>
      </c>
      <c r="G458" s="4" t="n">
        <v>517.49</v>
      </c>
      <c r="H458" s="3" t="n">
        <v>46019</v>
      </c>
      <c r="I458" s="3" t="n">
        <v>46176</v>
      </c>
      <c r="J458" s="2" t="n">
        <v>53</v>
      </c>
      <c r="K458" s="2" t="n">
        <v>28.46</v>
      </c>
      <c r="L458" s="2" t="n">
        <v>1.62</v>
      </c>
      <c r="M458" s="4" t="n">
        <v>8.380000000000001</v>
      </c>
      <c r="N458" s="4" t="n">
        <v>21.68</v>
      </c>
      <c r="O458" s="2" t="n">
        <v>30</v>
      </c>
      <c r="P458" s="4" t="n">
        <v>2.66</v>
      </c>
      <c r="Q458" s="4" t="n">
        <v>6.38</v>
      </c>
      <c r="R458" s="4">
        <f>G458*(L458/100)*(O458/100)</f>
        <v/>
      </c>
      <c r="S458" s="4">
        <f>G458*(K458/360/100)*J458*(O458/100)</f>
        <v/>
      </c>
      <c r="T458" s="4">
        <f>P458-R458+Q458-S458</f>
        <v/>
      </c>
    </row>
    <row r="459">
      <c r="A459" s="2" t="inlineStr">
        <is>
          <t>Oro</t>
        </is>
      </c>
      <c r="B459" s="2" t="inlineStr">
        <is>
          <t>Amarillo</t>
        </is>
      </c>
      <c r="C459" s="3" t="n">
        <v>46027</v>
      </c>
      <c r="D459" s="2" t="inlineStr">
        <is>
          <t>A47417591</t>
        </is>
      </c>
      <c r="E459" s="2" t="inlineStr">
        <is>
          <t>Caolines S…</t>
        </is>
      </c>
      <c r="F459" s="2" t="n">
        <v>1760717</v>
      </c>
      <c r="G459" s="4" t="n">
        <v>703.63</v>
      </c>
      <c r="H459" s="3" t="n">
        <v>46000</v>
      </c>
      <c r="I459" s="3" t="n">
        <v>46097</v>
      </c>
      <c r="J459" s="2" t="n">
        <v>25</v>
      </c>
      <c r="K459" s="2" t="n">
        <v>20.07</v>
      </c>
      <c r="L459" s="2" t="n">
        <v>1.47</v>
      </c>
      <c r="M459" s="4" t="n">
        <v>10.34</v>
      </c>
      <c r="N459" s="4" t="n">
        <v>9.81</v>
      </c>
      <c r="O459" s="2" t="n">
        <v>50</v>
      </c>
      <c r="P459" s="4" t="n">
        <v>5.47</v>
      </c>
      <c r="Q459" s="4" t="n">
        <v>4.66</v>
      </c>
      <c r="R459" s="4">
        <f>G459*(L459/100)*(O459/100)</f>
        <v/>
      </c>
      <c r="S459" s="4">
        <f>G459*(K459/360/100)*J459*(O459/100)</f>
        <v/>
      </c>
      <c r="T459" s="4">
        <f>P459-R459+Q459-S459</f>
        <v/>
      </c>
    </row>
    <row r="460">
      <c r="A460" s="2" t="inlineStr">
        <is>
          <t>Oro</t>
        </is>
      </c>
      <c r="B460" s="2" t="inlineStr">
        <is>
          <t>Amarillo</t>
        </is>
      </c>
      <c r="C460" s="3" t="n">
        <v>46027</v>
      </c>
      <c r="D460" s="2" t="inlineStr">
        <is>
          <t>A81768175</t>
        </is>
      </c>
      <c r="E460" s="2" t="inlineStr">
        <is>
          <t>Bridas Refi…</t>
        </is>
      </c>
      <c r="F460" s="2" t="n">
        <v>3510073</v>
      </c>
      <c r="G460" s="4" t="n">
        <v>4350.92</v>
      </c>
      <c r="H460" s="3" t="n">
        <v>46006</v>
      </c>
      <c r="I460" s="3" t="n">
        <v>46034</v>
      </c>
      <c r="J460" s="2" t="n">
        <v>23</v>
      </c>
      <c r="K460" s="2" t="n">
        <v>31.41</v>
      </c>
      <c r="L460" s="2" t="n">
        <v>2.24</v>
      </c>
      <c r="M460" s="4" t="n">
        <v>97.45999999999999</v>
      </c>
      <c r="N460" s="4" t="n">
        <v>87.31</v>
      </c>
      <c r="O460" s="2" t="n">
        <v>30</v>
      </c>
      <c r="P460" s="4" t="n">
        <v>29.07</v>
      </c>
      <c r="Q460" s="4" t="n">
        <v>26.28</v>
      </c>
      <c r="R460" s="4">
        <f>G460*(L460/100)*(O460/100)</f>
        <v/>
      </c>
      <c r="S460" s="4">
        <f>G460*(K460/360/100)*J460*(O460/100)</f>
        <v/>
      </c>
      <c r="T460" s="4">
        <f>P460-R460+Q460-S460</f>
        <v/>
      </c>
    </row>
    <row r="461">
      <c r="A461" s="2" t="inlineStr">
        <is>
          <t>Oro</t>
        </is>
      </c>
      <c r="B461" s="2" t="inlineStr">
        <is>
          <t>Amarillo</t>
        </is>
      </c>
      <c r="C461" s="3" t="n">
        <v>46027</v>
      </c>
      <c r="D461" s="2" t="inlineStr">
        <is>
          <t>B02008883</t>
        </is>
      </c>
      <c r="E461" s="2" t="inlineStr">
        <is>
          <t>Excipientes…</t>
        </is>
      </c>
      <c r="F461" s="2" t="n">
        <v>3632661</v>
      </c>
      <c r="G461" s="4" t="n">
        <v>465.37</v>
      </c>
      <c r="H461" s="3" t="n">
        <v>46000</v>
      </c>
      <c r="I461" s="3" t="n">
        <v>46183</v>
      </c>
      <c r="J461" s="2" t="n">
        <v>24</v>
      </c>
      <c r="K461" s="2" t="n">
        <v>39.56</v>
      </c>
      <c r="L461" s="2" t="n">
        <v>1</v>
      </c>
      <c r="M461" s="4" t="n">
        <v>4.65</v>
      </c>
      <c r="N461" s="4" t="n">
        <v>12.27</v>
      </c>
      <c r="O461" s="2" t="n">
        <v>50</v>
      </c>
      <c r="P461" s="4" t="n">
        <v>2.41</v>
      </c>
      <c r="Q461" s="4" t="n">
        <v>5.92</v>
      </c>
      <c r="R461" s="4">
        <f>G461*(L461/100)*(O461/100)</f>
        <v/>
      </c>
      <c r="S461" s="4">
        <f>G461*(K461/360/100)*J461*(O461/100)</f>
        <v/>
      </c>
      <c r="T461" s="4">
        <f>P461-R461+Q461-S461</f>
        <v/>
      </c>
    </row>
    <row r="462">
      <c r="A462" s="2" t="inlineStr">
        <is>
          <t>Oro</t>
        </is>
      </c>
      <c r="B462" s="2" t="inlineStr">
        <is>
          <t>Amarillo</t>
        </is>
      </c>
      <c r="C462" s="3" t="n">
        <v>46027</v>
      </c>
      <c r="D462" s="2" t="inlineStr">
        <is>
          <t>B30896029</t>
        </is>
      </c>
      <c r="E462" s="2" t="inlineStr">
        <is>
          <t>Propilenos…</t>
        </is>
      </c>
      <c r="F462" s="2" t="n">
        <v>1678556</v>
      </c>
      <c r="G462" s="4" t="n">
        <v>348.55</v>
      </c>
      <c r="H462" s="3" t="n">
        <v>46008</v>
      </c>
      <c r="I462" s="3" t="n">
        <v>46143</v>
      </c>
      <c r="J462" s="2" t="n">
        <v>79</v>
      </c>
      <c r="K462" s="2" t="n">
        <v>42.91</v>
      </c>
      <c r="L462" s="2" t="n">
        <v>2.43</v>
      </c>
      <c r="M462" s="4" t="n">
        <v>8.470000000000001</v>
      </c>
      <c r="N462" s="4" t="n">
        <v>32.82</v>
      </c>
      <c r="O462" s="2" t="n">
        <v>40</v>
      </c>
      <c r="P462" s="4" t="n">
        <v>3.24</v>
      </c>
      <c r="Q462" s="4" t="n">
        <v>13.3</v>
      </c>
      <c r="R462" s="4">
        <f>G462*(L462/100)*(O462/100)</f>
        <v/>
      </c>
      <c r="S462" s="4">
        <f>G462*(K462/360/100)*J462*(O462/100)</f>
        <v/>
      </c>
      <c r="T462" s="4">
        <f>P462-R462+Q462-S462</f>
        <v/>
      </c>
    </row>
    <row r="463">
      <c r="A463" s="2" t="inlineStr">
        <is>
          <t>Oro</t>
        </is>
      </c>
      <c r="B463" s="2" t="inlineStr">
        <is>
          <t>Amarillo</t>
        </is>
      </c>
      <c r="C463" s="3" t="n">
        <v>46027</v>
      </c>
      <c r="D463" s="2" t="inlineStr">
        <is>
          <t>A42022168</t>
        </is>
      </c>
      <c r="E463" s="2" t="inlineStr">
        <is>
          <t>Etiquetas A…</t>
        </is>
      </c>
      <c r="F463" s="2" t="n">
        <v>3228520</v>
      </c>
      <c r="G463" s="4" t="n">
        <v>950.08</v>
      </c>
      <c r="H463" s="3" t="n">
        <v>45995</v>
      </c>
      <c r="I463" s="3" t="n">
        <v>46195</v>
      </c>
      <c r="J463" s="2" t="n">
        <v>62</v>
      </c>
      <c r="K463" s="2" t="n">
        <v>39.62</v>
      </c>
      <c r="L463" s="2" t="n">
        <v>2.14</v>
      </c>
      <c r="M463" s="4" t="n">
        <v>20.33</v>
      </c>
      <c r="N463" s="4" t="n">
        <v>64.83</v>
      </c>
      <c r="O463" s="2" t="n">
        <v>30</v>
      </c>
      <c r="P463" s="4" t="n">
        <v>6</v>
      </c>
      <c r="Q463" s="4" t="n">
        <v>19.2</v>
      </c>
      <c r="R463" s="4">
        <f>G463*(L463/100)*(O463/100)</f>
        <v/>
      </c>
      <c r="S463" s="4">
        <f>G463*(K463/360/100)*J463*(O463/100)</f>
        <v/>
      </c>
      <c r="T463" s="4">
        <f>P463-R463+Q463-S463</f>
        <v/>
      </c>
    </row>
    <row r="464">
      <c r="A464" s="2" t="inlineStr">
        <is>
          <t>Oro</t>
        </is>
      </c>
      <c r="B464" s="2" t="inlineStr">
        <is>
          <t>Amarillo</t>
        </is>
      </c>
      <c r="C464" s="3" t="n">
        <v>46027</v>
      </c>
      <c r="D464" s="2" t="inlineStr">
        <is>
          <t>B15687725</t>
        </is>
      </c>
      <c r="E464" s="2" t="inlineStr">
        <is>
          <t>Relés Cons…</t>
        </is>
      </c>
      <c r="F464" s="2" t="n">
        <v>3913514</v>
      </c>
      <c r="G464" s="4" t="n">
        <v>361.3</v>
      </c>
      <c r="H464" s="3" t="n">
        <v>46014</v>
      </c>
      <c r="I464" s="3" t="n">
        <v>46071</v>
      </c>
      <c r="J464" s="2" t="n">
        <v>12</v>
      </c>
      <c r="K464" s="2" t="n">
        <v>42.22</v>
      </c>
      <c r="L464" s="2" t="n">
        <v>1.18</v>
      </c>
      <c r="M464" s="4" t="n">
        <v>4.26</v>
      </c>
      <c r="N464" s="4" t="n">
        <v>5.08</v>
      </c>
      <c r="O464" s="2" t="n">
        <v>50</v>
      </c>
      <c r="P464" s="4" t="n">
        <v>2.02</v>
      </c>
      <c r="Q464" s="4" t="n">
        <v>2.56</v>
      </c>
      <c r="R464" s="4">
        <f>G464*(L464/100)*(O464/100)</f>
        <v/>
      </c>
      <c r="S464" s="4">
        <f>G464*(K464/360/100)*J464*(O464/100)</f>
        <v/>
      </c>
      <c r="T464" s="4">
        <f>P464-R464+Q464-S464</f>
        <v/>
      </c>
    </row>
    <row r="465">
      <c r="A465" s="2" t="inlineStr">
        <is>
          <t>Oro</t>
        </is>
      </c>
      <c r="B465" s="2" t="inlineStr">
        <is>
          <t>Amarillo</t>
        </is>
      </c>
      <c r="C465" s="3" t="n">
        <v>46027</v>
      </c>
      <c r="D465" s="2" t="inlineStr">
        <is>
          <t>A65295256</t>
        </is>
      </c>
      <c r="E465" s="2" t="inlineStr">
        <is>
          <t>Catalizador…</t>
        </is>
      </c>
      <c r="F465" s="2" t="n">
        <v>3506778</v>
      </c>
      <c r="G465" s="4" t="n">
        <v>249.8</v>
      </c>
      <c r="H465" s="3" t="n">
        <v>46017</v>
      </c>
      <c r="I465" s="3" t="n">
        <v>46156</v>
      </c>
      <c r="J465" s="2" t="n">
        <v>15</v>
      </c>
      <c r="K465" s="2" t="n">
        <v>19.9</v>
      </c>
      <c r="L465" s="2" t="n">
        <v>2.19</v>
      </c>
      <c r="M465" s="4" t="n">
        <v>5.47</v>
      </c>
      <c r="N465" s="4" t="n">
        <v>2.07</v>
      </c>
      <c r="O465" s="2" t="n">
        <v>50</v>
      </c>
      <c r="P465" s="4" t="n">
        <v>2.56</v>
      </c>
      <c r="Q465" s="4" t="n">
        <v>0.75</v>
      </c>
      <c r="R465" s="4">
        <f>G465*(L465/100)*(O465/100)</f>
        <v/>
      </c>
      <c r="S465" s="4">
        <f>G465*(K465/360/100)*J465*(O465/100)</f>
        <v/>
      </c>
      <c r="T465" s="4">
        <f>P465-R465+Q465-S465</f>
        <v/>
      </c>
    </row>
    <row r="466">
      <c r="A466" s="2" t="inlineStr">
        <is>
          <t>Oro</t>
        </is>
      </c>
      <c r="B466" s="2" t="inlineStr">
        <is>
          <t>Amarillo</t>
        </is>
      </c>
      <c r="C466" s="3" t="n">
        <v>46027</v>
      </c>
      <c r="D466" s="2" t="inlineStr">
        <is>
          <t>A66622109</t>
        </is>
      </c>
      <c r="E466" s="2" t="inlineStr">
        <is>
          <t>Aglomerad…</t>
        </is>
      </c>
      <c r="F466" s="2" t="n">
        <v>1053718</v>
      </c>
      <c r="G466" s="4" t="n">
        <v>8517.059999999999</v>
      </c>
      <c r="H466" s="3" t="n">
        <v>46012</v>
      </c>
      <c r="I466" s="3" t="n">
        <v>46067</v>
      </c>
      <c r="J466" s="2" t="n">
        <v>63</v>
      </c>
      <c r="K466" s="2" t="n">
        <v>44.71</v>
      </c>
      <c r="L466" s="2" t="n">
        <v>0.83</v>
      </c>
      <c r="M466" s="4" t="n">
        <v>70.69</v>
      </c>
      <c r="N466" s="4" t="n">
        <v>666.4</v>
      </c>
      <c r="O466" s="2" t="n">
        <v>60</v>
      </c>
      <c r="P466" s="4" t="n">
        <v>42.27</v>
      </c>
      <c r="Q466" s="4" t="n">
        <v>399.58</v>
      </c>
      <c r="R466" s="4">
        <f>G466*(L466/100)*(O466/100)</f>
        <v/>
      </c>
      <c r="S466" s="4">
        <f>G466*(K466/360/100)*J466*(O466/100)</f>
        <v/>
      </c>
      <c r="T466" s="4">
        <f>P466-R466+Q466-S466</f>
        <v/>
      </c>
    </row>
    <row r="467">
      <c r="A467" s="2" t="inlineStr">
        <is>
          <t>Oro</t>
        </is>
      </c>
      <c r="B467" s="2" t="inlineStr">
        <is>
          <t>Amarillo</t>
        </is>
      </c>
      <c r="C467" s="3" t="n">
        <v>46027</v>
      </c>
      <c r="D467" s="2" t="inlineStr">
        <is>
          <t>A32805421</t>
        </is>
      </c>
      <c r="E467" s="2" t="inlineStr">
        <is>
          <t>Palés Trata…</t>
        </is>
      </c>
      <c r="F467" s="2" t="n">
        <v>1250424</v>
      </c>
      <c r="G467" s="4" t="n">
        <v>541.1</v>
      </c>
      <c r="H467" s="3" t="n">
        <v>46003</v>
      </c>
      <c r="I467" s="3" t="n">
        <v>46146</v>
      </c>
      <c r="J467" s="2" t="n">
        <v>36</v>
      </c>
      <c r="K467" s="2" t="n">
        <v>26.47</v>
      </c>
      <c r="L467" s="2" t="n">
        <v>2.59</v>
      </c>
      <c r="M467" s="4" t="n">
        <v>14.01</v>
      </c>
      <c r="N467" s="4" t="n">
        <v>14.32</v>
      </c>
      <c r="O467" s="2" t="n">
        <v>20</v>
      </c>
      <c r="P467" s="4" t="n">
        <v>2.61</v>
      </c>
      <c r="Q467" s="4" t="n">
        <v>2.6</v>
      </c>
      <c r="R467" s="4">
        <f>G467*(L467/100)*(O467/100)</f>
        <v/>
      </c>
      <c r="S467" s="4">
        <f>G467*(K467/360/100)*J467*(O467/100)</f>
        <v/>
      </c>
      <c r="T467" s="4">
        <f>P467-R467+Q467-S467</f>
        <v/>
      </c>
    </row>
    <row r="468">
      <c r="A468" s="2" t="inlineStr">
        <is>
          <t>Oro</t>
        </is>
      </c>
      <c r="B468" s="2" t="inlineStr">
        <is>
          <t>Amarillo</t>
        </is>
      </c>
      <c r="C468" s="3" t="n">
        <v>46027</v>
      </c>
      <c r="D468" s="2" t="inlineStr">
        <is>
          <t>B08366022</t>
        </is>
      </c>
      <c r="E468" s="2" t="inlineStr">
        <is>
          <t>Prefabricad…</t>
        </is>
      </c>
      <c r="F468" s="2" t="n">
        <v>1303723</v>
      </c>
      <c r="G468" s="4" t="n">
        <v>765.88</v>
      </c>
      <c r="H468" s="3" t="n">
        <v>46012</v>
      </c>
      <c r="I468" s="3" t="n">
        <v>46050</v>
      </c>
      <c r="J468" s="2" t="n">
        <v>22</v>
      </c>
      <c r="K468" s="2" t="n">
        <v>26.53</v>
      </c>
      <c r="L468" s="2" t="n">
        <v>2.24</v>
      </c>
      <c r="M468" s="4" t="n">
        <v>17.16</v>
      </c>
      <c r="N468" s="4" t="n">
        <v>12.42</v>
      </c>
      <c r="O468" s="2" t="n">
        <v>50</v>
      </c>
      <c r="P468" s="4" t="n">
        <v>8.619999999999999</v>
      </c>
      <c r="Q468" s="4" t="n">
        <v>6.24</v>
      </c>
      <c r="R468" s="4">
        <f>G468*(L468/100)*(O468/100)</f>
        <v/>
      </c>
      <c r="S468" s="4">
        <f>G468*(K468/360/100)*J468*(O468/100)</f>
        <v/>
      </c>
      <c r="T468" s="4">
        <f>P468-R468+Q468-S468</f>
        <v/>
      </c>
    </row>
    <row r="469">
      <c r="A469" s="2" t="inlineStr">
        <is>
          <t>Oro</t>
        </is>
      </c>
      <c r="B469" s="2" t="inlineStr">
        <is>
          <t>Amarillo</t>
        </is>
      </c>
      <c r="C469" s="3" t="n">
        <v>46027</v>
      </c>
      <c r="D469" s="2" t="inlineStr">
        <is>
          <t>B58619845</t>
        </is>
      </c>
      <c r="E469" s="2" t="inlineStr">
        <is>
          <t>Algodones…</t>
        </is>
      </c>
      <c r="F469" s="2" t="n">
        <v>2767034</v>
      </c>
      <c r="G469" s="4" t="n">
        <v>521.9400000000001</v>
      </c>
      <c r="H469" s="3" t="n">
        <v>45995</v>
      </c>
      <c r="I469" s="3" t="n">
        <v>46121</v>
      </c>
      <c r="J469" s="2" t="n">
        <v>48</v>
      </c>
      <c r="K469" s="2" t="n">
        <v>33.84</v>
      </c>
      <c r="L469" s="2" t="n">
        <v>2.55</v>
      </c>
      <c r="M469" s="4" t="n">
        <v>13.31</v>
      </c>
      <c r="N469" s="4" t="n">
        <v>23.55</v>
      </c>
      <c r="O469" s="2" t="n">
        <v>40</v>
      </c>
      <c r="P469" s="4" t="n">
        <v>5.1</v>
      </c>
      <c r="Q469" s="4" t="n">
        <v>9.32</v>
      </c>
      <c r="R469" s="4">
        <f>G469*(L469/100)*(O469/100)</f>
        <v/>
      </c>
      <c r="S469" s="4">
        <f>G469*(K469/360/100)*J469*(O469/100)</f>
        <v/>
      </c>
      <c r="T469" s="4">
        <f>P469-R469+Q469-S469</f>
        <v/>
      </c>
    </row>
    <row r="470">
      <c r="A470" s="2" t="inlineStr">
        <is>
          <t>Oro</t>
        </is>
      </c>
      <c r="B470" s="2" t="inlineStr">
        <is>
          <t>Amarillo</t>
        </is>
      </c>
      <c r="C470" s="3" t="n">
        <v>46027</v>
      </c>
      <c r="D470" s="2" t="inlineStr">
        <is>
          <t>A59860789</t>
        </is>
      </c>
      <c r="E470" s="2" t="inlineStr">
        <is>
          <t>Parquets Si…</t>
        </is>
      </c>
      <c r="F470" s="2" t="n">
        <v>4112544</v>
      </c>
      <c r="G470" s="4" t="n">
        <v>876.88</v>
      </c>
      <c r="H470" s="3" t="n">
        <v>46011</v>
      </c>
      <c r="I470" s="3" t="n">
        <v>46178</v>
      </c>
      <c r="J470" s="2" t="n">
        <v>26</v>
      </c>
      <c r="K470" s="2" t="n">
        <v>46.63</v>
      </c>
      <c r="L470" s="2" t="n">
        <v>1.98</v>
      </c>
      <c r="M470" s="4" t="n">
        <v>17.36</v>
      </c>
      <c r="N470" s="4" t="n">
        <v>29.53</v>
      </c>
      <c r="O470" s="2" t="n">
        <v>70</v>
      </c>
      <c r="P470" s="4" t="n">
        <v>12</v>
      </c>
      <c r="Q470" s="4" t="n">
        <v>20.59</v>
      </c>
      <c r="R470" s="4">
        <f>G470*(L470/100)*(O470/100)</f>
        <v/>
      </c>
      <c r="S470" s="4">
        <f>G470*(K470/360/100)*J470*(O470/100)</f>
        <v/>
      </c>
      <c r="T470" s="4">
        <f>P470-R470+Q470-S470</f>
        <v/>
      </c>
    </row>
    <row r="471">
      <c r="A471" s="2" t="inlineStr">
        <is>
          <t>Oro</t>
        </is>
      </c>
      <c r="B471" s="2" t="inlineStr">
        <is>
          <t>Amarillo</t>
        </is>
      </c>
      <c r="C471" s="3" t="n">
        <v>46027</v>
      </c>
      <c r="D471" s="2" t="inlineStr">
        <is>
          <t>B60803962</t>
        </is>
      </c>
      <c r="E471" s="2" t="inlineStr">
        <is>
          <t>Tintes Cent…</t>
        </is>
      </c>
      <c r="F471" s="2" t="n">
        <v>3032542</v>
      </c>
      <c r="G471" s="4" t="n">
        <v>1579.55</v>
      </c>
      <c r="H471" s="3" t="n">
        <v>46009</v>
      </c>
      <c r="I471" s="3" t="n">
        <v>46117</v>
      </c>
      <c r="J471" s="2" t="n">
        <v>56</v>
      </c>
      <c r="K471" s="2" t="n">
        <v>13.9</v>
      </c>
      <c r="L471" s="2" t="n">
        <v>0.91</v>
      </c>
      <c r="M471" s="4" t="n">
        <v>14.37</v>
      </c>
      <c r="N471" s="4" t="n">
        <v>34.15</v>
      </c>
      <c r="O471" s="2" t="n">
        <v>40</v>
      </c>
      <c r="P471" s="4" t="n">
        <v>5.66</v>
      </c>
      <c r="Q471" s="4" t="n">
        <v>13.56</v>
      </c>
      <c r="R471" s="4">
        <f>G471*(L471/100)*(O471/100)</f>
        <v/>
      </c>
      <c r="S471" s="4">
        <f>G471*(K471/360/100)*J471*(O471/100)</f>
        <v/>
      </c>
      <c r="T471" s="4">
        <f>P471-R471+Q471-S471</f>
        <v/>
      </c>
    </row>
    <row r="472">
      <c r="A472" s="2" t="inlineStr">
        <is>
          <t>Oro</t>
        </is>
      </c>
      <c r="B472" s="2" t="inlineStr">
        <is>
          <t>Amarillo</t>
        </is>
      </c>
      <c r="C472" s="3" t="n">
        <v>46027</v>
      </c>
      <c r="D472" s="2" t="inlineStr">
        <is>
          <t>B53668074</t>
        </is>
      </c>
      <c r="E472" s="2" t="inlineStr">
        <is>
          <t>Filamentos…</t>
        </is>
      </c>
      <c r="F472" s="2" t="n">
        <v>3461739</v>
      </c>
      <c r="G472" s="4" t="n">
        <v>447.88</v>
      </c>
      <c r="H472" s="3" t="n">
        <v>45992</v>
      </c>
      <c r="I472" s="3" t="n">
        <v>46108</v>
      </c>
      <c r="J472" s="2" t="n">
        <v>17</v>
      </c>
      <c r="K472" s="2" t="n">
        <v>26.1</v>
      </c>
      <c r="L472" s="2" t="n">
        <v>1.02</v>
      </c>
      <c r="M472" s="4" t="n">
        <v>4.57</v>
      </c>
      <c r="N472" s="4" t="n">
        <v>5.52</v>
      </c>
      <c r="O472" s="2" t="n">
        <v>30</v>
      </c>
      <c r="P472" s="4" t="n">
        <v>1.35</v>
      </c>
      <c r="Q472" s="4" t="n">
        <v>1.56</v>
      </c>
      <c r="R472" s="4">
        <f>G472*(L472/100)*(O472/100)</f>
        <v/>
      </c>
      <c r="S472" s="4">
        <f>G472*(K472/360/100)*J472*(O472/100)</f>
        <v/>
      </c>
      <c r="T472" s="4">
        <f>P472-R472+Q472-S472</f>
        <v/>
      </c>
    </row>
    <row r="473">
      <c r="A473" s="2" t="inlineStr">
        <is>
          <t>Oro</t>
        </is>
      </c>
      <c r="B473" s="2" t="inlineStr">
        <is>
          <t>Amarillo</t>
        </is>
      </c>
      <c r="C473" s="3" t="n">
        <v>46027</v>
      </c>
      <c r="D473" s="2" t="inlineStr">
        <is>
          <t>A47886485</t>
        </is>
      </c>
      <c r="E473" s="2" t="inlineStr">
        <is>
          <t>Tinturas So…</t>
        </is>
      </c>
      <c r="F473" s="2" t="n">
        <v>1739330</v>
      </c>
      <c r="G473" s="4" t="n">
        <v>2713.52</v>
      </c>
      <c r="H473" s="3" t="n">
        <v>45999</v>
      </c>
      <c r="I473" s="3" t="n">
        <v>46183</v>
      </c>
      <c r="J473" s="2" t="n">
        <v>47</v>
      </c>
      <c r="K473" s="2" t="n">
        <v>39.81</v>
      </c>
      <c r="L473" s="2" t="n">
        <v>2.02</v>
      </c>
      <c r="M473" s="4" t="n">
        <v>54.81</v>
      </c>
      <c r="N473" s="4" t="n">
        <v>141.03</v>
      </c>
      <c r="O473" s="2" t="n">
        <v>30</v>
      </c>
      <c r="P473" s="4" t="n">
        <v>16.7</v>
      </c>
      <c r="Q473" s="4" t="n">
        <v>42.57</v>
      </c>
      <c r="R473" s="4">
        <f>G473*(L473/100)*(O473/100)</f>
        <v/>
      </c>
      <c r="S473" s="4">
        <f>G473*(K473/360/100)*J473*(O473/100)</f>
        <v/>
      </c>
      <c r="T473" s="4">
        <f>P473-R473+Q473-S473</f>
        <v/>
      </c>
    </row>
    <row r="474">
      <c r="A474" s="2" t="inlineStr">
        <is>
          <t>Oro</t>
        </is>
      </c>
      <c r="B474" s="2" t="inlineStr">
        <is>
          <t>Amarillo</t>
        </is>
      </c>
      <c r="C474" s="3" t="n">
        <v>46027</v>
      </c>
      <c r="D474" s="2" t="inlineStr">
        <is>
          <t>A20493835</t>
        </is>
      </c>
      <c r="E474" s="2" t="inlineStr">
        <is>
          <t>Controles…</t>
        </is>
      </c>
      <c r="F474" s="2" t="n">
        <v>1992158</v>
      </c>
      <c r="G474" s="4" t="n">
        <v>523.88</v>
      </c>
      <c r="H474" s="3" t="n">
        <v>46019</v>
      </c>
      <c r="I474" s="3" t="n">
        <v>46055</v>
      </c>
      <c r="J474" s="2" t="n">
        <v>62</v>
      </c>
      <c r="K474" s="2" t="n">
        <v>38.3</v>
      </c>
      <c r="L474" s="2" t="n">
        <v>2.94</v>
      </c>
      <c r="M474" s="4" t="n">
        <v>15.4</v>
      </c>
      <c r="N474" s="4" t="n">
        <v>34.56</v>
      </c>
      <c r="O474" s="2" t="n">
        <v>20</v>
      </c>
      <c r="P474" s="4" t="n">
        <v>3.26</v>
      </c>
      <c r="Q474" s="4" t="n">
        <v>7.06</v>
      </c>
      <c r="R474" s="4">
        <f>G474*(L474/100)*(O474/100)</f>
        <v/>
      </c>
      <c r="S474" s="4">
        <f>G474*(K474/360/100)*J474*(O474/100)</f>
        <v/>
      </c>
      <c r="T474" s="4">
        <f>P474-R474+Q474-S474</f>
        <v/>
      </c>
    </row>
    <row r="475">
      <c r="A475" s="2" t="inlineStr">
        <is>
          <t>Oro</t>
        </is>
      </c>
      <c r="B475" s="2" t="inlineStr">
        <is>
          <t>Amarillo</t>
        </is>
      </c>
      <c r="C475" s="3" t="n">
        <v>46027</v>
      </c>
      <c r="D475" s="2" t="inlineStr">
        <is>
          <t>B80087530</t>
        </is>
      </c>
      <c r="E475" s="2" t="inlineStr">
        <is>
          <t>Convertidor…</t>
        </is>
      </c>
      <c r="F475" s="2" t="n">
        <v>2863253</v>
      </c>
      <c r="G475" s="4" t="n">
        <v>855.34</v>
      </c>
      <c r="H475" s="3" t="n">
        <v>45994</v>
      </c>
      <c r="I475" s="3" t="n">
        <v>46101</v>
      </c>
      <c r="J475" s="2" t="n">
        <v>16</v>
      </c>
      <c r="K475" s="2" t="n">
        <v>41.55</v>
      </c>
      <c r="L475" s="2" t="n">
        <v>1.27</v>
      </c>
      <c r="M475" s="4" t="n">
        <v>10.86</v>
      </c>
      <c r="N475" s="4" t="n">
        <v>15.8</v>
      </c>
      <c r="O475" s="2" t="n">
        <v>70</v>
      </c>
      <c r="P475" s="4" t="n">
        <v>7.64</v>
      </c>
      <c r="Q475" s="4" t="n">
        <v>10.92</v>
      </c>
      <c r="R475" s="4">
        <f>G475*(L475/100)*(O475/100)</f>
        <v/>
      </c>
      <c r="S475" s="4">
        <f>G475*(K475/360/100)*J475*(O475/100)</f>
        <v/>
      </c>
      <c r="T475" s="4">
        <f>P475-R475+Q475-S475</f>
        <v/>
      </c>
    </row>
    <row r="476">
      <c r="A476" s="2" t="inlineStr">
        <is>
          <t>Oro</t>
        </is>
      </c>
      <c r="B476" s="2" t="inlineStr">
        <is>
          <t>Amarillo</t>
        </is>
      </c>
      <c r="C476" s="3" t="n">
        <v>46027</v>
      </c>
      <c r="D476" s="2" t="inlineStr">
        <is>
          <t>B90082319</t>
        </is>
      </c>
      <c r="E476" s="2" t="inlineStr">
        <is>
          <t>Cables Dur…</t>
        </is>
      </c>
      <c r="F476" s="2" t="n">
        <v>3474443</v>
      </c>
      <c r="G476" s="4" t="n">
        <v>8156.4</v>
      </c>
      <c r="H476" s="3" t="n">
        <v>45992</v>
      </c>
      <c r="I476" s="3" t="n">
        <v>46082</v>
      </c>
      <c r="J476" s="2" t="n">
        <v>41</v>
      </c>
      <c r="K476" s="2" t="n">
        <v>27.7</v>
      </c>
      <c r="L476" s="2" t="n">
        <v>1.19</v>
      </c>
      <c r="M476" s="4" t="n">
        <v>97.06</v>
      </c>
      <c r="N476" s="4" t="n">
        <v>257.31</v>
      </c>
      <c r="O476" s="2" t="n">
        <v>60</v>
      </c>
      <c r="P476" s="4" t="n">
        <v>58.07</v>
      </c>
      <c r="Q476" s="4" t="n">
        <v>154.6</v>
      </c>
      <c r="R476" s="4">
        <f>G476*(L476/100)*(O476/100)</f>
        <v/>
      </c>
      <c r="S476" s="4">
        <f>G476*(K476/360/100)*J476*(O476/100)</f>
        <v/>
      </c>
      <c r="T476" s="4">
        <f>P476-R476+Q476-S476</f>
        <v/>
      </c>
    </row>
    <row r="477">
      <c r="A477" s="2" t="inlineStr">
        <is>
          <t>Oro</t>
        </is>
      </c>
      <c r="B477" s="2" t="inlineStr">
        <is>
          <t>Amarillo</t>
        </is>
      </c>
      <c r="C477" s="3" t="n">
        <v>46027</v>
      </c>
      <c r="D477" s="2" t="inlineStr">
        <is>
          <t>A77575454</t>
        </is>
      </c>
      <c r="E477" s="2" t="inlineStr">
        <is>
          <t>Sedas Pres…</t>
        </is>
      </c>
      <c r="F477" s="2" t="n">
        <v>2062457</v>
      </c>
      <c r="G477" s="4" t="n">
        <v>4472.23</v>
      </c>
      <c r="H477" s="3" t="n">
        <v>45995</v>
      </c>
      <c r="I477" s="3" t="n">
        <v>46158</v>
      </c>
      <c r="J477" s="2" t="n">
        <v>18</v>
      </c>
      <c r="K477" s="2" t="n">
        <v>21.69</v>
      </c>
      <c r="L477" s="2" t="n">
        <v>0.93</v>
      </c>
      <c r="M477" s="4" t="n">
        <v>41.59</v>
      </c>
      <c r="N477" s="4" t="n">
        <v>48.5</v>
      </c>
      <c r="O477" s="2" t="n">
        <v>30</v>
      </c>
      <c r="P477" s="4" t="n">
        <v>12.63</v>
      </c>
      <c r="Q477" s="4" t="n">
        <v>14.79</v>
      </c>
      <c r="R477" s="4">
        <f>G477*(L477/100)*(O477/100)</f>
        <v/>
      </c>
      <c r="S477" s="4">
        <f>G477*(K477/360/100)*J477*(O477/100)</f>
        <v/>
      </c>
      <c r="T477" s="4">
        <f>P477-R477+Q477-S477</f>
        <v/>
      </c>
    </row>
    <row r="478">
      <c r="A478" s="2" t="inlineStr">
        <is>
          <t>Oro</t>
        </is>
      </c>
      <c r="B478" s="2" t="inlineStr">
        <is>
          <t>Amarillo</t>
        </is>
      </c>
      <c r="C478" s="3" t="n">
        <v>46027</v>
      </c>
      <c r="D478" s="2" t="inlineStr">
        <is>
          <t>B08969605</t>
        </is>
      </c>
      <c r="E478" s="2" t="inlineStr">
        <is>
          <t>Aleaciones…</t>
        </is>
      </c>
      <c r="F478" s="2" t="n">
        <v>2938223</v>
      </c>
      <c r="G478" s="4" t="n">
        <v>107.21</v>
      </c>
      <c r="H478" s="3" t="n">
        <v>46000</v>
      </c>
      <c r="I478" s="3" t="n">
        <v>46121</v>
      </c>
      <c r="J478" s="2" t="n">
        <v>35</v>
      </c>
      <c r="K478" s="2" t="n">
        <v>15.56</v>
      </c>
      <c r="L478" s="2" t="n">
        <v>2.85</v>
      </c>
      <c r="M478" s="4" t="n">
        <v>3.06</v>
      </c>
      <c r="N478" s="4" t="n">
        <v>1.62</v>
      </c>
      <c r="O478" s="2" t="n">
        <v>70</v>
      </c>
      <c r="P478" s="4" t="n">
        <v>2.1</v>
      </c>
      <c r="Q478" s="4" t="n">
        <v>0.92</v>
      </c>
      <c r="R478" s="4">
        <f>G478*(L478/100)*(O478/100)</f>
        <v/>
      </c>
      <c r="S478" s="4">
        <f>G478*(K478/360/100)*J478*(O478/100)</f>
        <v/>
      </c>
      <c r="T478" s="4">
        <f>P478-R478+Q478-S478</f>
        <v/>
      </c>
    </row>
    <row r="479">
      <c r="A479" s="2" t="inlineStr">
        <is>
          <t>Oro</t>
        </is>
      </c>
      <c r="B479" s="2" t="inlineStr">
        <is>
          <t>Amarillo</t>
        </is>
      </c>
      <c r="C479" s="3" t="n">
        <v>46027</v>
      </c>
      <c r="D479" s="2" t="inlineStr">
        <is>
          <t>A77907628</t>
        </is>
      </c>
      <c r="E479" s="2" t="inlineStr">
        <is>
          <t>Cargas Anti…</t>
        </is>
      </c>
      <c r="F479" s="2" t="n">
        <v>1832856</v>
      </c>
      <c r="G479" s="4" t="n">
        <v>598.8099999999999</v>
      </c>
      <c r="H479" s="3" t="n">
        <v>46018</v>
      </c>
      <c r="I479" s="3" t="n">
        <v>46155</v>
      </c>
      <c r="J479" s="2" t="n">
        <v>36</v>
      </c>
      <c r="K479" s="2" t="n">
        <v>42.74</v>
      </c>
      <c r="L479" s="2" t="n">
        <v>0.57</v>
      </c>
      <c r="M479" s="4" t="n">
        <v>3.41</v>
      </c>
      <c r="N479" s="4" t="n">
        <v>25.59</v>
      </c>
      <c r="O479" s="2" t="n">
        <v>20</v>
      </c>
      <c r="P479" s="4" t="n">
        <v>0.5</v>
      </c>
      <c r="Q479" s="4" t="n">
        <v>5.42</v>
      </c>
      <c r="R479" s="4">
        <f>G479*(L479/100)*(O479/100)</f>
        <v/>
      </c>
      <c r="S479" s="4">
        <f>G479*(K479/360/100)*J479*(O479/100)</f>
        <v/>
      </c>
      <c r="T479" s="4">
        <f>P479-R479+Q479-S479</f>
        <v/>
      </c>
    </row>
    <row r="480">
      <c r="A480" s="2" t="inlineStr">
        <is>
          <t>Oro</t>
        </is>
      </c>
      <c r="B480" s="2" t="inlineStr">
        <is>
          <t>Amarillo</t>
        </is>
      </c>
      <c r="C480" s="3" t="n">
        <v>46027</v>
      </c>
      <c r="D480" s="2" t="inlineStr">
        <is>
          <t>A20181491</t>
        </is>
      </c>
      <c r="E480" s="2" t="inlineStr">
        <is>
          <t>Fitosanitari…</t>
        </is>
      </c>
      <c r="F480" s="2" t="n">
        <v>4796626</v>
      </c>
      <c r="G480" s="4" t="n">
        <v>570.55</v>
      </c>
      <c r="H480" s="3" t="n">
        <v>46007</v>
      </c>
      <c r="I480" s="3" t="n">
        <v>46178</v>
      </c>
      <c r="J480" s="2" t="n">
        <v>31</v>
      </c>
      <c r="K480" s="2" t="n">
        <v>41.57</v>
      </c>
      <c r="L480" s="2" t="n">
        <v>0.93</v>
      </c>
      <c r="M480" s="4" t="n">
        <v>5.31</v>
      </c>
      <c r="N480" s="4" t="n">
        <v>20.42</v>
      </c>
      <c r="O480" s="2" t="n">
        <v>70</v>
      </c>
      <c r="P480" s="4" t="n">
        <v>3.97</v>
      </c>
      <c r="Q480" s="4" t="n">
        <v>14.18</v>
      </c>
      <c r="R480" s="4">
        <f>G480*(L480/100)*(O480/100)</f>
        <v/>
      </c>
      <c r="S480" s="4">
        <f>G480*(K480/360/100)*J480*(O480/100)</f>
        <v/>
      </c>
      <c r="T480" s="4">
        <f>P480-R480+Q480-S480</f>
        <v/>
      </c>
    </row>
    <row r="481">
      <c r="A481" s="2" t="inlineStr">
        <is>
          <t>Oro</t>
        </is>
      </c>
      <c r="B481" s="2" t="inlineStr">
        <is>
          <t>Amarillo</t>
        </is>
      </c>
      <c r="C481" s="3" t="n">
        <v>46027</v>
      </c>
      <c r="D481" s="2" t="inlineStr">
        <is>
          <t>A75970663</t>
        </is>
      </c>
      <c r="E481" s="2" t="inlineStr">
        <is>
          <t>Pavimentos…</t>
        </is>
      </c>
      <c r="F481" s="2" t="n">
        <v>2461653</v>
      </c>
      <c r="G481" s="4" t="n">
        <v>314.13</v>
      </c>
      <c r="H481" s="3" t="n">
        <v>45996</v>
      </c>
      <c r="I481" s="3" t="n">
        <v>46118</v>
      </c>
      <c r="J481" s="2" t="n">
        <v>54</v>
      </c>
      <c r="K481" s="2" t="n">
        <v>26.07</v>
      </c>
      <c r="L481" s="2" t="n">
        <v>2.38</v>
      </c>
      <c r="M481" s="4" t="n">
        <v>7.48</v>
      </c>
      <c r="N481" s="4" t="n">
        <v>12.28</v>
      </c>
      <c r="O481" s="2" t="n">
        <v>60</v>
      </c>
      <c r="P481" s="4" t="n">
        <v>4.68</v>
      </c>
      <c r="Q481" s="4" t="n">
        <v>7.66</v>
      </c>
      <c r="R481" s="4">
        <f>G481*(L481/100)*(O481/100)</f>
        <v/>
      </c>
      <c r="S481" s="4">
        <f>G481*(K481/360/100)*J481*(O481/100)</f>
        <v/>
      </c>
      <c r="T481" s="4">
        <f>P481-R481+Q481-S481</f>
        <v/>
      </c>
    </row>
    <row r="482">
      <c r="A482" s="5" t="inlineStr">
        <is>
          <t>Total</t>
        </is>
      </c>
      <c r="G482" s="6">
        <f>SUBTOTAL(109,G2:G481)</f>
        <v/>
      </c>
      <c r="M482" s="6">
        <f>SUBTOTAL(109,M2:M481)</f>
        <v/>
      </c>
      <c r="N482" s="6">
        <f>SUBTOTAL(109,N2:N481)</f>
        <v/>
      </c>
      <c r="P482" s="6">
        <f>SUBTOTAL(109,P2:P481)</f>
        <v/>
      </c>
      <c r="Q482" s="6">
        <f>SUBTOTAL(109,Q2:Q481)</f>
        <v/>
      </c>
      <c r="R482" s="6">
        <f>SUBTOTAL(109,R2:R481)</f>
        <v/>
      </c>
      <c r="S482" s="6">
        <f>SUBTOTAL(109,S2:S481)</f>
        <v/>
      </c>
      <c r="T482" s="6">
        <f>SUBTOTAL(109,T2:T481)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482"/>
  <sheetViews>
    <sheetView workbookViewId="0">
      <selection activeCell="A1" sqref="A1"/>
    </sheetView>
  </sheetViews>
  <sheetFormatPr baseColWidth="8" defaultRowHeight="15"/>
  <cols>
    <col width="10" customWidth="1" min="1" max="1"/>
    <col width="9" customWidth="1" min="2" max="2"/>
    <col width="9" customWidth="1" min="3" max="3"/>
    <col width="12" customWidth="1" min="4" max="4"/>
    <col width="6" customWidth="1" min="5" max="5"/>
    <col width="8" customWidth="1" min="6" max="6"/>
    <col width="9" customWidth="1" min="7" max="7"/>
    <col width="9" customWidth="1" min="8" max="8"/>
    <col width="8" customWidth="1" min="9" max="9"/>
    <col width="8" customWidth="1" min="10" max="10"/>
    <col width="9" customWidth="1" min="11" max="11"/>
    <col width="8" customWidth="1" min="12" max="12"/>
    <col width="11" customWidth="1" min="13" max="13"/>
    <col width="11" customWidth="1" min="14" max="14"/>
    <col width="11" customWidth="1" min="15" max="15"/>
  </cols>
  <sheetData>
    <row r="1" ht="26" customHeight="1">
      <c r="A1" s="1" t="inlineStr">
        <is>
          <t>CIF</t>
        </is>
      </c>
      <c r="B1" s="1" t="inlineStr">
        <is>
          <t>Importe</t>
        </is>
      </c>
      <c r="C1" s="1" t="inlineStr">
        <is>
          <t>F. Anticipo</t>
        </is>
      </c>
      <c r="D1" s="1" t="inlineStr">
        <is>
          <t>F. Vencimiento</t>
        </is>
      </c>
      <c r="E1" s="1" t="inlineStr">
        <is>
          <t>Días</t>
        </is>
      </c>
      <c r="F1" s="1" t="inlineStr">
        <is>
          <t>% Interés</t>
        </is>
      </c>
      <c r="G1" s="1" t="inlineStr">
        <is>
          <t>% Comisión</t>
        </is>
      </c>
      <c r="H1" s="1" t="inlineStr">
        <is>
          <t>Total Comisión</t>
        </is>
      </c>
      <c r="I1" s="1" t="inlineStr">
        <is>
          <t>Total Interés</t>
        </is>
      </c>
      <c r="J1" s="1" t="inlineStr">
        <is>
          <t>% Reparto</t>
        </is>
      </c>
      <c r="K1" s="1" t="inlineStr">
        <is>
          <t>Comisión Prisma</t>
        </is>
      </c>
      <c r="L1" s="1" t="inlineStr">
        <is>
          <t>Interés Prisma</t>
        </is>
      </c>
      <c r="M1" s="1" t="inlineStr">
        <is>
          <t>Calculo
com Prisma</t>
        </is>
      </c>
      <c r="N1" s="1" t="inlineStr">
        <is>
          <t>Calculo
int prisma</t>
        </is>
      </c>
      <c r="O1" s="1" t="inlineStr">
        <is>
          <t>Total
diferencia</t>
        </is>
      </c>
    </row>
    <row r="2">
      <c r="A2" s="2" t="inlineStr">
        <is>
          <t>B11174044</t>
        </is>
      </c>
      <c r="B2" s="4" t="n">
        <v>479.17</v>
      </c>
      <c r="C2" s="3" t="n">
        <v>46007</v>
      </c>
      <c r="D2" s="3" t="n">
        <v>46066</v>
      </c>
      <c r="E2" s="2" t="n">
        <v>63</v>
      </c>
      <c r="F2" s="2" t="n">
        <v>25.9</v>
      </c>
      <c r="G2" s="2" t="n">
        <v>1.62</v>
      </c>
      <c r="H2" s="4" t="n">
        <v>7.76</v>
      </c>
      <c r="I2" s="4" t="n">
        <v>21.72</v>
      </c>
      <c r="J2" s="2" t="n">
        <v>40</v>
      </c>
      <c r="K2" s="4" t="n">
        <v>3.09</v>
      </c>
      <c r="L2" s="4" t="n">
        <v>8.390000000000001</v>
      </c>
      <c r="M2" s="4">
        <f>B2*(G2/100)*(J2/100)</f>
        <v/>
      </c>
      <c r="N2" s="4">
        <f>B2*(F2/360/100)*E2*(J2/100)</f>
        <v/>
      </c>
      <c r="O2" s="4">
        <f>K2-M2+L2-N2</f>
        <v/>
      </c>
    </row>
    <row r="3">
      <c r="A3" s="2" t="inlineStr">
        <is>
          <t>B97292368</t>
        </is>
      </c>
      <c r="B3" s="4" t="n">
        <v>737.38</v>
      </c>
      <c r="C3" s="3" t="n">
        <v>46000</v>
      </c>
      <c r="D3" s="3" t="n">
        <v>46180</v>
      </c>
      <c r="E3" s="2" t="n">
        <v>22</v>
      </c>
      <c r="F3" s="2" t="n">
        <v>13.36</v>
      </c>
      <c r="G3" s="2" t="n">
        <v>1.72</v>
      </c>
      <c r="H3" s="4" t="n">
        <v>12.68</v>
      </c>
      <c r="I3" s="4" t="n">
        <v>6.02</v>
      </c>
      <c r="J3" s="2" t="n">
        <v>50</v>
      </c>
      <c r="K3" s="4" t="n">
        <v>6.55</v>
      </c>
      <c r="L3" s="4" t="n">
        <v>2.81</v>
      </c>
      <c r="M3" s="4">
        <f>B3*(G3/100)*(J3/100)</f>
        <v/>
      </c>
      <c r="N3" s="4">
        <f>B3*(F3/360/100)*E3*(J3/100)</f>
        <v/>
      </c>
      <c r="O3" s="4">
        <f>K3-M3+L3-N3</f>
        <v/>
      </c>
    </row>
    <row r="4">
      <c r="A4" s="2" t="inlineStr">
        <is>
          <t>B35087532</t>
        </is>
      </c>
      <c r="B4" s="4" t="n">
        <v>911.02</v>
      </c>
      <c r="C4" s="3" t="n">
        <v>45999</v>
      </c>
      <c r="D4" s="3" t="n">
        <v>46079</v>
      </c>
      <c r="E4" s="2" t="n">
        <v>51</v>
      </c>
      <c r="F4" s="2" t="n">
        <v>14</v>
      </c>
      <c r="G4" s="2" t="n">
        <v>2.75</v>
      </c>
      <c r="H4" s="4" t="n">
        <v>25.05</v>
      </c>
      <c r="I4" s="4" t="n">
        <v>18.07</v>
      </c>
      <c r="J4" s="2" t="n">
        <v>70</v>
      </c>
      <c r="K4" s="4" t="n">
        <v>17.62</v>
      </c>
      <c r="L4" s="4" t="n">
        <v>12.73</v>
      </c>
      <c r="M4" s="4">
        <f>B4*(G4/100)*(J4/100)</f>
        <v/>
      </c>
      <c r="N4" s="4">
        <f>B4*(F4/360/100)*E4*(J4/100)</f>
        <v/>
      </c>
      <c r="O4" s="4">
        <f>K4-M4+L4-N4</f>
        <v/>
      </c>
    </row>
    <row r="5">
      <c r="A5" s="2" t="inlineStr">
        <is>
          <t>B89397053</t>
        </is>
      </c>
      <c r="B5" s="4" t="n">
        <v>182.93</v>
      </c>
      <c r="C5" s="3" t="n">
        <v>46014</v>
      </c>
      <c r="D5" s="3" t="n">
        <v>46144</v>
      </c>
      <c r="E5" s="2" t="n">
        <v>72</v>
      </c>
      <c r="F5" s="2" t="n">
        <v>19.81</v>
      </c>
      <c r="G5" s="2" t="n">
        <v>1.88</v>
      </c>
      <c r="H5" s="4" t="n">
        <v>3.44</v>
      </c>
      <c r="I5" s="4" t="n">
        <v>7.25</v>
      </c>
      <c r="J5" s="2" t="n">
        <v>30</v>
      </c>
      <c r="K5" s="4" t="n">
        <v>1.29</v>
      </c>
      <c r="L5" s="4" t="n">
        <v>2.02</v>
      </c>
      <c r="M5" s="4">
        <f>B5*(G5/100)*(J5/100)</f>
        <v/>
      </c>
      <c r="N5" s="4">
        <f>B5*(F5/360/100)*E5*(J5/100)</f>
        <v/>
      </c>
      <c r="O5" s="4">
        <f>K5-M5+L5-N5</f>
        <v/>
      </c>
    </row>
    <row r="6">
      <c r="A6" s="2" t="inlineStr">
        <is>
          <t>B66887650</t>
        </is>
      </c>
      <c r="B6" s="4" t="n">
        <v>7107.31</v>
      </c>
      <c r="C6" s="3" t="n">
        <v>46008</v>
      </c>
      <c r="D6" s="3" t="n">
        <v>46079</v>
      </c>
      <c r="E6" s="2" t="n">
        <v>50</v>
      </c>
      <c r="F6" s="2" t="n">
        <v>17.65</v>
      </c>
      <c r="G6" s="2" t="n">
        <v>0.98</v>
      </c>
      <c r="H6" s="4" t="n">
        <v>69.65000000000001</v>
      </c>
      <c r="I6" s="4" t="n">
        <v>174.23</v>
      </c>
      <c r="J6" s="2" t="n">
        <v>40</v>
      </c>
      <c r="K6" s="4" t="n">
        <v>28.05</v>
      </c>
      <c r="L6" s="4" t="n">
        <v>69.84999999999999</v>
      </c>
      <c r="M6" s="4">
        <f>B6*(G6/100)*(J6/100)</f>
        <v/>
      </c>
      <c r="N6" s="4">
        <f>B6*(F6/360/100)*E6*(J6/100)</f>
        <v/>
      </c>
      <c r="O6" s="4">
        <f>K6-M6+L6-N6</f>
        <v/>
      </c>
    </row>
    <row r="7">
      <c r="A7" s="2" t="inlineStr">
        <is>
          <t>B72294548</t>
        </is>
      </c>
      <c r="B7" s="4" t="n">
        <v>190.8</v>
      </c>
      <c r="C7" s="3" t="n">
        <v>45997</v>
      </c>
      <c r="D7" s="3" t="n">
        <v>46146</v>
      </c>
      <c r="E7" s="2" t="n">
        <v>66</v>
      </c>
      <c r="F7" s="2" t="n">
        <v>29.08</v>
      </c>
      <c r="G7" s="2" t="n">
        <v>1.35</v>
      </c>
      <c r="H7" s="4" t="n">
        <v>2.58</v>
      </c>
      <c r="I7" s="4" t="n">
        <v>10.17</v>
      </c>
      <c r="J7" s="2" t="n">
        <v>60</v>
      </c>
      <c r="K7" s="4" t="n">
        <v>1.79</v>
      </c>
      <c r="L7" s="4" t="n">
        <v>5.97</v>
      </c>
      <c r="M7" s="4">
        <f>B7*(G7/100)*(J7/100)</f>
        <v/>
      </c>
      <c r="N7" s="4">
        <f>B7*(F7/360/100)*E7*(J7/100)</f>
        <v/>
      </c>
      <c r="O7" s="4">
        <f>K7-M7+L7-N7</f>
        <v/>
      </c>
    </row>
    <row r="8">
      <c r="A8" s="2" t="inlineStr">
        <is>
          <t>A38674534</t>
        </is>
      </c>
      <c r="B8" s="4" t="n">
        <v>6500.61</v>
      </c>
      <c r="C8" s="3" t="n">
        <v>46012</v>
      </c>
      <c r="D8" s="3" t="n">
        <v>46035</v>
      </c>
      <c r="E8" s="2" t="n">
        <v>87</v>
      </c>
      <c r="F8" s="2" t="n">
        <v>40.41</v>
      </c>
      <c r="G8" s="2" t="n">
        <v>2.7</v>
      </c>
      <c r="H8" s="4" t="n">
        <v>175.52</v>
      </c>
      <c r="I8" s="4" t="n">
        <v>634.83</v>
      </c>
      <c r="J8" s="2" t="n">
        <v>40</v>
      </c>
      <c r="K8" s="4" t="n">
        <v>70.28</v>
      </c>
      <c r="L8" s="4" t="n">
        <v>254.17</v>
      </c>
      <c r="M8" s="4">
        <f>B8*(G8/100)*(J8/100)</f>
        <v/>
      </c>
      <c r="N8" s="4">
        <f>B8*(F8/360/100)*E8*(J8/100)</f>
        <v/>
      </c>
      <c r="O8" s="4">
        <f>K8-M8+L8-N8</f>
        <v/>
      </c>
    </row>
    <row r="9">
      <c r="A9" s="2" t="inlineStr">
        <is>
          <t>B53896459</t>
        </is>
      </c>
      <c r="B9" s="4" t="n">
        <v>876.35</v>
      </c>
      <c r="C9" s="3" t="n">
        <v>46012</v>
      </c>
      <c r="D9" s="3" t="n">
        <v>46056</v>
      </c>
      <c r="E9" s="2" t="n">
        <v>52</v>
      </c>
      <c r="F9" s="2" t="n">
        <v>37.47</v>
      </c>
      <c r="G9" s="2" t="n">
        <v>2.48</v>
      </c>
      <c r="H9" s="4" t="n">
        <v>21.73</v>
      </c>
      <c r="I9" s="4" t="n">
        <v>47.43</v>
      </c>
      <c r="J9" s="2" t="n">
        <v>30</v>
      </c>
      <c r="K9" s="4" t="n">
        <v>6.77</v>
      </c>
      <c r="L9" s="4" t="n">
        <v>14.34</v>
      </c>
      <c r="M9" s="4">
        <f>B9*(G9/100)*(J9/100)</f>
        <v/>
      </c>
      <c r="N9" s="4">
        <f>B9*(F9/360/100)*E9*(J9/100)</f>
        <v/>
      </c>
      <c r="O9" s="4">
        <f>K9-M9+L9-N9</f>
        <v/>
      </c>
    </row>
    <row r="10">
      <c r="A10" s="2" t="inlineStr">
        <is>
          <t>B71207632</t>
        </is>
      </c>
      <c r="B10" s="4" t="n">
        <v>8962.98</v>
      </c>
      <c r="C10" s="3" t="n">
        <v>46017</v>
      </c>
      <c r="D10" s="3" t="n">
        <v>46196</v>
      </c>
      <c r="E10" s="2" t="n">
        <v>54</v>
      </c>
      <c r="F10" s="2" t="n">
        <v>38.09</v>
      </c>
      <c r="G10" s="2" t="n">
        <v>1.99</v>
      </c>
      <c r="H10" s="4" t="n">
        <v>178.36</v>
      </c>
      <c r="I10" s="4" t="n">
        <v>512.1</v>
      </c>
      <c r="J10" s="2" t="n">
        <v>70</v>
      </c>
      <c r="K10" s="4" t="n">
        <v>124.62</v>
      </c>
      <c r="L10" s="4" t="n">
        <v>358.46</v>
      </c>
      <c r="M10" s="4">
        <f>B10*(G10/100)*(J10/100)</f>
        <v/>
      </c>
      <c r="N10" s="4">
        <f>B10*(F10/360/100)*E10*(J10/100)</f>
        <v/>
      </c>
      <c r="O10" s="4">
        <f>K10-M10+L10-N10</f>
        <v/>
      </c>
    </row>
    <row r="11">
      <c r="A11" s="2" t="inlineStr">
        <is>
          <t>B86895555</t>
        </is>
      </c>
      <c r="B11" s="4" t="n">
        <v>7780.55</v>
      </c>
      <c r="C11" s="3" t="n">
        <v>46014</v>
      </c>
      <c r="D11" s="3" t="n">
        <v>46109</v>
      </c>
      <c r="E11" s="2" t="n">
        <v>79</v>
      </c>
      <c r="F11" s="2" t="n">
        <v>38.01</v>
      </c>
      <c r="G11" s="2" t="n">
        <v>1.03</v>
      </c>
      <c r="H11" s="4" t="n">
        <v>80.14</v>
      </c>
      <c r="I11" s="4" t="n">
        <v>648.98</v>
      </c>
      <c r="J11" s="2" t="n">
        <v>60</v>
      </c>
      <c r="K11" s="4" t="n">
        <v>47.84</v>
      </c>
      <c r="L11" s="4" t="n">
        <v>389.54</v>
      </c>
      <c r="M11" s="4">
        <f>B11*(G11/100)*(J11/100)</f>
        <v/>
      </c>
      <c r="N11" s="4">
        <f>B11*(F11/360/100)*E11*(J11/100)</f>
        <v/>
      </c>
      <c r="O11" s="4">
        <f>K11-M11+L11-N11</f>
        <v/>
      </c>
    </row>
    <row r="12">
      <c r="A12" s="2" t="inlineStr">
        <is>
          <t>B60487844</t>
        </is>
      </c>
      <c r="B12" s="4" t="n">
        <v>836.4299999999999</v>
      </c>
      <c r="C12" s="3" t="n">
        <v>46001</v>
      </c>
      <c r="D12" s="3" t="n">
        <v>46024</v>
      </c>
      <c r="E12" s="2" t="n">
        <v>77</v>
      </c>
      <c r="F12" s="2" t="n">
        <v>17.94</v>
      </c>
      <c r="G12" s="2" t="n">
        <v>2.67</v>
      </c>
      <c r="H12" s="4" t="n">
        <v>22.33</v>
      </c>
      <c r="I12" s="4" t="n">
        <v>32.1</v>
      </c>
      <c r="J12" s="2" t="n">
        <v>30</v>
      </c>
      <c r="K12" s="4" t="n">
        <v>6.96</v>
      </c>
      <c r="L12" s="4" t="n">
        <v>9.84</v>
      </c>
      <c r="M12" s="4">
        <f>B12*(G12/100)*(J12/100)</f>
        <v/>
      </c>
      <c r="N12" s="4">
        <f>B12*(F12/360/100)*E12*(J12/100)</f>
        <v/>
      </c>
      <c r="O12" s="4">
        <f>K12-M12+L12-N12</f>
        <v/>
      </c>
    </row>
    <row r="13">
      <c r="A13" s="2" t="inlineStr">
        <is>
          <t>B73902506</t>
        </is>
      </c>
      <c r="B13" s="4" t="n">
        <v>319.31</v>
      </c>
      <c r="C13" s="3" t="n">
        <v>46011</v>
      </c>
      <c r="D13" s="3" t="n">
        <v>46176</v>
      </c>
      <c r="E13" s="2" t="n">
        <v>37</v>
      </c>
      <c r="F13" s="2" t="n">
        <v>40.92</v>
      </c>
      <c r="G13" s="2" t="n">
        <v>2.52</v>
      </c>
      <c r="H13" s="4" t="n">
        <v>8.050000000000001</v>
      </c>
      <c r="I13" s="4" t="n">
        <v>13.43</v>
      </c>
      <c r="J13" s="2" t="n">
        <v>70</v>
      </c>
      <c r="K13" s="4" t="n">
        <v>5.53</v>
      </c>
      <c r="L13" s="4" t="n">
        <v>9.18</v>
      </c>
      <c r="M13" s="4">
        <f>B13*(G13/100)*(J13/100)</f>
        <v/>
      </c>
      <c r="N13" s="4">
        <f>B13*(F13/360/100)*E13*(J13/100)</f>
        <v/>
      </c>
      <c r="O13" s="4">
        <f>K13-M13+L13-N13</f>
        <v/>
      </c>
    </row>
    <row r="14">
      <c r="A14" s="2" t="inlineStr">
        <is>
          <t>A88441953</t>
        </is>
      </c>
      <c r="B14" s="4" t="n">
        <v>691.7</v>
      </c>
      <c r="C14" s="3" t="n">
        <v>46019</v>
      </c>
      <c r="D14" s="3" t="n">
        <v>46054</v>
      </c>
      <c r="E14" s="2" t="n">
        <v>22</v>
      </c>
      <c r="F14" s="2" t="n">
        <v>49.36</v>
      </c>
      <c r="G14" s="2" t="n">
        <v>1.09</v>
      </c>
      <c r="H14" s="4" t="n">
        <v>7.54</v>
      </c>
      <c r="I14" s="4" t="n">
        <v>20.86</v>
      </c>
      <c r="J14" s="2" t="n">
        <v>50</v>
      </c>
      <c r="K14" s="4" t="n">
        <v>3.99</v>
      </c>
      <c r="L14" s="4" t="n">
        <v>10.6</v>
      </c>
      <c r="M14" s="4">
        <f>B14*(G14/100)*(J14/100)</f>
        <v/>
      </c>
      <c r="N14" s="4">
        <f>B14*(F14/360/100)*E14*(J14/100)</f>
        <v/>
      </c>
      <c r="O14" s="4">
        <f>K14-M14+L14-N14</f>
        <v/>
      </c>
    </row>
    <row r="15">
      <c r="A15" s="2" t="inlineStr">
        <is>
          <t>B25207343</t>
        </is>
      </c>
      <c r="B15" s="4" t="n">
        <v>226.59</v>
      </c>
      <c r="C15" s="3" t="n">
        <v>46006</v>
      </c>
      <c r="D15" s="3" t="n">
        <v>46144</v>
      </c>
      <c r="E15" s="2" t="n">
        <v>21</v>
      </c>
      <c r="F15" s="2" t="n">
        <v>36.86</v>
      </c>
      <c r="G15" s="2" t="n">
        <v>1.56</v>
      </c>
      <c r="H15" s="4" t="n">
        <v>3.53</v>
      </c>
      <c r="I15" s="4" t="n">
        <v>4.87</v>
      </c>
      <c r="J15" s="2" t="n">
        <v>30</v>
      </c>
      <c r="K15" s="4" t="n">
        <v>0.98</v>
      </c>
      <c r="L15" s="4" t="n">
        <v>1.62</v>
      </c>
      <c r="M15" s="4">
        <f>B15*(G15/100)*(J15/100)</f>
        <v/>
      </c>
      <c r="N15" s="4">
        <f>B15*(F15/360/100)*E15*(J15/100)</f>
        <v/>
      </c>
      <c r="O15" s="4">
        <f>K15-M15+L15-N15</f>
        <v/>
      </c>
    </row>
    <row r="16">
      <c r="A16" s="2" t="inlineStr">
        <is>
          <t>B10393105</t>
        </is>
      </c>
      <c r="B16" s="4" t="n">
        <v>9726.66</v>
      </c>
      <c r="C16" s="3" t="n">
        <v>46012</v>
      </c>
      <c r="D16" s="3" t="n">
        <v>46060</v>
      </c>
      <c r="E16" s="2" t="n">
        <v>46</v>
      </c>
      <c r="F16" s="2" t="n">
        <v>25.44</v>
      </c>
      <c r="G16" s="2" t="n">
        <v>1.5</v>
      </c>
      <c r="H16" s="4" t="n">
        <v>145.9</v>
      </c>
      <c r="I16" s="4" t="n">
        <v>316.18</v>
      </c>
      <c r="J16" s="2" t="n">
        <v>50</v>
      </c>
      <c r="K16" s="4" t="n">
        <v>72.77</v>
      </c>
      <c r="L16" s="4" t="n">
        <v>158.07</v>
      </c>
      <c r="M16" s="4">
        <f>B16*(G16/100)*(J16/100)</f>
        <v/>
      </c>
      <c r="N16" s="4">
        <f>B16*(F16/360/100)*E16*(J16/100)</f>
        <v/>
      </c>
      <c r="O16" s="4">
        <f>K16-M16+L16-N16</f>
        <v/>
      </c>
    </row>
    <row r="17">
      <c r="A17" s="2" t="inlineStr">
        <is>
          <t>B57580049</t>
        </is>
      </c>
      <c r="B17" s="4" t="n">
        <v>5770.24</v>
      </c>
      <c r="C17" s="3" t="n">
        <v>46000</v>
      </c>
      <c r="D17" s="3" t="n">
        <v>46065</v>
      </c>
      <c r="E17" s="2" t="n">
        <v>37</v>
      </c>
      <c r="F17" s="2" t="n">
        <v>32</v>
      </c>
      <c r="G17" s="2" t="n">
        <v>2.14</v>
      </c>
      <c r="H17" s="4" t="n">
        <v>123.48</v>
      </c>
      <c r="I17" s="4" t="n">
        <v>189.78</v>
      </c>
      <c r="J17" s="2" t="n">
        <v>50</v>
      </c>
      <c r="K17" s="4" t="n">
        <v>61.82</v>
      </c>
      <c r="L17" s="4" t="n">
        <v>95.01000000000001</v>
      </c>
      <c r="M17" s="4">
        <f>B17*(G17/100)*(J17/100)</f>
        <v/>
      </c>
      <c r="N17" s="4">
        <f>B17*(F17/360/100)*E17*(J17/100)</f>
        <v/>
      </c>
      <c r="O17" s="4">
        <f>K17-M17+L17-N17</f>
        <v/>
      </c>
    </row>
    <row r="18">
      <c r="A18" s="2" t="inlineStr">
        <is>
          <t>A10220438</t>
        </is>
      </c>
      <c r="B18" s="4" t="n">
        <v>799.65</v>
      </c>
      <c r="C18" s="3" t="n">
        <v>46001</v>
      </c>
      <c r="D18" s="3" t="n">
        <v>46104</v>
      </c>
      <c r="E18" s="2" t="n">
        <v>18</v>
      </c>
      <c r="F18" s="2" t="n">
        <v>10.3</v>
      </c>
      <c r="G18" s="2" t="n">
        <v>1.61</v>
      </c>
      <c r="H18" s="4" t="n">
        <v>12.87</v>
      </c>
      <c r="I18" s="4" t="n">
        <v>4.12</v>
      </c>
      <c r="J18" s="2" t="n">
        <v>70</v>
      </c>
      <c r="K18" s="4" t="n">
        <v>8.73</v>
      </c>
      <c r="L18" s="4" t="n">
        <v>3.12</v>
      </c>
      <c r="M18" s="4">
        <f>B18*(G18/100)*(J18/100)</f>
        <v/>
      </c>
      <c r="N18" s="4">
        <f>B18*(F18/360/100)*E18*(J18/100)</f>
        <v/>
      </c>
      <c r="O18" s="4">
        <f>K18-M18+L18-N18</f>
        <v/>
      </c>
    </row>
    <row r="19">
      <c r="A19" s="2" t="inlineStr">
        <is>
          <t>B80162714</t>
        </is>
      </c>
      <c r="B19" s="4" t="n">
        <v>6017.42</v>
      </c>
      <c r="C19" s="3" t="n">
        <v>46000</v>
      </c>
      <c r="D19" s="3" t="n">
        <v>46193</v>
      </c>
      <c r="E19" s="2" t="n">
        <v>54</v>
      </c>
      <c r="F19" s="2" t="n">
        <v>13.83</v>
      </c>
      <c r="G19" s="2" t="n">
        <v>0.67</v>
      </c>
      <c r="H19" s="4" t="n">
        <v>40.32</v>
      </c>
      <c r="I19" s="4" t="n">
        <v>124.83</v>
      </c>
      <c r="J19" s="2" t="n">
        <v>70</v>
      </c>
      <c r="K19" s="4" t="n">
        <v>28.26</v>
      </c>
      <c r="L19" s="4" t="n">
        <v>87.20999999999999</v>
      </c>
      <c r="M19" s="4">
        <f>B19*(G19/100)*(J19/100)</f>
        <v/>
      </c>
      <c r="N19" s="4">
        <f>B19*(F19/360/100)*E19*(J19/100)</f>
        <v/>
      </c>
      <c r="O19" s="4">
        <f>K19-M19+L19-N19</f>
        <v/>
      </c>
    </row>
    <row r="20">
      <c r="A20" s="2" t="inlineStr">
        <is>
          <t>B06548308</t>
        </is>
      </c>
      <c r="B20" s="4" t="n">
        <v>458.96</v>
      </c>
      <c r="C20" s="3" t="n">
        <v>45995</v>
      </c>
      <c r="D20" s="3" t="n">
        <v>46102</v>
      </c>
      <c r="E20" s="2" t="n">
        <v>87</v>
      </c>
      <c r="F20" s="2" t="n">
        <v>40.51</v>
      </c>
      <c r="G20" s="2" t="n">
        <v>2.06</v>
      </c>
      <c r="H20" s="4" t="n">
        <v>9.449999999999999</v>
      </c>
      <c r="I20" s="4" t="n">
        <v>44.93</v>
      </c>
      <c r="J20" s="2" t="n">
        <v>20</v>
      </c>
      <c r="K20" s="4" t="n">
        <v>1.67</v>
      </c>
      <c r="L20" s="4" t="n">
        <v>8.960000000000001</v>
      </c>
      <c r="M20" s="4">
        <f>B20*(G20/100)*(J20/100)</f>
        <v/>
      </c>
      <c r="N20" s="4">
        <f>B20*(F20/360/100)*E20*(J20/100)</f>
        <v/>
      </c>
      <c r="O20" s="4">
        <f>K20-M20+L20-N20</f>
        <v/>
      </c>
    </row>
    <row r="21">
      <c r="A21" s="2" t="inlineStr">
        <is>
          <t>A12635750</t>
        </is>
      </c>
      <c r="B21" s="4" t="n">
        <v>865.74</v>
      </c>
      <c r="C21" s="3" t="n">
        <v>45995</v>
      </c>
      <c r="D21" s="3" t="n">
        <v>46080</v>
      </c>
      <c r="E21" s="2" t="n">
        <v>28</v>
      </c>
      <c r="F21" s="2" t="n">
        <v>34.17</v>
      </c>
      <c r="G21" s="2" t="n">
        <v>2.99</v>
      </c>
      <c r="H21" s="4" t="n">
        <v>25.89</v>
      </c>
      <c r="I21" s="4" t="n">
        <v>23.01</v>
      </c>
      <c r="J21" s="2" t="n">
        <v>40</v>
      </c>
      <c r="K21" s="4" t="n">
        <v>10.6</v>
      </c>
      <c r="L21" s="4" t="n">
        <v>9.4</v>
      </c>
      <c r="M21" s="4">
        <f>B21*(G21/100)*(J21/100)</f>
        <v/>
      </c>
      <c r="N21" s="4">
        <f>B21*(F21/360/100)*E21*(J21/100)</f>
        <v/>
      </c>
      <c r="O21" s="4">
        <f>K21-M21+L21-N21</f>
        <v/>
      </c>
    </row>
    <row r="22">
      <c r="A22" s="2" t="inlineStr">
        <is>
          <t>B65907829</t>
        </is>
      </c>
      <c r="B22" s="4" t="n">
        <v>411.81</v>
      </c>
      <c r="C22" s="3" t="n">
        <v>45993</v>
      </c>
      <c r="D22" s="3" t="n">
        <v>46109</v>
      </c>
      <c r="E22" s="2" t="n">
        <v>33</v>
      </c>
      <c r="F22" s="2" t="n">
        <v>39.06</v>
      </c>
      <c r="G22" s="2" t="n">
        <v>1.93</v>
      </c>
      <c r="H22" s="4" t="n">
        <v>7.95</v>
      </c>
      <c r="I22" s="4" t="n">
        <v>14.74</v>
      </c>
      <c r="J22" s="2" t="n">
        <v>50</v>
      </c>
      <c r="K22" s="4" t="n">
        <v>3.74</v>
      </c>
      <c r="L22" s="4" t="n">
        <v>7.49</v>
      </c>
      <c r="M22" s="4">
        <f>B22*(G22/100)*(J22/100)</f>
        <v/>
      </c>
      <c r="N22" s="4">
        <f>B22*(F22/360/100)*E22*(J22/100)</f>
        <v/>
      </c>
      <c r="O22" s="4">
        <f>K22-M22+L22-N22</f>
        <v/>
      </c>
    </row>
    <row r="23">
      <c r="A23" s="2" t="inlineStr">
        <is>
          <t>B21017189</t>
        </is>
      </c>
      <c r="B23" s="4" t="n">
        <v>9871.790000000001</v>
      </c>
      <c r="C23" s="3" t="n">
        <v>46015</v>
      </c>
      <c r="D23" s="3" t="n">
        <v>46109</v>
      </c>
      <c r="E23" s="2" t="n">
        <v>57</v>
      </c>
      <c r="F23" s="2" t="n">
        <v>17.05</v>
      </c>
      <c r="G23" s="2" t="n">
        <v>1.87</v>
      </c>
      <c r="H23" s="4" t="n">
        <v>184.6</v>
      </c>
      <c r="I23" s="4" t="n">
        <v>266.5</v>
      </c>
      <c r="J23" s="2" t="n">
        <v>40</v>
      </c>
      <c r="K23" s="4" t="n">
        <v>74.09</v>
      </c>
      <c r="L23" s="4" t="n">
        <v>106.42</v>
      </c>
      <c r="M23" s="4">
        <f>B23*(G23/100)*(J23/100)</f>
        <v/>
      </c>
      <c r="N23" s="4">
        <f>B23*(F23/360/100)*E23*(J23/100)</f>
        <v/>
      </c>
      <c r="O23" s="4">
        <f>K23-M23+L23-N23</f>
        <v/>
      </c>
    </row>
    <row r="24">
      <c r="A24" s="2" t="inlineStr">
        <is>
          <t>B04054411</t>
        </is>
      </c>
      <c r="B24" s="4" t="n">
        <v>674.72</v>
      </c>
      <c r="C24" s="3" t="n">
        <v>45993</v>
      </c>
      <c r="D24" s="3" t="n">
        <v>46087</v>
      </c>
      <c r="E24" s="2" t="n">
        <v>11</v>
      </c>
      <c r="F24" s="2" t="n">
        <v>30</v>
      </c>
      <c r="G24" s="2" t="n">
        <v>1.01</v>
      </c>
      <c r="H24" s="4" t="n">
        <v>6.81</v>
      </c>
      <c r="I24" s="4" t="n">
        <v>6.18</v>
      </c>
      <c r="J24" s="2" t="n">
        <v>40</v>
      </c>
      <c r="K24" s="4" t="n">
        <v>2.56</v>
      </c>
      <c r="L24" s="4" t="n">
        <v>2.69</v>
      </c>
      <c r="M24" s="4">
        <f>B24*(G24/100)*(J24/100)</f>
        <v/>
      </c>
      <c r="N24" s="4">
        <f>B24*(F24/360/100)*E24*(J24/100)</f>
        <v/>
      </c>
      <c r="O24" s="4">
        <f>K24-M24+L24-N24</f>
        <v/>
      </c>
    </row>
    <row r="25">
      <c r="A25" s="2" t="inlineStr">
        <is>
          <t>A35184746</t>
        </is>
      </c>
      <c r="B25" s="4" t="n">
        <v>8216.559999999999</v>
      </c>
      <c r="C25" s="3" t="n">
        <v>46014</v>
      </c>
      <c r="D25" s="3" t="n">
        <v>46075</v>
      </c>
      <c r="E25" s="2" t="n">
        <v>78</v>
      </c>
      <c r="F25" s="2" t="n">
        <v>36.52</v>
      </c>
      <c r="G25" s="2" t="n">
        <v>2.15</v>
      </c>
      <c r="H25" s="4" t="n">
        <v>176.66</v>
      </c>
      <c r="I25" s="4" t="n">
        <v>650.15</v>
      </c>
      <c r="J25" s="2" t="n">
        <v>20</v>
      </c>
      <c r="K25" s="4" t="n">
        <v>35.6</v>
      </c>
      <c r="L25" s="4" t="n">
        <v>130.12</v>
      </c>
      <c r="M25" s="4">
        <f>B25*(G25/100)*(J25/100)</f>
        <v/>
      </c>
      <c r="N25" s="4">
        <f>B25*(F25/360/100)*E25*(J25/100)</f>
        <v/>
      </c>
      <c r="O25" s="4">
        <f>K25-M25+L25-N25</f>
        <v/>
      </c>
    </row>
    <row r="26">
      <c r="A26" s="2" t="inlineStr">
        <is>
          <t>A81058085</t>
        </is>
      </c>
      <c r="B26" s="4" t="n">
        <v>7308.35</v>
      </c>
      <c r="C26" s="3" t="n">
        <v>45997</v>
      </c>
      <c r="D26" s="3" t="n">
        <v>46086</v>
      </c>
      <c r="E26" s="2" t="n">
        <v>28</v>
      </c>
      <c r="F26" s="2" t="n">
        <v>19.34</v>
      </c>
      <c r="G26" s="2" t="n">
        <v>2.93</v>
      </c>
      <c r="H26" s="4" t="n">
        <v>214.13</v>
      </c>
      <c r="I26" s="4" t="n">
        <v>109.93</v>
      </c>
      <c r="J26" s="2" t="n">
        <v>20</v>
      </c>
      <c r="K26" s="4" t="n">
        <v>42.8</v>
      </c>
      <c r="L26" s="4" t="n">
        <v>21.81</v>
      </c>
      <c r="M26" s="4">
        <f>B26*(G26/100)*(J26/100)</f>
        <v/>
      </c>
      <c r="N26" s="4">
        <f>B26*(F26/360/100)*E26*(J26/100)</f>
        <v/>
      </c>
      <c r="O26" s="4">
        <f>K26-M26+L26-N26</f>
        <v/>
      </c>
    </row>
    <row r="27">
      <c r="A27" s="2" t="inlineStr">
        <is>
          <t>A56635820</t>
        </is>
      </c>
      <c r="B27" s="4" t="n">
        <v>5189.31</v>
      </c>
      <c r="C27" s="3" t="n">
        <v>46018</v>
      </c>
      <c r="D27" s="3" t="n">
        <v>46035</v>
      </c>
      <c r="E27" s="2" t="n">
        <v>85</v>
      </c>
      <c r="F27" s="2" t="n">
        <v>27.04</v>
      </c>
      <c r="G27" s="2" t="n">
        <v>2.65</v>
      </c>
      <c r="H27" s="4" t="n">
        <v>137.52</v>
      </c>
      <c r="I27" s="4" t="n">
        <v>331.31</v>
      </c>
      <c r="J27" s="2" t="n">
        <v>20</v>
      </c>
      <c r="K27" s="4" t="n">
        <v>27.69</v>
      </c>
      <c r="L27" s="4" t="n">
        <v>66.03</v>
      </c>
      <c r="M27" s="4">
        <f>B27*(G27/100)*(J27/100)</f>
        <v/>
      </c>
      <c r="N27" s="4">
        <f>B27*(F27/360/100)*E27*(J27/100)</f>
        <v/>
      </c>
      <c r="O27" s="4">
        <f>K27-M27+L27-N27</f>
        <v/>
      </c>
    </row>
    <row r="28">
      <c r="A28" s="2" t="inlineStr">
        <is>
          <t>B73452158</t>
        </is>
      </c>
      <c r="B28" s="4" t="n">
        <v>733.5599999999999</v>
      </c>
      <c r="C28" s="3" t="n">
        <v>46014</v>
      </c>
      <c r="D28" s="3" t="n">
        <v>46066</v>
      </c>
      <c r="E28" s="2" t="n">
        <v>58</v>
      </c>
      <c r="F28" s="2" t="n">
        <v>25.27</v>
      </c>
      <c r="G28" s="2" t="n">
        <v>1.53</v>
      </c>
      <c r="H28" s="4" t="n">
        <v>11.22</v>
      </c>
      <c r="I28" s="4" t="n">
        <v>29.87</v>
      </c>
      <c r="J28" s="2" t="n">
        <v>30</v>
      </c>
      <c r="K28" s="4" t="n">
        <v>3.52</v>
      </c>
      <c r="L28" s="4" t="n">
        <v>8.73</v>
      </c>
      <c r="M28" s="4">
        <f>B28*(G28/100)*(J28/100)</f>
        <v/>
      </c>
      <c r="N28" s="4">
        <f>B28*(F28/360/100)*E28*(J28/100)</f>
        <v/>
      </c>
      <c r="O28" s="4">
        <f>K28-M28+L28-N28</f>
        <v/>
      </c>
    </row>
    <row r="29">
      <c r="A29" s="2" t="inlineStr">
        <is>
          <t>B67884399</t>
        </is>
      </c>
      <c r="B29" s="4" t="n">
        <v>246.38</v>
      </c>
      <c r="C29" s="3" t="n">
        <v>46014</v>
      </c>
      <c r="D29" s="3" t="n">
        <v>46164</v>
      </c>
      <c r="E29" s="2" t="n">
        <v>52</v>
      </c>
      <c r="F29" s="2" t="n">
        <v>27.12</v>
      </c>
      <c r="G29" s="2" t="n">
        <v>2.88</v>
      </c>
      <c r="H29" s="4" t="n">
        <v>7.1</v>
      </c>
      <c r="I29" s="4" t="n">
        <v>9.65</v>
      </c>
      <c r="J29" s="2" t="n">
        <v>40</v>
      </c>
      <c r="K29" s="4" t="n">
        <v>2.64</v>
      </c>
      <c r="L29" s="4" t="n">
        <v>3.77</v>
      </c>
      <c r="M29" s="4">
        <f>B29*(G29/100)*(J29/100)</f>
        <v/>
      </c>
      <c r="N29" s="4">
        <f>B29*(F29/360/100)*E29*(J29/100)</f>
        <v/>
      </c>
      <c r="O29" s="4">
        <f>K29-M29+L29-N29</f>
        <v/>
      </c>
    </row>
    <row r="30">
      <c r="A30" s="2" t="inlineStr">
        <is>
          <t>B27785166</t>
        </is>
      </c>
      <c r="B30" s="4" t="n">
        <v>174.82</v>
      </c>
      <c r="C30" s="3" t="n">
        <v>46004</v>
      </c>
      <c r="D30" s="3" t="n">
        <v>46031</v>
      </c>
      <c r="E30" s="2" t="n">
        <v>26</v>
      </c>
      <c r="F30" s="2" t="n">
        <v>25.36</v>
      </c>
      <c r="G30" s="2" t="n">
        <v>2.33</v>
      </c>
      <c r="H30" s="4" t="n">
        <v>4.07</v>
      </c>
      <c r="I30" s="4" t="n">
        <v>3.2</v>
      </c>
      <c r="J30" s="2" t="n">
        <v>50</v>
      </c>
      <c r="K30" s="4" t="n">
        <v>1.96</v>
      </c>
      <c r="L30" s="4" t="n">
        <v>1.72</v>
      </c>
      <c r="M30" s="4">
        <f>B30*(G30/100)*(J30/100)</f>
        <v/>
      </c>
      <c r="N30" s="4">
        <f>B30*(F30/360/100)*E30*(J30/100)</f>
        <v/>
      </c>
      <c r="O30" s="4">
        <f>K30-M30+L30-N30</f>
        <v/>
      </c>
    </row>
    <row r="31">
      <c r="A31" s="2" t="inlineStr">
        <is>
          <t>B99167751</t>
        </is>
      </c>
      <c r="B31" s="4" t="n">
        <v>3962.63</v>
      </c>
      <c r="C31" s="3" t="n">
        <v>45999</v>
      </c>
      <c r="D31" s="3" t="n">
        <v>46081</v>
      </c>
      <c r="E31" s="2" t="n">
        <v>63</v>
      </c>
      <c r="F31" s="2" t="n">
        <v>44.18</v>
      </c>
      <c r="G31" s="2" t="n">
        <v>1.44</v>
      </c>
      <c r="H31" s="4" t="n">
        <v>57.06</v>
      </c>
      <c r="I31" s="4" t="n">
        <v>306.37</v>
      </c>
      <c r="J31" s="2" t="n">
        <v>30</v>
      </c>
      <c r="K31" s="4" t="n">
        <v>17.35</v>
      </c>
      <c r="L31" s="4" t="n">
        <v>92</v>
      </c>
      <c r="M31" s="4">
        <f>B31*(G31/100)*(J31/100)</f>
        <v/>
      </c>
      <c r="N31" s="4">
        <f>B31*(F31/360/100)*E31*(J31/100)</f>
        <v/>
      </c>
      <c r="O31" s="4">
        <f>K31-M31+L31-N31</f>
        <v/>
      </c>
    </row>
    <row r="32">
      <c r="A32" s="2" t="inlineStr">
        <is>
          <t>B16297723</t>
        </is>
      </c>
      <c r="B32" s="4" t="n">
        <v>134.89</v>
      </c>
      <c r="C32" s="3" t="n">
        <v>46000</v>
      </c>
      <c r="D32" s="3" t="n">
        <v>46109</v>
      </c>
      <c r="E32" s="2" t="n">
        <v>25</v>
      </c>
      <c r="F32" s="2" t="n">
        <v>10.72</v>
      </c>
      <c r="G32" s="2" t="n">
        <v>1.33</v>
      </c>
      <c r="H32" s="4" t="n">
        <v>1.79</v>
      </c>
      <c r="I32" s="4" t="n">
        <v>1</v>
      </c>
      <c r="J32" s="2" t="n">
        <v>40</v>
      </c>
      <c r="K32" s="4" t="n">
        <v>0.9399999999999999</v>
      </c>
      <c r="L32" s="4" t="n">
        <v>0.36</v>
      </c>
      <c r="M32" s="4">
        <f>B32*(G32/100)*(J32/100)</f>
        <v/>
      </c>
      <c r="N32" s="4">
        <f>B32*(F32/360/100)*E32*(J32/100)</f>
        <v/>
      </c>
      <c r="O32" s="4">
        <f>K32-M32+L32-N32</f>
        <v/>
      </c>
    </row>
    <row r="33">
      <c r="A33" s="2" t="inlineStr">
        <is>
          <t>B91196412</t>
        </is>
      </c>
      <c r="B33" s="4" t="n">
        <v>729.38</v>
      </c>
      <c r="C33" s="3" t="n">
        <v>45995</v>
      </c>
      <c r="D33" s="3" t="n">
        <v>46081</v>
      </c>
      <c r="E33" s="2" t="n">
        <v>34</v>
      </c>
      <c r="F33" s="2" t="n">
        <v>12.62</v>
      </c>
      <c r="G33" s="2" t="n">
        <v>2.03</v>
      </c>
      <c r="H33" s="4" t="n">
        <v>14.81</v>
      </c>
      <c r="I33" s="4" t="n">
        <v>8.69</v>
      </c>
      <c r="J33" s="2" t="n">
        <v>50</v>
      </c>
      <c r="K33" s="4" t="n">
        <v>7.38</v>
      </c>
      <c r="L33" s="4" t="n">
        <v>4.19</v>
      </c>
      <c r="M33" s="4">
        <f>B33*(G33/100)*(J33/100)</f>
        <v/>
      </c>
      <c r="N33" s="4">
        <f>B33*(F33/360/100)*E33*(J33/100)</f>
        <v/>
      </c>
      <c r="O33" s="4">
        <f>K33-M33+L33-N33</f>
        <v/>
      </c>
    </row>
    <row r="34">
      <c r="A34" s="2" t="inlineStr">
        <is>
          <t>A90636169</t>
        </is>
      </c>
      <c r="B34" s="4" t="n">
        <v>119.2</v>
      </c>
      <c r="C34" s="3" t="n">
        <v>45998</v>
      </c>
      <c r="D34" s="3" t="n">
        <v>46193</v>
      </c>
      <c r="E34" s="2" t="n">
        <v>27</v>
      </c>
      <c r="F34" s="2" t="n">
        <v>19.07</v>
      </c>
      <c r="G34" s="2" t="n">
        <v>0.88</v>
      </c>
      <c r="H34" s="4" t="n">
        <v>1.05</v>
      </c>
      <c r="I34" s="4" t="n">
        <v>1.7</v>
      </c>
      <c r="J34" s="2" t="n">
        <v>40</v>
      </c>
      <c r="K34" s="4" t="n">
        <v>0.44</v>
      </c>
      <c r="L34" s="4" t="n">
        <v>0.43</v>
      </c>
      <c r="M34" s="4">
        <f>B34*(G34/100)*(J34/100)</f>
        <v/>
      </c>
      <c r="N34" s="4">
        <f>B34*(F34/360/100)*E34*(J34/100)</f>
        <v/>
      </c>
      <c r="O34" s="4">
        <f>K34-M34+L34-N34</f>
        <v/>
      </c>
    </row>
    <row r="35">
      <c r="A35" s="2" t="inlineStr">
        <is>
          <t>A03634312</t>
        </is>
      </c>
      <c r="B35" s="4" t="n">
        <v>374.09</v>
      </c>
      <c r="C35" s="3" t="n">
        <v>46004</v>
      </c>
      <c r="D35" s="3" t="n">
        <v>46139</v>
      </c>
      <c r="E35" s="2" t="n">
        <v>16</v>
      </c>
      <c r="F35" s="2" t="n">
        <v>26.94</v>
      </c>
      <c r="G35" s="2" t="n">
        <v>0.88</v>
      </c>
      <c r="H35" s="4" t="n">
        <v>3.29</v>
      </c>
      <c r="I35" s="4" t="n">
        <v>4.48</v>
      </c>
      <c r="J35" s="2" t="n">
        <v>60</v>
      </c>
      <c r="K35" s="4" t="n">
        <v>2.12</v>
      </c>
      <c r="L35" s="4" t="n">
        <v>2.44</v>
      </c>
      <c r="M35" s="4">
        <f>B35*(G35/100)*(J35/100)</f>
        <v/>
      </c>
      <c r="N35" s="4">
        <f>B35*(F35/360/100)*E35*(J35/100)</f>
        <v/>
      </c>
      <c r="O35" s="4">
        <f>K35-M35+L35-N35</f>
        <v/>
      </c>
    </row>
    <row r="36">
      <c r="A36" s="2" t="inlineStr">
        <is>
          <t>A39076864</t>
        </is>
      </c>
      <c r="B36" s="4" t="n">
        <v>146.21</v>
      </c>
      <c r="C36" s="3" t="n">
        <v>46006</v>
      </c>
      <c r="D36" s="3" t="n">
        <v>46055</v>
      </c>
      <c r="E36" s="2" t="n">
        <v>78</v>
      </c>
      <c r="F36" s="2" t="n">
        <v>12.08</v>
      </c>
      <c r="G36" s="2" t="n">
        <v>1.73</v>
      </c>
      <c r="H36" s="4" t="n">
        <v>2.53</v>
      </c>
      <c r="I36" s="4" t="n">
        <v>3.83</v>
      </c>
      <c r="J36" s="2" t="n">
        <v>40</v>
      </c>
      <c r="K36" s="4" t="n">
        <v>1.09</v>
      </c>
      <c r="L36" s="4" t="n">
        <v>1.3</v>
      </c>
      <c r="M36" s="4">
        <f>B36*(G36/100)*(J36/100)</f>
        <v/>
      </c>
      <c r="N36" s="4">
        <f>B36*(F36/360/100)*E36*(J36/100)</f>
        <v/>
      </c>
      <c r="O36" s="4">
        <f>K36-M36+L36-N36</f>
        <v/>
      </c>
    </row>
    <row r="37">
      <c r="A37" s="2" t="inlineStr">
        <is>
          <t>B98336942</t>
        </is>
      </c>
      <c r="B37" s="4" t="n">
        <v>226.41</v>
      </c>
      <c r="C37" s="3" t="n">
        <v>46015</v>
      </c>
      <c r="D37" s="3" t="n">
        <v>46186</v>
      </c>
      <c r="E37" s="2" t="n">
        <v>39</v>
      </c>
      <c r="F37" s="2" t="n">
        <v>45.78</v>
      </c>
      <c r="G37" s="2" t="n">
        <v>2.29</v>
      </c>
      <c r="H37" s="4" t="n">
        <v>5.18</v>
      </c>
      <c r="I37" s="4" t="n">
        <v>11.23</v>
      </c>
      <c r="J37" s="2" t="n">
        <v>60</v>
      </c>
      <c r="K37" s="4" t="n">
        <v>3.35</v>
      </c>
      <c r="L37" s="4" t="n">
        <v>6.68</v>
      </c>
      <c r="M37" s="4">
        <f>B37*(G37/100)*(J37/100)</f>
        <v/>
      </c>
      <c r="N37" s="4">
        <f>B37*(F37/360/100)*E37*(J37/100)</f>
        <v/>
      </c>
      <c r="O37" s="4">
        <f>K37-M37+L37-N37</f>
        <v/>
      </c>
    </row>
    <row r="38">
      <c r="A38" s="2" t="inlineStr">
        <is>
          <t>A91129710</t>
        </is>
      </c>
      <c r="B38" s="4" t="n">
        <v>9942.200000000001</v>
      </c>
      <c r="C38" s="3" t="n">
        <v>45996</v>
      </c>
      <c r="D38" s="3" t="n">
        <v>46073</v>
      </c>
      <c r="E38" s="2" t="n">
        <v>81</v>
      </c>
      <c r="F38" s="2" t="n">
        <v>33.13</v>
      </c>
      <c r="G38" s="2" t="n">
        <v>0.65</v>
      </c>
      <c r="H38" s="4" t="n">
        <v>64.62</v>
      </c>
      <c r="I38" s="4" t="n">
        <v>741.12</v>
      </c>
      <c r="J38" s="2" t="n">
        <v>50</v>
      </c>
      <c r="K38" s="4" t="n">
        <v>32.01</v>
      </c>
      <c r="L38" s="4" t="n">
        <v>370.62</v>
      </c>
      <c r="M38" s="4">
        <f>B38*(G38/100)*(J38/100)</f>
        <v/>
      </c>
      <c r="N38" s="4">
        <f>B38*(F38/360/100)*E38*(J38/100)</f>
        <v/>
      </c>
      <c r="O38" s="4">
        <f>K38-M38+L38-N38</f>
        <v/>
      </c>
    </row>
    <row r="39">
      <c r="A39" s="2" t="inlineStr">
        <is>
          <t>A12267650</t>
        </is>
      </c>
      <c r="B39" s="4" t="n">
        <v>328.43</v>
      </c>
      <c r="C39" s="3" t="n">
        <v>45993</v>
      </c>
      <c r="D39" s="3" t="n">
        <v>46085</v>
      </c>
      <c r="E39" s="2" t="n">
        <v>55</v>
      </c>
      <c r="F39" s="2" t="n">
        <v>12.32</v>
      </c>
      <c r="G39" s="2" t="n">
        <v>2.4</v>
      </c>
      <c r="H39" s="4" t="n">
        <v>7.88</v>
      </c>
      <c r="I39" s="4" t="n">
        <v>6.18</v>
      </c>
      <c r="J39" s="2" t="n">
        <v>60</v>
      </c>
      <c r="K39" s="4" t="n">
        <v>4.45</v>
      </c>
      <c r="L39" s="4" t="n">
        <v>3.5</v>
      </c>
      <c r="M39" s="4">
        <f>B39*(G39/100)*(J39/100)</f>
        <v/>
      </c>
      <c r="N39" s="4">
        <f>B39*(F39/360/100)*E39*(J39/100)</f>
        <v/>
      </c>
      <c r="O39" s="4">
        <f>K39-M39+L39-N39</f>
        <v/>
      </c>
    </row>
    <row r="40">
      <c r="A40" s="2" t="inlineStr">
        <is>
          <t>B66083614</t>
        </is>
      </c>
      <c r="B40" s="4" t="n">
        <v>463.18</v>
      </c>
      <c r="C40" s="3" t="n">
        <v>45999</v>
      </c>
      <c r="D40" s="3" t="n">
        <v>46067</v>
      </c>
      <c r="E40" s="2" t="n">
        <v>31</v>
      </c>
      <c r="F40" s="2" t="n">
        <v>23.87</v>
      </c>
      <c r="G40" s="2" t="n">
        <v>2.37</v>
      </c>
      <c r="H40" s="4" t="n">
        <v>10.98</v>
      </c>
      <c r="I40" s="4" t="n">
        <v>9.52</v>
      </c>
      <c r="J40" s="2" t="n">
        <v>50</v>
      </c>
      <c r="K40" s="4" t="n">
        <v>5.51</v>
      </c>
      <c r="L40" s="4" t="n">
        <v>4.94</v>
      </c>
      <c r="M40" s="4">
        <f>B40*(G40/100)*(J40/100)</f>
        <v/>
      </c>
      <c r="N40" s="4">
        <f>B40*(F40/360/100)*E40*(J40/100)</f>
        <v/>
      </c>
      <c r="O40" s="4">
        <f>K40-M40+L40-N40</f>
        <v/>
      </c>
    </row>
    <row r="41">
      <c r="A41" s="2" t="inlineStr">
        <is>
          <t>B98336942</t>
        </is>
      </c>
      <c r="B41" s="4" t="n">
        <v>209.95</v>
      </c>
      <c r="C41" s="3" t="n">
        <v>46013</v>
      </c>
      <c r="D41" s="3" t="n">
        <v>46140</v>
      </c>
      <c r="E41" s="2" t="n">
        <v>10</v>
      </c>
      <c r="F41" s="2" t="n">
        <v>41.24</v>
      </c>
      <c r="G41" s="2" t="n">
        <v>1.56</v>
      </c>
      <c r="H41" s="4" t="n">
        <v>3.28</v>
      </c>
      <c r="I41" s="4" t="n">
        <v>2.41</v>
      </c>
      <c r="J41" s="2" t="n">
        <v>30</v>
      </c>
      <c r="K41" s="4" t="n">
        <v>0.93</v>
      </c>
      <c r="L41" s="4" t="n">
        <v>0.67</v>
      </c>
      <c r="M41" s="4">
        <f>B41*(G41/100)*(J41/100)</f>
        <v/>
      </c>
      <c r="N41" s="4">
        <f>B41*(F41/360/100)*E41*(J41/100)</f>
        <v/>
      </c>
      <c r="O41" s="4">
        <f>K41-M41+L41-N41</f>
        <v/>
      </c>
    </row>
    <row r="42">
      <c r="A42" s="2" t="inlineStr">
        <is>
          <t>A90754893</t>
        </is>
      </c>
      <c r="B42" s="4" t="n">
        <v>6883.07</v>
      </c>
      <c r="C42" s="3" t="n">
        <v>45996</v>
      </c>
      <c r="D42" s="3" t="n">
        <v>46170</v>
      </c>
      <c r="E42" s="2" t="n">
        <v>47</v>
      </c>
      <c r="F42" s="2" t="n">
        <v>24.26</v>
      </c>
      <c r="G42" s="2" t="n">
        <v>2.23</v>
      </c>
      <c r="H42" s="4" t="n">
        <v>153.49</v>
      </c>
      <c r="I42" s="4" t="n">
        <v>218.01</v>
      </c>
      <c r="J42" s="2" t="n">
        <v>50</v>
      </c>
      <c r="K42" s="4" t="n">
        <v>76.7</v>
      </c>
      <c r="L42" s="4" t="n">
        <v>108.83</v>
      </c>
      <c r="M42" s="4">
        <f>B42*(G42/100)*(J42/100)</f>
        <v/>
      </c>
      <c r="N42" s="4">
        <f>B42*(F42/360/100)*E42*(J42/100)</f>
        <v/>
      </c>
      <c r="O42" s="4">
        <f>K42-M42+L42-N42</f>
        <v/>
      </c>
    </row>
    <row r="43">
      <c r="A43" s="2" t="inlineStr">
        <is>
          <t>A03470483</t>
        </is>
      </c>
      <c r="B43" s="4" t="n">
        <v>990.41</v>
      </c>
      <c r="C43" s="3" t="n">
        <v>46017</v>
      </c>
      <c r="D43" s="3" t="n">
        <v>46076</v>
      </c>
      <c r="E43" s="2" t="n">
        <v>74</v>
      </c>
      <c r="F43" s="2" t="n">
        <v>25.73</v>
      </c>
      <c r="G43" s="2" t="n">
        <v>2.94</v>
      </c>
      <c r="H43" s="4" t="n">
        <v>29.12</v>
      </c>
      <c r="I43" s="4" t="n">
        <v>52.38</v>
      </c>
      <c r="J43" s="2" t="n">
        <v>30</v>
      </c>
      <c r="K43" s="4" t="n">
        <v>8.789999999999999</v>
      </c>
      <c r="L43" s="4" t="n">
        <v>15.67</v>
      </c>
      <c r="M43" s="4">
        <f>B43*(G43/100)*(J43/100)</f>
        <v/>
      </c>
      <c r="N43" s="4">
        <f>B43*(F43/360/100)*E43*(J43/100)</f>
        <v/>
      </c>
      <c r="O43" s="4">
        <f>K43-M43+L43-N43</f>
        <v/>
      </c>
    </row>
    <row r="44">
      <c r="A44" s="2" t="inlineStr">
        <is>
          <t>A90940290</t>
        </is>
      </c>
      <c r="B44" s="4" t="n">
        <v>821.04</v>
      </c>
      <c r="C44" s="3" t="n">
        <v>46010</v>
      </c>
      <c r="D44" s="3" t="n">
        <v>46107</v>
      </c>
      <c r="E44" s="2" t="n">
        <v>58</v>
      </c>
      <c r="F44" s="2" t="n">
        <v>39.81</v>
      </c>
      <c r="G44" s="2" t="n">
        <v>2.96</v>
      </c>
      <c r="H44" s="4" t="n">
        <v>24.3</v>
      </c>
      <c r="I44" s="4" t="n">
        <v>52.66</v>
      </c>
      <c r="J44" s="2" t="n">
        <v>70</v>
      </c>
      <c r="K44" s="4" t="n">
        <v>16.91</v>
      </c>
      <c r="L44" s="4" t="n">
        <v>36.59</v>
      </c>
      <c r="M44" s="4">
        <f>B44*(G44/100)*(J44/100)</f>
        <v/>
      </c>
      <c r="N44" s="4">
        <f>B44*(F44/360/100)*E44*(J44/100)</f>
        <v/>
      </c>
      <c r="O44" s="4">
        <f>K44-M44+L44-N44</f>
        <v/>
      </c>
    </row>
    <row r="45">
      <c r="A45" s="2" t="inlineStr">
        <is>
          <t>B09636380</t>
        </is>
      </c>
      <c r="B45" s="4" t="n">
        <v>196.77</v>
      </c>
      <c r="C45" s="3" t="n">
        <v>45997</v>
      </c>
      <c r="D45" s="3" t="n">
        <v>46033</v>
      </c>
      <c r="E45" s="2" t="n">
        <v>12</v>
      </c>
      <c r="F45" s="2" t="n">
        <v>10.16</v>
      </c>
      <c r="G45" s="2" t="n">
        <v>1.74</v>
      </c>
      <c r="H45" s="4" t="n">
        <v>3.42</v>
      </c>
      <c r="I45" s="4" t="n">
        <v>0.67</v>
      </c>
      <c r="J45" s="2" t="n">
        <v>70</v>
      </c>
      <c r="K45" s="4" t="n">
        <v>2.59</v>
      </c>
      <c r="L45" s="4" t="n">
        <v>0.52</v>
      </c>
      <c r="M45" s="4">
        <f>B45*(G45/100)*(J45/100)</f>
        <v/>
      </c>
      <c r="N45" s="4">
        <f>B45*(F45/360/100)*E45*(J45/100)</f>
        <v/>
      </c>
      <c r="O45" s="4">
        <f>K45-M45+L45-N45</f>
        <v/>
      </c>
    </row>
    <row r="46">
      <c r="A46" s="2" t="inlineStr">
        <is>
          <t>B92659959</t>
        </is>
      </c>
      <c r="B46" s="4" t="n">
        <v>614.24</v>
      </c>
      <c r="C46" s="3" t="n">
        <v>46014</v>
      </c>
      <c r="D46" s="3" t="n">
        <v>46061</v>
      </c>
      <c r="E46" s="2" t="n">
        <v>61</v>
      </c>
      <c r="F46" s="2" t="n">
        <v>31.77</v>
      </c>
      <c r="G46" s="2" t="n">
        <v>1.23</v>
      </c>
      <c r="H46" s="4" t="n">
        <v>7.56</v>
      </c>
      <c r="I46" s="4" t="n">
        <v>33.07</v>
      </c>
      <c r="J46" s="2" t="n">
        <v>40</v>
      </c>
      <c r="K46" s="4" t="n">
        <v>3.18</v>
      </c>
      <c r="L46" s="4" t="n">
        <v>12.93</v>
      </c>
      <c r="M46" s="4">
        <f>B46*(G46/100)*(J46/100)</f>
        <v/>
      </c>
      <c r="N46" s="4">
        <f>B46*(F46/360/100)*E46*(J46/100)</f>
        <v/>
      </c>
      <c r="O46" s="4">
        <f>K46-M46+L46-N46</f>
        <v/>
      </c>
    </row>
    <row r="47">
      <c r="A47" s="2" t="inlineStr">
        <is>
          <t>A71708856</t>
        </is>
      </c>
      <c r="B47" s="4" t="n">
        <v>420.45</v>
      </c>
      <c r="C47" s="3" t="n">
        <v>46013</v>
      </c>
      <c r="D47" s="3" t="n">
        <v>46148</v>
      </c>
      <c r="E47" s="2" t="n">
        <v>88</v>
      </c>
      <c r="F47" s="2" t="n">
        <v>33.85</v>
      </c>
      <c r="G47" s="2" t="n">
        <v>1.2</v>
      </c>
      <c r="H47" s="4" t="n">
        <v>5.05</v>
      </c>
      <c r="I47" s="4" t="n">
        <v>34.79</v>
      </c>
      <c r="J47" s="2" t="n">
        <v>40</v>
      </c>
      <c r="K47" s="4" t="n">
        <v>2.11</v>
      </c>
      <c r="L47" s="4" t="n">
        <v>14.17</v>
      </c>
      <c r="M47" s="4">
        <f>B47*(G47/100)*(J47/100)</f>
        <v/>
      </c>
      <c r="N47" s="4">
        <f>B47*(F47/360/100)*E47*(J47/100)</f>
        <v/>
      </c>
      <c r="O47" s="4">
        <f>K47-M47+L47-N47</f>
        <v/>
      </c>
    </row>
    <row r="48">
      <c r="A48" s="2" t="inlineStr">
        <is>
          <t>B99167751</t>
        </is>
      </c>
      <c r="B48" s="4" t="n">
        <v>220.2</v>
      </c>
      <c r="C48" s="3" t="n">
        <v>45996</v>
      </c>
      <c r="D48" s="3" t="n">
        <v>46195</v>
      </c>
      <c r="E48" s="2" t="n">
        <v>18</v>
      </c>
      <c r="F48" s="2" t="n">
        <v>32.95</v>
      </c>
      <c r="G48" s="2" t="n">
        <v>2.27</v>
      </c>
      <c r="H48" s="4" t="n">
        <v>5</v>
      </c>
      <c r="I48" s="4" t="n">
        <v>3.63</v>
      </c>
      <c r="J48" s="2" t="n">
        <v>20</v>
      </c>
      <c r="K48" s="4" t="n">
        <v>1.23</v>
      </c>
      <c r="L48" s="4" t="n">
        <v>0.82</v>
      </c>
      <c r="M48" s="4">
        <f>B48*(G48/100)*(J48/100)</f>
        <v/>
      </c>
      <c r="N48" s="4">
        <f>B48*(F48/360/100)*E48*(J48/100)</f>
        <v/>
      </c>
      <c r="O48" s="4">
        <f>K48-M48+L48-N48</f>
        <v/>
      </c>
    </row>
    <row r="49">
      <c r="A49" s="2" t="inlineStr">
        <is>
          <t>A23266897</t>
        </is>
      </c>
      <c r="B49" s="4" t="n">
        <v>801.92</v>
      </c>
      <c r="C49" s="3" t="n">
        <v>46018</v>
      </c>
      <c r="D49" s="3" t="n">
        <v>46071</v>
      </c>
      <c r="E49" s="2" t="n">
        <v>89</v>
      </c>
      <c r="F49" s="2" t="n">
        <v>44.84</v>
      </c>
      <c r="G49" s="2" t="n">
        <v>2.87</v>
      </c>
      <c r="H49" s="4" t="n">
        <v>23.02</v>
      </c>
      <c r="I49" s="4" t="n">
        <v>88.90000000000001</v>
      </c>
      <c r="J49" s="2" t="n">
        <v>70</v>
      </c>
      <c r="K49" s="4" t="n">
        <v>16.17</v>
      </c>
      <c r="L49" s="4" t="n">
        <v>62.51</v>
      </c>
      <c r="M49" s="4">
        <f>B49*(G49/100)*(J49/100)</f>
        <v/>
      </c>
      <c r="N49" s="4">
        <f>B49*(F49/360/100)*E49*(J49/100)</f>
        <v/>
      </c>
      <c r="O49" s="4">
        <f>K49-M49+L49-N49</f>
        <v/>
      </c>
    </row>
    <row r="50">
      <c r="A50" s="2" t="inlineStr">
        <is>
          <t>B92502906</t>
        </is>
      </c>
      <c r="B50" s="4" t="n">
        <v>429.73</v>
      </c>
      <c r="C50" s="3" t="n">
        <v>45999</v>
      </c>
      <c r="D50" s="3" t="n">
        <v>46198</v>
      </c>
      <c r="E50" s="2" t="n">
        <v>63</v>
      </c>
      <c r="F50" s="2" t="n">
        <v>46.38</v>
      </c>
      <c r="G50" s="2" t="n">
        <v>0.68</v>
      </c>
      <c r="H50" s="4" t="n">
        <v>2.92</v>
      </c>
      <c r="I50" s="4" t="n">
        <v>34.88</v>
      </c>
      <c r="J50" s="2" t="n">
        <v>60</v>
      </c>
      <c r="K50" s="4" t="n">
        <v>1.99</v>
      </c>
      <c r="L50" s="4" t="n">
        <v>20.63</v>
      </c>
      <c r="M50" s="4">
        <f>B50*(G50/100)*(J50/100)</f>
        <v/>
      </c>
      <c r="N50" s="4">
        <f>B50*(F50/360/100)*E50*(J50/100)</f>
        <v/>
      </c>
      <c r="O50" s="4">
        <f>K50-M50+L50-N50</f>
        <v/>
      </c>
    </row>
    <row r="51">
      <c r="A51" s="2" t="inlineStr">
        <is>
          <t>A20181491</t>
        </is>
      </c>
      <c r="B51" s="4" t="n">
        <v>332.44</v>
      </c>
      <c r="C51" s="3" t="n">
        <v>46011</v>
      </c>
      <c r="D51" s="3" t="n">
        <v>46089</v>
      </c>
      <c r="E51" s="2" t="n">
        <v>73</v>
      </c>
      <c r="F51" s="2" t="n">
        <v>39.57</v>
      </c>
      <c r="G51" s="2" t="n">
        <v>2.64</v>
      </c>
      <c r="H51" s="4" t="n">
        <v>8.779999999999999</v>
      </c>
      <c r="I51" s="4" t="n">
        <v>26.67</v>
      </c>
      <c r="J51" s="2" t="n">
        <v>70</v>
      </c>
      <c r="K51" s="4" t="n">
        <v>6.32</v>
      </c>
      <c r="L51" s="4" t="n">
        <v>18.73</v>
      </c>
      <c r="M51" s="4">
        <f>B51*(G51/100)*(J51/100)</f>
        <v/>
      </c>
      <c r="N51" s="4">
        <f>B51*(F51/360/100)*E51*(J51/100)</f>
        <v/>
      </c>
      <c r="O51" s="4">
        <f>K51-M51+L51-N51</f>
        <v/>
      </c>
    </row>
    <row r="52">
      <c r="A52" s="2" t="inlineStr">
        <is>
          <t>A26986823</t>
        </is>
      </c>
      <c r="B52" s="4" t="n">
        <v>6774.85</v>
      </c>
      <c r="C52" s="3" t="n">
        <v>46019</v>
      </c>
      <c r="D52" s="3" t="n">
        <v>46069</v>
      </c>
      <c r="E52" s="2" t="n">
        <v>19</v>
      </c>
      <c r="F52" s="2" t="n">
        <v>22.73</v>
      </c>
      <c r="G52" s="2" t="n">
        <v>0.65</v>
      </c>
      <c r="H52" s="4" t="n">
        <v>44.04</v>
      </c>
      <c r="I52" s="4" t="n">
        <v>81.27</v>
      </c>
      <c r="J52" s="2" t="n">
        <v>70</v>
      </c>
      <c r="K52" s="4" t="n">
        <v>30.65</v>
      </c>
      <c r="L52" s="4" t="n">
        <v>56.84</v>
      </c>
      <c r="M52" s="4">
        <f>B52*(G52/100)*(J52/100)</f>
        <v/>
      </c>
      <c r="N52" s="4">
        <f>B52*(F52/360/100)*E52*(J52/100)</f>
        <v/>
      </c>
      <c r="O52" s="4">
        <f>K52-M52+L52-N52</f>
        <v/>
      </c>
    </row>
    <row r="53">
      <c r="A53" s="2" t="inlineStr">
        <is>
          <t>B05467051</t>
        </is>
      </c>
      <c r="B53" s="4" t="n">
        <v>895.52</v>
      </c>
      <c r="C53" s="3" t="n">
        <v>46010</v>
      </c>
      <c r="D53" s="3" t="n">
        <v>46165</v>
      </c>
      <c r="E53" s="2" t="n">
        <v>88</v>
      </c>
      <c r="F53" s="2" t="n">
        <v>35.48</v>
      </c>
      <c r="G53" s="2" t="n">
        <v>0.5600000000000001</v>
      </c>
      <c r="H53" s="4" t="n">
        <v>5.01</v>
      </c>
      <c r="I53" s="4" t="n">
        <v>77.67</v>
      </c>
      <c r="J53" s="2" t="n">
        <v>60</v>
      </c>
      <c r="K53" s="4" t="n">
        <v>2.96</v>
      </c>
      <c r="L53" s="4" t="n">
        <v>46.56</v>
      </c>
      <c r="M53" s="4">
        <f>B53*(G53/100)*(J53/100)</f>
        <v/>
      </c>
      <c r="N53" s="4">
        <f>B53*(F53/360/100)*E53*(J53/100)</f>
        <v/>
      </c>
      <c r="O53" s="4">
        <f>K53-M53+L53-N53</f>
        <v/>
      </c>
    </row>
    <row r="54">
      <c r="A54" s="2" t="inlineStr">
        <is>
          <t>A10265313</t>
        </is>
      </c>
      <c r="B54" s="4" t="n">
        <v>2638.52</v>
      </c>
      <c r="C54" s="3" t="n">
        <v>46016</v>
      </c>
      <c r="D54" s="3" t="n">
        <v>46130</v>
      </c>
      <c r="E54" s="2" t="n">
        <v>89</v>
      </c>
      <c r="F54" s="2" t="n">
        <v>22.44</v>
      </c>
      <c r="G54" s="2" t="n">
        <v>0.75</v>
      </c>
      <c r="H54" s="4" t="n">
        <v>19.79</v>
      </c>
      <c r="I54" s="4" t="n">
        <v>146.38</v>
      </c>
      <c r="J54" s="2" t="n">
        <v>60</v>
      </c>
      <c r="K54" s="4" t="n">
        <v>11.89</v>
      </c>
      <c r="L54" s="4" t="n">
        <v>88.01000000000001</v>
      </c>
      <c r="M54" s="4">
        <f>B54*(G54/100)*(J54/100)</f>
        <v/>
      </c>
      <c r="N54" s="4">
        <f>B54*(F54/360/100)*E54*(J54/100)</f>
        <v/>
      </c>
      <c r="O54" s="4">
        <f>K54-M54+L54-N54</f>
        <v/>
      </c>
    </row>
    <row r="55">
      <c r="A55" s="2" t="inlineStr">
        <is>
          <t>A11647340</t>
        </is>
      </c>
      <c r="B55" s="4" t="n">
        <v>529.54</v>
      </c>
      <c r="C55" s="3" t="n">
        <v>46002</v>
      </c>
      <c r="D55" s="3" t="n">
        <v>46138</v>
      </c>
      <c r="E55" s="2" t="n">
        <v>88</v>
      </c>
      <c r="F55" s="2" t="n">
        <v>32.12</v>
      </c>
      <c r="G55" s="2" t="n">
        <v>2.36</v>
      </c>
      <c r="H55" s="4" t="n">
        <v>12.5</v>
      </c>
      <c r="I55" s="4" t="n">
        <v>41.58</v>
      </c>
      <c r="J55" s="2" t="n">
        <v>70</v>
      </c>
      <c r="K55" s="4" t="n">
        <v>9</v>
      </c>
      <c r="L55" s="4" t="n">
        <v>29.07</v>
      </c>
      <c r="M55" s="4">
        <f>B55*(G55/100)*(J55/100)</f>
        <v/>
      </c>
      <c r="N55" s="4">
        <f>B55*(F55/360/100)*E55*(J55/100)</f>
        <v/>
      </c>
      <c r="O55" s="4">
        <f>K55-M55+L55-N55</f>
        <v/>
      </c>
    </row>
    <row r="56">
      <c r="A56" s="2" t="inlineStr">
        <is>
          <t>A53673252</t>
        </is>
      </c>
      <c r="B56" s="4" t="n">
        <v>681.16</v>
      </c>
      <c r="C56" s="3" t="n">
        <v>46013</v>
      </c>
      <c r="D56" s="3" t="n">
        <v>46181</v>
      </c>
      <c r="E56" s="2" t="n">
        <v>17</v>
      </c>
      <c r="F56" s="2" t="n">
        <v>34.89</v>
      </c>
      <c r="G56" s="2" t="n">
        <v>0.57</v>
      </c>
      <c r="H56" s="4" t="n">
        <v>3.88</v>
      </c>
      <c r="I56" s="4" t="n">
        <v>11.22</v>
      </c>
      <c r="J56" s="2" t="n">
        <v>50</v>
      </c>
      <c r="K56" s="4" t="n">
        <v>2.07</v>
      </c>
      <c r="L56" s="4" t="n">
        <v>5.32</v>
      </c>
      <c r="M56" s="4">
        <f>B56*(G56/100)*(J56/100)</f>
        <v/>
      </c>
      <c r="N56" s="4">
        <f>B56*(F56/360/100)*E56*(J56/100)</f>
        <v/>
      </c>
      <c r="O56" s="4">
        <f>K56-M56+L56-N56</f>
        <v/>
      </c>
    </row>
    <row r="57">
      <c r="A57" s="2" t="inlineStr">
        <is>
          <t>A53391396</t>
        </is>
      </c>
      <c r="B57" s="4" t="n">
        <v>9451.959999999999</v>
      </c>
      <c r="C57" s="3" t="n">
        <v>46014</v>
      </c>
      <c r="D57" s="3" t="n">
        <v>46032</v>
      </c>
      <c r="E57" s="2" t="n">
        <v>21</v>
      </c>
      <c r="F57" s="2" t="n">
        <v>34.31</v>
      </c>
      <c r="G57" s="2" t="n">
        <v>3</v>
      </c>
      <c r="H57" s="4" t="n">
        <v>283.56</v>
      </c>
      <c r="I57" s="4" t="n">
        <v>189.17</v>
      </c>
      <c r="J57" s="2" t="n">
        <v>70</v>
      </c>
      <c r="K57" s="4" t="n">
        <v>198.31</v>
      </c>
      <c r="L57" s="4" t="n">
        <v>132.2</v>
      </c>
      <c r="M57" s="4">
        <f>B57*(G57/100)*(J57/100)</f>
        <v/>
      </c>
      <c r="N57" s="4">
        <f>B57*(F57/360/100)*E57*(J57/100)</f>
        <v/>
      </c>
      <c r="O57" s="4">
        <f>K57-M57+L57-N57</f>
        <v/>
      </c>
    </row>
    <row r="58">
      <c r="A58" s="2" t="inlineStr">
        <is>
          <t>B91460171</t>
        </is>
      </c>
      <c r="B58" s="4" t="n">
        <v>922.1</v>
      </c>
      <c r="C58" s="3" t="n">
        <v>45999</v>
      </c>
      <c r="D58" s="3" t="n">
        <v>46028</v>
      </c>
      <c r="E58" s="2" t="n">
        <v>77</v>
      </c>
      <c r="F58" s="2" t="n">
        <v>32.75</v>
      </c>
      <c r="G58" s="2" t="n">
        <v>1.64</v>
      </c>
      <c r="H58" s="4" t="n">
        <v>15.12</v>
      </c>
      <c r="I58" s="4" t="n">
        <v>64.59</v>
      </c>
      <c r="J58" s="2" t="n">
        <v>40</v>
      </c>
      <c r="K58" s="4" t="n">
        <v>6.18</v>
      </c>
      <c r="L58" s="4" t="n">
        <v>25.65</v>
      </c>
      <c r="M58" s="4">
        <f>B58*(G58/100)*(J58/100)</f>
        <v/>
      </c>
      <c r="N58" s="4">
        <f>B58*(F58/360/100)*E58*(J58/100)</f>
        <v/>
      </c>
      <c r="O58" s="4">
        <f>K58-M58+L58-N58</f>
        <v/>
      </c>
    </row>
    <row r="59">
      <c r="A59" s="2" t="inlineStr">
        <is>
          <t>A51769846</t>
        </is>
      </c>
      <c r="B59" s="4" t="n">
        <v>108.4</v>
      </c>
      <c r="C59" s="3" t="n">
        <v>46011</v>
      </c>
      <c r="D59" s="3" t="n">
        <v>46167</v>
      </c>
      <c r="E59" s="2" t="n">
        <v>53</v>
      </c>
      <c r="F59" s="2" t="n">
        <v>14.51</v>
      </c>
      <c r="G59" s="2" t="n">
        <v>2.99</v>
      </c>
      <c r="H59" s="4" t="n">
        <v>3.24</v>
      </c>
      <c r="I59" s="4" t="n">
        <v>2.32</v>
      </c>
      <c r="J59" s="2" t="n">
        <v>20</v>
      </c>
      <c r="K59" s="4" t="n">
        <v>0.78</v>
      </c>
      <c r="L59" s="4" t="n">
        <v>0.22</v>
      </c>
      <c r="M59" s="4">
        <f>B59*(G59/100)*(J59/100)</f>
        <v/>
      </c>
      <c r="N59" s="4">
        <f>B59*(F59/360/100)*E59*(J59/100)</f>
        <v/>
      </c>
      <c r="O59" s="4">
        <f>K59-M59+L59-N59</f>
        <v/>
      </c>
    </row>
    <row r="60">
      <c r="A60" s="2" t="inlineStr">
        <is>
          <t>B89654455</t>
        </is>
      </c>
      <c r="B60" s="4" t="n">
        <v>313.08</v>
      </c>
      <c r="C60" s="3" t="n">
        <v>45998</v>
      </c>
      <c r="D60" s="3" t="n">
        <v>46025</v>
      </c>
      <c r="E60" s="2" t="n">
        <v>56</v>
      </c>
      <c r="F60" s="2" t="n">
        <v>35.82</v>
      </c>
      <c r="G60" s="2" t="n">
        <v>2.53</v>
      </c>
      <c r="H60" s="4" t="n">
        <v>7.92</v>
      </c>
      <c r="I60" s="4" t="n">
        <v>17.44</v>
      </c>
      <c r="J60" s="2" t="n">
        <v>30</v>
      </c>
      <c r="K60" s="4" t="n">
        <v>2.08</v>
      </c>
      <c r="L60" s="4" t="n">
        <v>4.98</v>
      </c>
      <c r="M60" s="4">
        <f>B60*(G60/100)*(J60/100)</f>
        <v/>
      </c>
      <c r="N60" s="4">
        <f>B60*(F60/360/100)*E60*(J60/100)</f>
        <v/>
      </c>
      <c r="O60" s="4">
        <f>K60-M60+L60-N60</f>
        <v/>
      </c>
    </row>
    <row r="61">
      <c r="A61" s="2" t="inlineStr">
        <is>
          <t>B56764875</t>
        </is>
      </c>
      <c r="B61" s="4" t="n">
        <v>5065.28</v>
      </c>
      <c r="C61" s="3" t="n">
        <v>46008</v>
      </c>
      <c r="D61" s="3" t="n">
        <v>46106</v>
      </c>
      <c r="E61" s="2" t="n">
        <v>67</v>
      </c>
      <c r="F61" s="2" t="n">
        <v>25.52</v>
      </c>
      <c r="G61" s="2" t="n">
        <v>2.13</v>
      </c>
      <c r="H61" s="4" t="n">
        <v>107.89</v>
      </c>
      <c r="I61" s="4" t="n">
        <v>240.58</v>
      </c>
      <c r="J61" s="2" t="n">
        <v>60</v>
      </c>
      <c r="K61" s="4" t="n">
        <v>64.97</v>
      </c>
      <c r="L61" s="4" t="n">
        <v>144.24</v>
      </c>
      <c r="M61" s="4">
        <f>B61*(G61/100)*(J61/100)</f>
        <v/>
      </c>
      <c r="N61" s="4">
        <f>B61*(F61/360/100)*E61*(J61/100)</f>
        <v/>
      </c>
      <c r="O61" s="4">
        <f>K61-M61+L61-N61</f>
        <v/>
      </c>
    </row>
    <row r="62">
      <c r="A62" s="2" t="inlineStr">
        <is>
          <t>B41164557</t>
        </is>
      </c>
      <c r="B62" s="4" t="n">
        <v>607.77</v>
      </c>
      <c r="C62" s="3" t="n">
        <v>46014</v>
      </c>
      <c r="D62" s="3" t="n">
        <v>46128</v>
      </c>
      <c r="E62" s="2" t="n">
        <v>40</v>
      </c>
      <c r="F62" s="2" t="n">
        <v>38.96</v>
      </c>
      <c r="G62" s="2" t="n">
        <v>1.62</v>
      </c>
      <c r="H62" s="4" t="n">
        <v>9.85</v>
      </c>
      <c r="I62" s="4" t="n">
        <v>26.31</v>
      </c>
      <c r="J62" s="2" t="n">
        <v>40</v>
      </c>
      <c r="K62" s="4" t="n">
        <v>3.74</v>
      </c>
      <c r="L62" s="4" t="n">
        <v>10.43</v>
      </c>
      <c r="M62" s="4">
        <f>B62*(G62/100)*(J62/100)</f>
        <v/>
      </c>
      <c r="N62" s="4">
        <f>B62*(F62/360/100)*E62*(J62/100)</f>
        <v/>
      </c>
      <c r="O62" s="4">
        <f>K62-M62+L62-N62</f>
        <v/>
      </c>
    </row>
    <row r="63">
      <c r="A63" s="2" t="inlineStr">
        <is>
          <t>A27111077</t>
        </is>
      </c>
      <c r="B63" s="4" t="n">
        <v>305.66</v>
      </c>
      <c r="C63" s="3" t="n">
        <v>46002</v>
      </c>
      <c r="D63" s="3" t="n">
        <v>46144</v>
      </c>
      <c r="E63" s="2" t="n">
        <v>39</v>
      </c>
      <c r="F63" s="2" t="n">
        <v>41.85</v>
      </c>
      <c r="G63" s="2" t="n">
        <v>2.51</v>
      </c>
      <c r="H63" s="4" t="n">
        <v>7.67</v>
      </c>
      <c r="I63" s="4" t="n">
        <v>13.86</v>
      </c>
      <c r="J63" s="2" t="n">
        <v>70</v>
      </c>
      <c r="K63" s="4" t="n">
        <v>5.08</v>
      </c>
      <c r="L63" s="4" t="n">
        <v>9.51</v>
      </c>
      <c r="M63" s="4">
        <f>B63*(G63/100)*(J63/100)</f>
        <v/>
      </c>
      <c r="N63" s="4">
        <f>B63*(F63/360/100)*E63*(J63/100)</f>
        <v/>
      </c>
      <c r="O63" s="4">
        <f>K63-M63+L63-N63</f>
        <v/>
      </c>
    </row>
    <row r="64">
      <c r="A64" s="2" t="inlineStr">
        <is>
          <t>B81967876</t>
        </is>
      </c>
      <c r="B64" s="4" t="n">
        <v>262.18</v>
      </c>
      <c r="C64" s="3" t="n">
        <v>46019</v>
      </c>
      <c r="D64" s="3" t="n">
        <v>46081</v>
      </c>
      <c r="E64" s="2" t="n">
        <v>65</v>
      </c>
      <c r="F64" s="2" t="n">
        <v>38.83</v>
      </c>
      <c r="G64" s="2" t="n">
        <v>2.25</v>
      </c>
      <c r="H64" s="4" t="n">
        <v>5.9</v>
      </c>
      <c r="I64" s="4" t="n">
        <v>18.38</v>
      </c>
      <c r="J64" s="2" t="n">
        <v>40</v>
      </c>
      <c r="K64" s="4" t="n">
        <v>2.15</v>
      </c>
      <c r="L64" s="4" t="n">
        <v>7.57</v>
      </c>
      <c r="M64" s="4">
        <f>B64*(G64/100)*(J64/100)</f>
        <v/>
      </c>
      <c r="N64" s="4">
        <f>B64*(F64/360/100)*E64*(J64/100)</f>
        <v/>
      </c>
      <c r="O64" s="4">
        <f>K64-M64+L64-N64</f>
        <v/>
      </c>
    </row>
    <row r="65">
      <c r="A65" s="2" t="inlineStr">
        <is>
          <t>A17459958</t>
        </is>
      </c>
      <c r="B65" s="4" t="n">
        <v>494.99</v>
      </c>
      <c r="C65" s="3" t="n">
        <v>45994</v>
      </c>
      <c r="D65" s="3" t="n">
        <v>46069</v>
      </c>
      <c r="E65" s="2" t="n">
        <v>80</v>
      </c>
      <c r="F65" s="2" t="n">
        <v>32.7</v>
      </c>
      <c r="G65" s="2" t="n">
        <v>2.86</v>
      </c>
      <c r="H65" s="4" t="n">
        <v>14.16</v>
      </c>
      <c r="I65" s="4" t="n">
        <v>35.97</v>
      </c>
      <c r="J65" s="2" t="n">
        <v>30</v>
      </c>
      <c r="K65" s="4" t="n">
        <v>3.96</v>
      </c>
      <c r="L65" s="4" t="n">
        <v>10.51</v>
      </c>
      <c r="M65" s="4">
        <f>B65*(G65/100)*(J65/100)</f>
        <v/>
      </c>
      <c r="N65" s="4">
        <f>B65*(F65/360/100)*E65*(J65/100)</f>
        <v/>
      </c>
      <c r="O65" s="4">
        <f>K65-M65+L65-N65</f>
        <v/>
      </c>
    </row>
    <row r="66">
      <c r="A66" s="2" t="inlineStr">
        <is>
          <t>B21485191</t>
        </is>
      </c>
      <c r="B66" s="4" t="n">
        <v>2704.09</v>
      </c>
      <c r="C66" s="3" t="n">
        <v>46010</v>
      </c>
      <c r="D66" s="3" t="n">
        <v>46137</v>
      </c>
      <c r="E66" s="2" t="n">
        <v>17</v>
      </c>
      <c r="F66" s="2" t="n">
        <v>41.98</v>
      </c>
      <c r="G66" s="2" t="n">
        <v>1.62</v>
      </c>
      <c r="H66" s="4" t="n">
        <v>43.81</v>
      </c>
      <c r="I66" s="4" t="n">
        <v>53.61</v>
      </c>
      <c r="J66" s="2" t="n">
        <v>70</v>
      </c>
      <c r="K66" s="4" t="n">
        <v>30.52</v>
      </c>
      <c r="L66" s="4" t="n">
        <v>37.78</v>
      </c>
      <c r="M66" s="4">
        <f>B66*(G66/100)*(J66/100)</f>
        <v/>
      </c>
      <c r="N66" s="4">
        <f>B66*(F66/360/100)*E66*(J66/100)</f>
        <v/>
      </c>
      <c r="O66" s="4">
        <f>K66-M66+L66-N66</f>
        <v/>
      </c>
    </row>
    <row r="67">
      <c r="A67" s="2" t="inlineStr">
        <is>
          <t>A04550291</t>
        </is>
      </c>
      <c r="B67" s="4" t="n">
        <v>499.04</v>
      </c>
      <c r="C67" s="3" t="n">
        <v>46007</v>
      </c>
      <c r="D67" s="3" t="n">
        <v>46113</v>
      </c>
      <c r="E67" s="2" t="n">
        <v>77</v>
      </c>
      <c r="F67" s="2" t="n">
        <v>39.74</v>
      </c>
      <c r="G67" s="2" t="n">
        <v>2.73</v>
      </c>
      <c r="H67" s="4" t="n">
        <v>13.62</v>
      </c>
      <c r="I67" s="4" t="n">
        <v>42.42</v>
      </c>
      <c r="J67" s="2" t="n">
        <v>70</v>
      </c>
      <c r="K67" s="4" t="n">
        <v>9.779999999999999</v>
      </c>
      <c r="L67" s="4" t="n">
        <v>29.66</v>
      </c>
      <c r="M67" s="4">
        <f>B67*(G67/100)*(J67/100)</f>
        <v/>
      </c>
      <c r="N67" s="4">
        <f>B67*(F67/360/100)*E67*(J67/100)</f>
        <v/>
      </c>
      <c r="O67" s="4">
        <f>K67-M67+L67-N67</f>
        <v/>
      </c>
    </row>
    <row r="68">
      <c r="A68" s="2" t="inlineStr">
        <is>
          <t>B73452158</t>
        </is>
      </c>
      <c r="B68" s="4" t="n">
        <v>9585.67</v>
      </c>
      <c r="C68" s="3" t="n">
        <v>46001</v>
      </c>
      <c r="D68" s="3" t="n">
        <v>46050</v>
      </c>
      <c r="E68" s="2" t="n">
        <v>45</v>
      </c>
      <c r="F68" s="2" t="n">
        <v>41.86</v>
      </c>
      <c r="G68" s="2" t="n">
        <v>2.07</v>
      </c>
      <c r="H68" s="4" t="n">
        <v>198.42</v>
      </c>
      <c r="I68" s="4" t="n">
        <v>501.57</v>
      </c>
      <c r="J68" s="2" t="n">
        <v>40</v>
      </c>
      <c r="K68" s="4" t="n">
        <v>79.39</v>
      </c>
      <c r="L68" s="4" t="n">
        <v>200.53</v>
      </c>
      <c r="M68" s="4">
        <f>B68*(G68/100)*(J68/100)</f>
        <v/>
      </c>
      <c r="N68" s="4">
        <f>B68*(F68/360/100)*E68*(J68/100)</f>
        <v/>
      </c>
      <c r="O68" s="4">
        <f>K68-M68+L68-N68</f>
        <v/>
      </c>
    </row>
    <row r="69">
      <c r="A69" s="2" t="inlineStr">
        <is>
          <t>B63033707</t>
        </is>
      </c>
      <c r="B69" s="4" t="n">
        <v>852.5700000000001</v>
      </c>
      <c r="C69" s="3" t="n">
        <v>45998</v>
      </c>
      <c r="D69" s="3" t="n">
        <v>46091</v>
      </c>
      <c r="E69" s="2" t="n">
        <v>45</v>
      </c>
      <c r="F69" s="2" t="n">
        <v>32.49</v>
      </c>
      <c r="G69" s="2" t="n">
        <v>2.2</v>
      </c>
      <c r="H69" s="4" t="n">
        <v>18.76</v>
      </c>
      <c r="I69" s="4" t="n">
        <v>34.62</v>
      </c>
      <c r="J69" s="2" t="n">
        <v>20</v>
      </c>
      <c r="K69" s="4" t="n">
        <v>3.51</v>
      </c>
      <c r="L69" s="4" t="n">
        <v>7.05</v>
      </c>
      <c r="M69" s="4">
        <f>B69*(G69/100)*(J69/100)</f>
        <v/>
      </c>
      <c r="N69" s="4">
        <f>B69*(F69/360/100)*E69*(J69/100)</f>
        <v/>
      </c>
      <c r="O69" s="4">
        <f>K69-M69+L69-N69</f>
        <v/>
      </c>
    </row>
    <row r="70">
      <c r="A70" s="2" t="inlineStr">
        <is>
          <t>B50281288</t>
        </is>
      </c>
      <c r="B70" s="4" t="n">
        <v>862.4400000000001</v>
      </c>
      <c r="C70" s="3" t="n">
        <v>46012</v>
      </c>
      <c r="D70" s="3" t="n">
        <v>46049</v>
      </c>
      <c r="E70" s="2" t="n">
        <v>27</v>
      </c>
      <c r="F70" s="2" t="n">
        <v>44.33</v>
      </c>
      <c r="G70" s="2" t="n">
        <v>2.59</v>
      </c>
      <c r="H70" s="4" t="n">
        <v>22.34</v>
      </c>
      <c r="I70" s="4" t="n">
        <v>28.67</v>
      </c>
      <c r="J70" s="2" t="n">
        <v>20</v>
      </c>
      <c r="K70" s="4" t="n">
        <v>4.41</v>
      </c>
      <c r="L70" s="4" t="n">
        <v>5.45</v>
      </c>
      <c r="M70" s="4">
        <f>B70*(G70/100)*(J70/100)</f>
        <v/>
      </c>
      <c r="N70" s="4">
        <f>B70*(F70/360/100)*E70*(J70/100)</f>
        <v/>
      </c>
      <c r="O70" s="4">
        <f>K70-M70+L70-N70</f>
        <v/>
      </c>
    </row>
    <row r="71">
      <c r="A71" s="2" t="inlineStr">
        <is>
          <t>A03854874</t>
        </is>
      </c>
      <c r="B71" s="4" t="n">
        <v>990.13</v>
      </c>
      <c r="C71" s="3" t="n">
        <v>46009</v>
      </c>
      <c r="D71" s="3" t="n">
        <v>46169</v>
      </c>
      <c r="E71" s="2" t="n">
        <v>80</v>
      </c>
      <c r="F71" s="2" t="n">
        <v>36.64</v>
      </c>
      <c r="G71" s="2" t="n">
        <v>2.32</v>
      </c>
      <c r="H71" s="4" t="n">
        <v>22.97</v>
      </c>
      <c r="I71" s="4" t="n">
        <v>80.62</v>
      </c>
      <c r="J71" s="2" t="n">
        <v>60</v>
      </c>
      <c r="K71" s="4" t="n">
        <v>13.55</v>
      </c>
      <c r="L71" s="4" t="n">
        <v>48.51</v>
      </c>
      <c r="M71" s="4">
        <f>B71*(G71/100)*(J71/100)</f>
        <v/>
      </c>
      <c r="N71" s="4">
        <f>B71*(F71/360/100)*E71*(J71/100)</f>
        <v/>
      </c>
      <c r="O71" s="4">
        <f>K71-M71+L71-N71</f>
        <v/>
      </c>
    </row>
    <row r="72">
      <c r="A72" s="2" t="inlineStr">
        <is>
          <t>B44621054</t>
        </is>
      </c>
      <c r="B72" s="4" t="n">
        <v>904.67</v>
      </c>
      <c r="C72" s="3" t="n">
        <v>46004</v>
      </c>
      <c r="D72" s="3" t="n">
        <v>46071</v>
      </c>
      <c r="E72" s="2" t="n">
        <v>24</v>
      </c>
      <c r="F72" s="2" t="n">
        <v>33.26</v>
      </c>
      <c r="G72" s="2" t="n">
        <v>2.29</v>
      </c>
      <c r="H72" s="4" t="n">
        <v>20.72</v>
      </c>
      <c r="I72" s="4" t="n">
        <v>20.06</v>
      </c>
      <c r="J72" s="2" t="n">
        <v>60</v>
      </c>
      <c r="K72" s="4" t="n">
        <v>12.57</v>
      </c>
      <c r="L72" s="4" t="n">
        <v>12.33</v>
      </c>
      <c r="M72" s="4">
        <f>B72*(G72/100)*(J72/100)</f>
        <v/>
      </c>
      <c r="N72" s="4">
        <f>B72*(F72/360/100)*E72*(J72/100)</f>
        <v/>
      </c>
      <c r="O72" s="4">
        <f>K72-M72+L72-N72</f>
        <v/>
      </c>
    </row>
    <row r="73">
      <c r="A73" s="2" t="inlineStr">
        <is>
          <t>A32697893</t>
        </is>
      </c>
      <c r="B73" s="4" t="n">
        <v>661.58</v>
      </c>
      <c r="C73" s="3" t="n">
        <v>45997</v>
      </c>
      <c r="D73" s="3" t="n">
        <v>46106</v>
      </c>
      <c r="E73" s="2" t="n">
        <v>64</v>
      </c>
      <c r="F73" s="2" t="n">
        <v>32.83</v>
      </c>
      <c r="G73" s="2" t="n">
        <v>1.94</v>
      </c>
      <c r="H73" s="4" t="n">
        <v>12.83</v>
      </c>
      <c r="I73" s="4" t="n">
        <v>38.61</v>
      </c>
      <c r="J73" s="2" t="n">
        <v>60</v>
      </c>
      <c r="K73" s="4" t="n">
        <v>7.63</v>
      </c>
      <c r="L73" s="4" t="n">
        <v>23.08</v>
      </c>
      <c r="M73" s="4">
        <f>B73*(G73/100)*(J73/100)</f>
        <v/>
      </c>
      <c r="N73" s="4">
        <f>B73*(F73/360/100)*E73*(J73/100)</f>
        <v/>
      </c>
      <c r="O73" s="4">
        <f>K73-M73+L73-N73</f>
        <v/>
      </c>
    </row>
    <row r="74">
      <c r="A74" s="2" t="inlineStr">
        <is>
          <t>A67910065</t>
        </is>
      </c>
      <c r="B74" s="4" t="n">
        <v>1208.38</v>
      </c>
      <c r="C74" s="3" t="n">
        <v>46004</v>
      </c>
      <c r="D74" s="3" t="n">
        <v>46059</v>
      </c>
      <c r="E74" s="2" t="n">
        <v>15</v>
      </c>
      <c r="F74" s="2" t="n">
        <v>37.09</v>
      </c>
      <c r="G74" s="2" t="n">
        <v>1.07</v>
      </c>
      <c r="H74" s="4" t="n">
        <v>12.93</v>
      </c>
      <c r="I74" s="4" t="n">
        <v>18.67</v>
      </c>
      <c r="J74" s="2" t="n">
        <v>70</v>
      </c>
      <c r="K74" s="4" t="n">
        <v>9.31</v>
      </c>
      <c r="L74" s="4" t="n">
        <v>12.89</v>
      </c>
      <c r="M74" s="4">
        <f>B74*(G74/100)*(J74/100)</f>
        <v/>
      </c>
      <c r="N74" s="4">
        <f>B74*(F74/360/100)*E74*(J74/100)</f>
        <v/>
      </c>
      <c r="O74" s="4">
        <f>K74-M74+L74-N74</f>
        <v/>
      </c>
    </row>
    <row r="75">
      <c r="A75" s="2" t="inlineStr">
        <is>
          <t>A40781447</t>
        </is>
      </c>
      <c r="B75" s="4" t="n">
        <v>822.4299999999999</v>
      </c>
      <c r="C75" s="3" t="n">
        <v>46011</v>
      </c>
      <c r="D75" s="3" t="n">
        <v>46091</v>
      </c>
      <c r="E75" s="2" t="n">
        <v>90</v>
      </c>
      <c r="F75" s="2" t="n">
        <v>42.75</v>
      </c>
      <c r="G75" s="2" t="n">
        <v>1.96</v>
      </c>
      <c r="H75" s="4" t="n">
        <v>16.12</v>
      </c>
      <c r="I75" s="4" t="n">
        <v>87.90000000000001</v>
      </c>
      <c r="J75" s="2" t="n">
        <v>70</v>
      </c>
      <c r="K75" s="4" t="n">
        <v>11.44</v>
      </c>
      <c r="L75" s="4" t="n">
        <v>61.48</v>
      </c>
      <c r="M75" s="4">
        <f>B75*(G75/100)*(J75/100)</f>
        <v/>
      </c>
      <c r="N75" s="4">
        <f>B75*(F75/360/100)*E75*(J75/100)</f>
        <v/>
      </c>
      <c r="O75" s="4">
        <f>K75-M75+L75-N75</f>
        <v/>
      </c>
    </row>
    <row r="76">
      <c r="A76" s="2" t="inlineStr">
        <is>
          <t>A76206578</t>
        </is>
      </c>
      <c r="B76" s="4" t="n">
        <v>134.69</v>
      </c>
      <c r="C76" s="3" t="n">
        <v>46013</v>
      </c>
      <c r="D76" s="3" t="n">
        <v>46087</v>
      </c>
      <c r="E76" s="2" t="n">
        <v>19</v>
      </c>
      <c r="F76" s="2" t="n">
        <v>11.99</v>
      </c>
      <c r="G76" s="2" t="n">
        <v>1.99</v>
      </c>
      <c r="H76" s="4" t="n">
        <v>2.68</v>
      </c>
      <c r="I76" s="4" t="n">
        <v>0.85</v>
      </c>
      <c r="J76" s="2" t="n">
        <v>20</v>
      </c>
      <c r="K76" s="4" t="n">
        <v>0.4</v>
      </c>
      <c r="L76" s="4" t="n">
        <v>-0</v>
      </c>
      <c r="M76" s="4">
        <f>B76*(G76/100)*(J76/100)</f>
        <v/>
      </c>
      <c r="N76" s="4">
        <f>B76*(F76/360/100)*E76*(J76/100)</f>
        <v/>
      </c>
      <c r="O76" s="4">
        <f>K76-M76+L76-N76</f>
        <v/>
      </c>
    </row>
    <row r="77">
      <c r="A77" s="2" t="inlineStr">
        <is>
          <t>A59487122</t>
        </is>
      </c>
      <c r="B77" s="4" t="n">
        <v>286.85</v>
      </c>
      <c r="C77" s="3" t="n">
        <v>46019</v>
      </c>
      <c r="D77" s="3" t="n">
        <v>46145</v>
      </c>
      <c r="E77" s="2" t="n">
        <v>39</v>
      </c>
      <c r="F77" s="2" t="n">
        <v>36.12</v>
      </c>
      <c r="G77" s="2" t="n">
        <v>2.63</v>
      </c>
      <c r="H77" s="4" t="n">
        <v>7.54</v>
      </c>
      <c r="I77" s="4" t="n">
        <v>11.22</v>
      </c>
      <c r="J77" s="2" t="n">
        <v>20</v>
      </c>
      <c r="K77" s="4" t="n">
        <v>1.73</v>
      </c>
      <c r="L77" s="4" t="n">
        <v>2.4</v>
      </c>
      <c r="M77" s="4">
        <f>B77*(G77/100)*(J77/100)</f>
        <v/>
      </c>
      <c r="N77" s="4">
        <f>B77*(F77/360/100)*E77*(J77/100)</f>
        <v/>
      </c>
      <c r="O77" s="4">
        <f>K77-M77+L77-N77</f>
        <v/>
      </c>
    </row>
    <row r="78">
      <c r="A78" s="2" t="inlineStr">
        <is>
          <t>A45029721</t>
        </is>
      </c>
      <c r="B78" s="4" t="n">
        <v>6076.25</v>
      </c>
      <c r="C78" s="3" t="n">
        <v>45996</v>
      </c>
      <c r="D78" s="3" t="n">
        <v>46159</v>
      </c>
      <c r="E78" s="2" t="n">
        <v>49</v>
      </c>
      <c r="F78" s="2" t="n">
        <v>13.98</v>
      </c>
      <c r="G78" s="2" t="n">
        <v>0.92</v>
      </c>
      <c r="H78" s="4" t="n">
        <v>55.9</v>
      </c>
      <c r="I78" s="4" t="n">
        <v>115.62</v>
      </c>
      <c r="J78" s="2" t="n">
        <v>60</v>
      </c>
      <c r="K78" s="4" t="n">
        <v>33.26</v>
      </c>
      <c r="L78" s="4" t="n">
        <v>69.31</v>
      </c>
      <c r="M78" s="4">
        <f>B78*(G78/100)*(J78/100)</f>
        <v/>
      </c>
      <c r="N78" s="4">
        <f>B78*(F78/360/100)*E78*(J78/100)</f>
        <v/>
      </c>
      <c r="O78" s="4">
        <f>K78-M78+L78-N78</f>
        <v/>
      </c>
    </row>
    <row r="79">
      <c r="A79" s="2" t="inlineStr">
        <is>
          <t>A17459958</t>
        </is>
      </c>
      <c r="B79" s="4" t="n">
        <v>291.19</v>
      </c>
      <c r="C79" s="3" t="n">
        <v>46012</v>
      </c>
      <c r="D79" s="3" t="n">
        <v>46066</v>
      </c>
      <c r="E79" s="2" t="n">
        <v>23</v>
      </c>
      <c r="F79" s="2" t="n">
        <v>12.51</v>
      </c>
      <c r="G79" s="2" t="n">
        <v>1.63</v>
      </c>
      <c r="H79" s="4" t="n">
        <v>4.75</v>
      </c>
      <c r="I79" s="4" t="n">
        <v>2.33</v>
      </c>
      <c r="J79" s="2" t="n">
        <v>50</v>
      </c>
      <c r="K79" s="4" t="n">
        <v>2.21</v>
      </c>
      <c r="L79" s="4" t="n">
        <v>1.31</v>
      </c>
      <c r="M79" s="4">
        <f>B79*(G79/100)*(J79/100)</f>
        <v/>
      </c>
      <c r="N79" s="4">
        <f>B79*(F79/360/100)*E79*(J79/100)</f>
        <v/>
      </c>
      <c r="O79" s="4">
        <f>K79-M79+L79-N79</f>
        <v/>
      </c>
    </row>
    <row r="80">
      <c r="A80" s="2" t="inlineStr">
        <is>
          <t>B09636380</t>
        </is>
      </c>
      <c r="B80" s="4" t="n">
        <v>599.39</v>
      </c>
      <c r="C80" s="3" t="n">
        <v>45993</v>
      </c>
      <c r="D80" s="3" t="n">
        <v>46048</v>
      </c>
      <c r="E80" s="2" t="n">
        <v>55</v>
      </c>
      <c r="F80" s="2" t="n">
        <v>33.11</v>
      </c>
      <c r="G80" s="2" t="n">
        <v>1.87</v>
      </c>
      <c r="H80" s="4" t="n">
        <v>11.21</v>
      </c>
      <c r="I80" s="4" t="n">
        <v>30.32</v>
      </c>
      <c r="J80" s="2" t="n">
        <v>70</v>
      </c>
      <c r="K80" s="4" t="n">
        <v>7.65</v>
      </c>
      <c r="L80" s="4" t="n">
        <v>21.42</v>
      </c>
      <c r="M80" s="4">
        <f>B80*(G80/100)*(J80/100)</f>
        <v/>
      </c>
      <c r="N80" s="4">
        <f>B80*(F80/360/100)*E80*(J80/100)</f>
        <v/>
      </c>
      <c r="O80" s="4">
        <f>K80-M80+L80-N80</f>
        <v/>
      </c>
    </row>
    <row r="81">
      <c r="A81" s="2" t="inlineStr">
        <is>
          <t>B65585843</t>
        </is>
      </c>
      <c r="B81" s="4" t="n">
        <v>341.13</v>
      </c>
      <c r="C81" s="3" t="n">
        <v>45996</v>
      </c>
      <c r="D81" s="3" t="n">
        <v>46128</v>
      </c>
      <c r="E81" s="2" t="n">
        <v>75</v>
      </c>
      <c r="F81" s="2" t="n">
        <v>34.61</v>
      </c>
      <c r="G81" s="2" t="n">
        <v>1.44</v>
      </c>
      <c r="H81" s="4" t="n">
        <v>4.91</v>
      </c>
      <c r="I81" s="4" t="n">
        <v>24.6</v>
      </c>
      <c r="J81" s="2" t="n">
        <v>20</v>
      </c>
      <c r="K81" s="4" t="n">
        <v>0.78</v>
      </c>
      <c r="L81" s="4" t="n">
        <v>4.71</v>
      </c>
      <c r="M81" s="4">
        <f>B81*(G81/100)*(J81/100)</f>
        <v/>
      </c>
      <c r="N81" s="4">
        <f>B81*(F81/360/100)*E81*(J81/100)</f>
        <v/>
      </c>
      <c r="O81" s="4">
        <f>K81-M81+L81-N81</f>
        <v/>
      </c>
    </row>
    <row r="82">
      <c r="A82" s="2" t="inlineStr">
        <is>
          <t>B90990735</t>
        </is>
      </c>
      <c r="B82" s="4" t="n">
        <v>191.54</v>
      </c>
      <c r="C82" s="3" t="n">
        <v>46013</v>
      </c>
      <c r="D82" s="3" t="n">
        <v>46099</v>
      </c>
      <c r="E82" s="2" t="n">
        <v>37</v>
      </c>
      <c r="F82" s="2" t="n">
        <v>15.26</v>
      </c>
      <c r="G82" s="2" t="n">
        <v>2.91</v>
      </c>
      <c r="H82" s="4" t="n">
        <v>5.57</v>
      </c>
      <c r="I82" s="4" t="n">
        <v>3</v>
      </c>
      <c r="J82" s="2" t="n">
        <v>50</v>
      </c>
      <c r="K82" s="4" t="n">
        <v>3.06</v>
      </c>
      <c r="L82" s="4" t="n">
        <v>1.33</v>
      </c>
      <c r="M82" s="4">
        <f>B82*(G82/100)*(J82/100)</f>
        <v/>
      </c>
      <c r="N82" s="4">
        <f>B82*(F82/360/100)*E82*(J82/100)</f>
        <v/>
      </c>
      <c r="O82" s="4">
        <f>K82-M82+L82-N82</f>
        <v/>
      </c>
    </row>
    <row r="83">
      <c r="A83" s="2" t="inlineStr">
        <is>
          <t>A07188920</t>
        </is>
      </c>
      <c r="B83" s="4" t="n">
        <v>546.51</v>
      </c>
      <c r="C83" s="3" t="n">
        <v>46008</v>
      </c>
      <c r="D83" s="3" t="n">
        <v>46193</v>
      </c>
      <c r="E83" s="2" t="n">
        <v>25</v>
      </c>
      <c r="F83" s="2" t="n">
        <v>13.12</v>
      </c>
      <c r="G83" s="2" t="n">
        <v>1.56</v>
      </c>
      <c r="H83" s="4" t="n">
        <v>8.529999999999999</v>
      </c>
      <c r="I83" s="4" t="n">
        <v>4.98</v>
      </c>
      <c r="J83" s="2" t="n">
        <v>70</v>
      </c>
      <c r="K83" s="4" t="n">
        <v>5.74</v>
      </c>
      <c r="L83" s="4" t="n">
        <v>3.47</v>
      </c>
      <c r="M83" s="4">
        <f>B83*(G83/100)*(J83/100)</f>
        <v/>
      </c>
      <c r="N83" s="4">
        <f>B83*(F83/360/100)*E83*(J83/100)</f>
        <v/>
      </c>
      <c r="O83" s="4">
        <f>K83-M83+L83-N83</f>
        <v/>
      </c>
    </row>
    <row r="84">
      <c r="A84" s="2" t="inlineStr">
        <is>
          <t>A97519892</t>
        </is>
      </c>
      <c r="B84" s="4" t="n">
        <v>308.99</v>
      </c>
      <c r="C84" s="3" t="n">
        <v>45996</v>
      </c>
      <c r="D84" s="3" t="n">
        <v>46024</v>
      </c>
      <c r="E84" s="2" t="n">
        <v>50</v>
      </c>
      <c r="F84" s="2" t="n">
        <v>18.35</v>
      </c>
      <c r="G84" s="2" t="n">
        <v>2.32</v>
      </c>
      <c r="H84" s="4" t="n">
        <v>7.17</v>
      </c>
      <c r="I84" s="4" t="n">
        <v>7.87</v>
      </c>
      <c r="J84" s="2" t="n">
        <v>20</v>
      </c>
      <c r="K84" s="4" t="n">
        <v>1.3</v>
      </c>
      <c r="L84" s="4" t="n">
        <v>1.32</v>
      </c>
      <c r="M84" s="4">
        <f>B84*(G84/100)*(J84/100)</f>
        <v/>
      </c>
      <c r="N84" s="4">
        <f>B84*(F84/360/100)*E84*(J84/100)</f>
        <v/>
      </c>
      <c r="O84" s="4">
        <f>K84-M84+L84-N84</f>
        <v/>
      </c>
    </row>
    <row r="85">
      <c r="A85" s="2" t="inlineStr">
        <is>
          <t>A89762365</t>
        </is>
      </c>
      <c r="B85" s="4" t="n">
        <v>1639.18</v>
      </c>
      <c r="C85" s="3" t="n">
        <v>45992</v>
      </c>
      <c r="D85" s="3" t="n">
        <v>46133</v>
      </c>
      <c r="E85" s="2" t="n">
        <v>26</v>
      </c>
      <c r="F85" s="2" t="n">
        <v>42.55</v>
      </c>
      <c r="G85" s="2" t="n">
        <v>0.93</v>
      </c>
      <c r="H85" s="4" t="n">
        <v>15.24</v>
      </c>
      <c r="I85" s="4" t="n">
        <v>50.37</v>
      </c>
      <c r="J85" s="2" t="n">
        <v>30</v>
      </c>
      <c r="K85" s="4" t="n">
        <v>4.61</v>
      </c>
      <c r="L85" s="4" t="n">
        <v>14.95</v>
      </c>
      <c r="M85" s="4">
        <f>B85*(G85/100)*(J85/100)</f>
        <v/>
      </c>
      <c r="N85" s="4">
        <f>B85*(F85/360/100)*E85*(J85/100)</f>
        <v/>
      </c>
      <c r="O85" s="4">
        <f>K85-M85+L85-N85</f>
        <v/>
      </c>
    </row>
    <row r="86">
      <c r="A86" s="2" t="inlineStr">
        <is>
          <t>A70814947</t>
        </is>
      </c>
      <c r="B86" s="4" t="n">
        <v>193.52</v>
      </c>
      <c r="C86" s="3" t="n">
        <v>46007</v>
      </c>
      <c r="D86" s="3" t="n">
        <v>46061</v>
      </c>
      <c r="E86" s="2" t="n">
        <v>40</v>
      </c>
      <c r="F86" s="2" t="n">
        <v>13.21</v>
      </c>
      <c r="G86" s="2" t="n">
        <v>2</v>
      </c>
      <c r="H86" s="4" t="n">
        <v>3.87</v>
      </c>
      <c r="I86" s="4" t="n">
        <v>2.84</v>
      </c>
      <c r="J86" s="2" t="n">
        <v>20</v>
      </c>
      <c r="K86" s="4" t="n">
        <v>0.85</v>
      </c>
      <c r="L86" s="4" t="n">
        <v>0.38</v>
      </c>
      <c r="M86" s="4">
        <f>B86*(G86/100)*(J86/100)</f>
        <v/>
      </c>
      <c r="N86" s="4">
        <f>B86*(F86/360/100)*E86*(J86/100)</f>
        <v/>
      </c>
      <c r="O86" s="4">
        <f>K86-M86+L86-N86</f>
        <v/>
      </c>
    </row>
    <row r="87">
      <c r="A87" s="2" t="inlineStr">
        <is>
          <t>B96119778</t>
        </is>
      </c>
      <c r="B87" s="4" t="n">
        <v>194.82</v>
      </c>
      <c r="C87" s="3" t="n">
        <v>46019</v>
      </c>
      <c r="D87" s="3" t="n">
        <v>46090</v>
      </c>
      <c r="E87" s="2" t="n">
        <v>11</v>
      </c>
      <c r="F87" s="2" t="n">
        <v>39.07</v>
      </c>
      <c r="G87" s="2" t="n">
        <v>1.8</v>
      </c>
      <c r="H87" s="4" t="n">
        <v>3.51</v>
      </c>
      <c r="I87" s="4" t="n">
        <v>2.33</v>
      </c>
      <c r="J87" s="2" t="n">
        <v>70</v>
      </c>
      <c r="K87" s="4" t="n">
        <v>2.23</v>
      </c>
      <c r="L87" s="4" t="n">
        <v>1.42</v>
      </c>
      <c r="M87" s="4">
        <f>B87*(G87/100)*(J87/100)</f>
        <v/>
      </c>
      <c r="N87" s="4">
        <f>B87*(F87/360/100)*E87*(J87/100)</f>
        <v/>
      </c>
      <c r="O87" s="4">
        <f>K87-M87+L87-N87</f>
        <v/>
      </c>
    </row>
    <row r="88">
      <c r="A88" s="2" t="inlineStr">
        <is>
          <t>B12464643</t>
        </is>
      </c>
      <c r="B88" s="4" t="n">
        <v>8223.219999999999</v>
      </c>
      <c r="C88" s="3" t="n">
        <v>45993</v>
      </c>
      <c r="D88" s="3" t="n">
        <v>46114</v>
      </c>
      <c r="E88" s="2" t="n">
        <v>33</v>
      </c>
      <c r="F88" s="2" t="n">
        <v>19.25</v>
      </c>
      <c r="G88" s="2" t="n">
        <v>1.82</v>
      </c>
      <c r="H88" s="4" t="n">
        <v>149.66</v>
      </c>
      <c r="I88" s="4" t="n">
        <v>145.11</v>
      </c>
      <c r="J88" s="2" t="n">
        <v>70</v>
      </c>
      <c r="K88" s="4" t="n">
        <v>104.89</v>
      </c>
      <c r="L88" s="4" t="n">
        <v>101.47</v>
      </c>
      <c r="M88" s="4">
        <f>B88*(G88/100)*(J88/100)</f>
        <v/>
      </c>
      <c r="N88" s="4">
        <f>B88*(F88/360/100)*E88*(J88/100)</f>
        <v/>
      </c>
      <c r="O88" s="4">
        <f>K88-M88+L88-N88</f>
        <v/>
      </c>
    </row>
    <row r="89">
      <c r="A89" s="2" t="inlineStr">
        <is>
          <t>A31504857</t>
        </is>
      </c>
      <c r="B89" s="4" t="n">
        <v>9015.77</v>
      </c>
      <c r="C89" s="3" t="n">
        <v>46010</v>
      </c>
      <c r="D89" s="3" t="n">
        <v>46114</v>
      </c>
      <c r="E89" s="2" t="n">
        <v>52</v>
      </c>
      <c r="F89" s="2" t="n">
        <v>45.13</v>
      </c>
      <c r="G89" s="2" t="n">
        <v>0.52</v>
      </c>
      <c r="H89" s="4" t="n">
        <v>46.88</v>
      </c>
      <c r="I89" s="4" t="n">
        <v>587.72</v>
      </c>
      <c r="J89" s="2" t="n">
        <v>40</v>
      </c>
      <c r="K89" s="4" t="n">
        <v>18.62</v>
      </c>
      <c r="L89" s="4" t="n">
        <v>234.83</v>
      </c>
      <c r="M89" s="4">
        <f>B89*(G89/100)*(J89/100)</f>
        <v/>
      </c>
      <c r="N89" s="4">
        <f>B89*(F89/360/100)*E89*(J89/100)</f>
        <v/>
      </c>
      <c r="O89" s="4">
        <f>K89-M89+L89-N89</f>
        <v/>
      </c>
    </row>
    <row r="90">
      <c r="A90" s="2" t="inlineStr">
        <is>
          <t>B60803962</t>
        </is>
      </c>
      <c r="B90" s="4" t="n">
        <v>414.73</v>
      </c>
      <c r="C90" s="3" t="n">
        <v>46011</v>
      </c>
      <c r="D90" s="3" t="n">
        <v>46174</v>
      </c>
      <c r="E90" s="2" t="n">
        <v>43</v>
      </c>
      <c r="F90" s="2" t="n">
        <v>46.08</v>
      </c>
      <c r="G90" s="2" t="n">
        <v>1.29</v>
      </c>
      <c r="H90" s="4" t="n">
        <v>5.35</v>
      </c>
      <c r="I90" s="4" t="n">
        <v>22.83</v>
      </c>
      <c r="J90" s="2" t="n">
        <v>40</v>
      </c>
      <c r="K90" s="4" t="n">
        <v>2.18</v>
      </c>
      <c r="L90" s="4" t="n">
        <v>9.279999999999999</v>
      </c>
      <c r="M90" s="4">
        <f>B90*(G90/100)*(J90/100)</f>
        <v/>
      </c>
      <c r="N90" s="4">
        <f>B90*(F90/360/100)*E90*(J90/100)</f>
        <v/>
      </c>
      <c r="O90" s="4">
        <f>K90-M90+L90-N90</f>
        <v/>
      </c>
    </row>
    <row r="91">
      <c r="A91" s="2" t="inlineStr">
        <is>
          <t>B07314170</t>
        </is>
      </c>
      <c r="B91" s="4" t="n">
        <v>441.36</v>
      </c>
      <c r="C91" s="3" t="n">
        <v>46005</v>
      </c>
      <c r="D91" s="3" t="n">
        <v>46147</v>
      </c>
      <c r="E91" s="2" t="n">
        <v>30</v>
      </c>
      <c r="F91" s="2" t="n">
        <v>37.73</v>
      </c>
      <c r="G91" s="2" t="n">
        <v>0.91</v>
      </c>
      <c r="H91" s="4" t="n">
        <v>4.02</v>
      </c>
      <c r="I91" s="4" t="n">
        <v>13.88</v>
      </c>
      <c r="J91" s="2" t="n">
        <v>40</v>
      </c>
      <c r="K91" s="4" t="n">
        <v>1.45</v>
      </c>
      <c r="L91" s="4" t="n">
        <v>5.41</v>
      </c>
      <c r="M91" s="4">
        <f>B91*(G91/100)*(J91/100)</f>
        <v/>
      </c>
      <c r="N91" s="4">
        <f>B91*(F91/360/100)*E91*(J91/100)</f>
        <v/>
      </c>
      <c r="O91" s="4">
        <f>K91-M91+L91-N91</f>
        <v/>
      </c>
    </row>
    <row r="92">
      <c r="A92" s="2" t="inlineStr">
        <is>
          <t>B06573501</t>
        </is>
      </c>
      <c r="B92" s="4" t="n">
        <v>9108.950000000001</v>
      </c>
      <c r="C92" s="3" t="n">
        <v>45996</v>
      </c>
      <c r="D92" s="3" t="n">
        <v>46100</v>
      </c>
      <c r="E92" s="2" t="n">
        <v>84</v>
      </c>
      <c r="F92" s="2" t="n">
        <v>16.03</v>
      </c>
      <c r="G92" s="2" t="n">
        <v>1.33</v>
      </c>
      <c r="H92" s="4" t="n">
        <v>121.15</v>
      </c>
      <c r="I92" s="4" t="n">
        <v>340.71</v>
      </c>
      <c r="J92" s="2" t="n">
        <v>20</v>
      </c>
      <c r="K92" s="4" t="n">
        <v>24.46</v>
      </c>
      <c r="L92" s="4" t="n">
        <v>68.06</v>
      </c>
      <c r="M92" s="4">
        <f>B92*(G92/100)*(J92/100)</f>
        <v/>
      </c>
      <c r="N92" s="4">
        <f>B92*(F92/360/100)*E92*(J92/100)</f>
        <v/>
      </c>
      <c r="O92" s="4">
        <f>K92-M92+L92-N92</f>
        <v/>
      </c>
    </row>
    <row r="93">
      <c r="A93" s="2" t="inlineStr">
        <is>
          <t>A98121364</t>
        </is>
      </c>
      <c r="B93" s="4" t="n">
        <v>596.4</v>
      </c>
      <c r="C93" s="3" t="n">
        <v>45994</v>
      </c>
      <c r="D93" s="3" t="n">
        <v>46123</v>
      </c>
      <c r="E93" s="2" t="n">
        <v>74</v>
      </c>
      <c r="F93" s="2" t="n">
        <v>34.33</v>
      </c>
      <c r="G93" s="2" t="n">
        <v>2.06</v>
      </c>
      <c r="H93" s="4" t="n">
        <v>12.29</v>
      </c>
      <c r="I93" s="4" t="n">
        <v>42.09</v>
      </c>
      <c r="J93" s="2" t="n">
        <v>40</v>
      </c>
      <c r="K93" s="4" t="n">
        <v>4.77</v>
      </c>
      <c r="L93" s="4" t="n">
        <v>16.93</v>
      </c>
      <c r="M93" s="4">
        <f>B93*(G93/100)*(J93/100)</f>
        <v/>
      </c>
      <c r="N93" s="4">
        <f>B93*(F93/360/100)*E93*(J93/100)</f>
        <v/>
      </c>
      <c r="O93" s="4">
        <f>K93-M93+L93-N93</f>
        <v/>
      </c>
    </row>
    <row r="94">
      <c r="A94" s="2" t="inlineStr">
        <is>
          <t>A40684521</t>
        </is>
      </c>
      <c r="B94" s="4" t="n">
        <v>9726.700000000001</v>
      </c>
      <c r="C94" s="3" t="n">
        <v>46003</v>
      </c>
      <c r="D94" s="3" t="n">
        <v>46201</v>
      </c>
      <c r="E94" s="2" t="n">
        <v>60</v>
      </c>
      <c r="F94" s="2" t="n">
        <v>25.58</v>
      </c>
      <c r="G94" s="2" t="n">
        <v>1.62</v>
      </c>
      <c r="H94" s="4" t="n">
        <v>157.57</v>
      </c>
      <c r="I94" s="4" t="n">
        <v>414.68</v>
      </c>
      <c r="J94" s="2" t="n">
        <v>20</v>
      </c>
      <c r="K94" s="4" t="n">
        <v>31.67</v>
      </c>
      <c r="L94" s="4" t="n">
        <v>82.66</v>
      </c>
      <c r="M94" s="4">
        <f>B94*(G94/100)*(J94/100)</f>
        <v/>
      </c>
      <c r="N94" s="4">
        <f>B94*(F94/360/100)*E94*(J94/100)</f>
        <v/>
      </c>
      <c r="O94" s="4">
        <f>K94-M94+L94-N94</f>
        <v/>
      </c>
    </row>
    <row r="95">
      <c r="A95" s="2" t="inlineStr">
        <is>
          <t>A14358012</t>
        </is>
      </c>
      <c r="B95" s="4" t="n">
        <v>827.64</v>
      </c>
      <c r="C95" s="3" t="n">
        <v>46003</v>
      </c>
      <c r="D95" s="3" t="n">
        <v>46198</v>
      </c>
      <c r="E95" s="2" t="n">
        <v>83</v>
      </c>
      <c r="F95" s="2" t="n">
        <v>43.45</v>
      </c>
      <c r="G95" s="2" t="n">
        <v>2.78</v>
      </c>
      <c r="H95" s="4" t="n">
        <v>23.01</v>
      </c>
      <c r="I95" s="4" t="n">
        <v>82.91</v>
      </c>
      <c r="J95" s="2" t="n">
        <v>60</v>
      </c>
      <c r="K95" s="4" t="n">
        <v>13.99</v>
      </c>
      <c r="L95" s="4" t="n">
        <v>49.61</v>
      </c>
      <c r="M95" s="4">
        <f>B95*(G95/100)*(J95/100)</f>
        <v/>
      </c>
      <c r="N95" s="4">
        <f>B95*(F95/360/100)*E95*(J95/100)</f>
        <v/>
      </c>
      <c r="O95" s="4">
        <f>K95-M95+L95-N95</f>
        <v/>
      </c>
    </row>
    <row r="96">
      <c r="A96" s="2" t="inlineStr">
        <is>
          <t>A99221928</t>
        </is>
      </c>
      <c r="B96" s="4" t="n">
        <v>2365.41</v>
      </c>
      <c r="C96" s="3" t="n">
        <v>46006</v>
      </c>
      <c r="D96" s="3" t="n">
        <v>46099</v>
      </c>
      <c r="E96" s="2" t="n">
        <v>84</v>
      </c>
      <c r="F96" s="2" t="n">
        <v>46.41</v>
      </c>
      <c r="G96" s="2" t="n">
        <v>2.55</v>
      </c>
      <c r="H96" s="4" t="n">
        <v>60.32</v>
      </c>
      <c r="I96" s="4" t="n">
        <v>256.15</v>
      </c>
      <c r="J96" s="2" t="n">
        <v>40</v>
      </c>
      <c r="K96" s="4" t="n">
        <v>24.26</v>
      </c>
      <c r="L96" s="4" t="n">
        <v>102.51</v>
      </c>
      <c r="M96" s="4">
        <f>B96*(G96/100)*(J96/100)</f>
        <v/>
      </c>
      <c r="N96" s="4">
        <f>B96*(F96/360/100)*E96*(J96/100)</f>
        <v/>
      </c>
      <c r="O96" s="4">
        <f>K96-M96+L96-N96</f>
        <v/>
      </c>
    </row>
    <row r="97">
      <c r="A97" s="2" t="inlineStr">
        <is>
          <t>B34710294</t>
        </is>
      </c>
      <c r="B97" s="4" t="n">
        <v>698.9400000000001</v>
      </c>
      <c r="C97" s="3" t="n">
        <v>45998</v>
      </c>
      <c r="D97" s="3" t="n">
        <v>46081</v>
      </c>
      <c r="E97" s="2" t="n">
        <v>83</v>
      </c>
      <c r="F97" s="2" t="n">
        <v>30.26</v>
      </c>
      <c r="G97" s="2" t="n">
        <v>2.16</v>
      </c>
      <c r="H97" s="4" t="n">
        <v>15.1</v>
      </c>
      <c r="I97" s="4" t="n">
        <v>48.76</v>
      </c>
      <c r="J97" s="2" t="n">
        <v>70</v>
      </c>
      <c r="K97" s="4" t="n">
        <v>10.75</v>
      </c>
      <c r="L97" s="4" t="n">
        <v>34.4</v>
      </c>
      <c r="M97" s="4">
        <f>B97*(G97/100)*(J97/100)</f>
        <v/>
      </c>
      <c r="N97" s="4">
        <f>B97*(F97/360/100)*E97*(J97/100)</f>
        <v/>
      </c>
      <c r="O97" s="4">
        <f>K97-M97+L97-N97</f>
        <v/>
      </c>
    </row>
    <row r="98">
      <c r="A98" s="2" t="inlineStr">
        <is>
          <t>B04173681</t>
        </is>
      </c>
      <c r="B98" s="4" t="n">
        <v>369.57</v>
      </c>
      <c r="C98" s="3" t="n">
        <v>45992</v>
      </c>
      <c r="D98" s="3" t="n">
        <v>46069</v>
      </c>
      <c r="E98" s="2" t="n">
        <v>42</v>
      </c>
      <c r="F98" s="2" t="n">
        <v>15.05</v>
      </c>
      <c r="G98" s="2" t="n">
        <v>2.83</v>
      </c>
      <c r="H98" s="4" t="n">
        <v>10.46</v>
      </c>
      <c r="I98" s="4" t="n">
        <v>6.49</v>
      </c>
      <c r="J98" s="2" t="n">
        <v>30</v>
      </c>
      <c r="K98" s="4" t="n">
        <v>3.36</v>
      </c>
      <c r="L98" s="4" t="n">
        <v>2.09</v>
      </c>
      <c r="M98" s="4">
        <f>B98*(G98/100)*(J98/100)</f>
        <v/>
      </c>
      <c r="N98" s="4">
        <f>B98*(F98/360/100)*E98*(J98/100)</f>
        <v/>
      </c>
      <c r="O98" s="4">
        <f>K98-M98+L98-N98</f>
        <v/>
      </c>
    </row>
    <row r="99">
      <c r="A99" s="2" t="inlineStr">
        <is>
          <t>A87659735</t>
        </is>
      </c>
      <c r="B99" s="4" t="n">
        <v>330.52</v>
      </c>
      <c r="C99" s="3" t="n">
        <v>46012</v>
      </c>
      <c r="D99" s="3" t="n">
        <v>46089</v>
      </c>
      <c r="E99" s="2" t="n">
        <v>28</v>
      </c>
      <c r="F99" s="2" t="n">
        <v>40.61</v>
      </c>
      <c r="G99" s="2" t="n">
        <v>2.22</v>
      </c>
      <c r="H99" s="4" t="n">
        <v>7.34</v>
      </c>
      <c r="I99" s="4" t="n">
        <v>10.44</v>
      </c>
      <c r="J99" s="2" t="n">
        <v>50</v>
      </c>
      <c r="K99" s="4" t="n">
        <v>3.93</v>
      </c>
      <c r="L99" s="4" t="n">
        <v>5.51</v>
      </c>
      <c r="M99" s="4">
        <f>B99*(G99/100)*(J99/100)</f>
        <v/>
      </c>
      <c r="N99" s="4">
        <f>B99*(F99/360/100)*E99*(J99/100)</f>
        <v/>
      </c>
      <c r="O99" s="4">
        <f>K99-M99+L99-N99</f>
        <v/>
      </c>
    </row>
    <row r="100">
      <c r="A100" s="2" t="inlineStr">
        <is>
          <t>A82949845</t>
        </is>
      </c>
      <c r="B100" s="4" t="n">
        <v>3739.02</v>
      </c>
      <c r="C100" s="3" t="n">
        <v>46002</v>
      </c>
      <c r="D100" s="3" t="n">
        <v>46028</v>
      </c>
      <c r="E100" s="2" t="n">
        <v>62</v>
      </c>
      <c r="F100" s="2" t="n">
        <v>30.07</v>
      </c>
      <c r="G100" s="2" t="n">
        <v>1.92</v>
      </c>
      <c r="H100" s="4" t="n">
        <v>71.79000000000001</v>
      </c>
      <c r="I100" s="4" t="n">
        <v>193.63</v>
      </c>
      <c r="J100" s="2" t="n">
        <v>40</v>
      </c>
      <c r="K100" s="4" t="n">
        <v>28.54</v>
      </c>
      <c r="L100" s="4" t="n">
        <v>77.55</v>
      </c>
      <c r="M100" s="4">
        <f>B100*(G100/100)*(J100/100)</f>
        <v/>
      </c>
      <c r="N100" s="4">
        <f>B100*(F100/360/100)*E100*(J100/100)</f>
        <v/>
      </c>
      <c r="O100" s="4">
        <f>K100-M100+L100-N100</f>
        <v/>
      </c>
    </row>
    <row r="101">
      <c r="A101" s="2" t="inlineStr">
        <is>
          <t>A53918704</t>
        </is>
      </c>
      <c r="B101" s="4" t="n">
        <v>867.5</v>
      </c>
      <c r="C101" s="3" t="n">
        <v>45998</v>
      </c>
      <c r="D101" s="3" t="n">
        <v>46029</v>
      </c>
      <c r="E101" s="2" t="n">
        <v>60</v>
      </c>
      <c r="F101" s="2" t="n">
        <v>39.27</v>
      </c>
      <c r="G101" s="2" t="n">
        <v>2.23</v>
      </c>
      <c r="H101" s="4" t="n">
        <v>19.35</v>
      </c>
      <c r="I101" s="4" t="n">
        <v>56.78</v>
      </c>
      <c r="J101" s="2" t="n">
        <v>20</v>
      </c>
      <c r="K101" s="4" t="n">
        <v>4.12</v>
      </c>
      <c r="L101" s="4" t="n">
        <v>11.4</v>
      </c>
      <c r="M101" s="4">
        <f>B101*(G101/100)*(J101/100)</f>
        <v/>
      </c>
      <c r="N101" s="4">
        <f>B101*(F101/360/100)*E101*(J101/100)</f>
        <v/>
      </c>
      <c r="O101" s="4">
        <f>K101-M101+L101-N101</f>
        <v/>
      </c>
    </row>
    <row r="102">
      <c r="A102" s="2" t="inlineStr">
        <is>
          <t>B80288919</t>
        </is>
      </c>
      <c r="B102" s="4" t="n">
        <v>263.94</v>
      </c>
      <c r="C102" s="3" t="n">
        <v>45997</v>
      </c>
      <c r="D102" s="3" t="n">
        <v>46102</v>
      </c>
      <c r="E102" s="2" t="n">
        <v>43</v>
      </c>
      <c r="F102" s="2" t="n">
        <v>37.12</v>
      </c>
      <c r="G102" s="2" t="n">
        <v>1.65</v>
      </c>
      <c r="H102" s="4" t="n">
        <v>4.36</v>
      </c>
      <c r="I102" s="4" t="n">
        <v>11.7</v>
      </c>
      <c r="J102" s="2" t="n">
        <v>30</v>
      </c>
      <c r="K102" s="4" t="n">
        <v>1.01</v>
      </c>
      <c r="L102" s="4" t="n">
        <v>3.63</v>
      </c>
      <c r="M102" s="4">
        <f>B102*(G102/100)*(J102/100)</f>
        <v/>
      </c>
      <c r="N102" s="4">
        <f>B102*(F102/360/100)*E102*(J102/100)</f>
        <v/>
      </c>
      <c r="O102" s="4">
        <f>K102-M102+L102-N102</f>
        <v/>
      </c>
    </row>
    <row r="103">
      <c r="A103" s="2" t="inlineStr">
        <is>
          <t>B08366022</t>
        </is>
      </c>
      <c r="B103" s="4" t="n">
        <v>309.27</v>
      </c>
      <c r="C103" s="3" t="n">
        <v>46018</v>
      </c>
      <c r="D103" s="3" t="n">
        <v>46190</v>
      </c>
      <c r="E103" s="2" t="n">
        <v>60</v>
      </c>
      <c r="F103" s="2" t="n">
        <v>40.35</v>
      </c>
      <c r="G103" s="2" t="n">
        <v>1.66</v>
      </c>
      <c r="H103" s="4" t="n">
        <v>5.13</v>
      </c>
      <c r="I103" s="4" t="n">
        <v>20.8</v>
      </c>
      <c r="J103" s="2" t="n">
        <v>60</v>
      </c>
      <c r="K103" s="4" t="n">
        <v>2.8</v>
      </c>
      <c r="L103" s="4" t="n">
        <v>12.31</v>
      </c>
      <c r="M103" s="4">
        <f>B103*(G103/100)*(J103/100)</f>
        <v/>
      </c>
      <c r="N103" s="4">
        <f>B103*(F103/360/100)*E103*(J103/100)</f>
        <v/>
      </c>
      <c r="O103" s="4">
        <f>K103-M103+L103-N103</f>
        <v/>
      </c>
    </row>
    <row r="104">
      <c r="A104" s="2" t="inlineStr">
        <is>
          <t>A55284133</t>
        </is>
      </c>
      <c r="B104" s="4" t="n">
        <v>5445.94</v>
      </c>
      <c r="C104" s="3" t="n">
        <v>45993</v>
      </c>
      <c r="D104" s="3" t="n">
        <v>46080</v>
      </c>
      <c r="E104" s="2" t="n">
        <v>40</v>
      </c>
      <c r="F104" s="2" t="n">
        <v>41.08</v>
      </c>
      <c r="G104" s="2" t="n">
        <v>1.35</v>
      </c>
      <c r="H104" s="4" t="n">
        <v>73.52</v>
      </c>
      <c r="I104" s="4" t="n">
        <v>248.58</v>
      </c>
      <c r="J104" s="2" t="n">
        <v>70</v>
      </c>
      <c r="K104" s="4" t="n">
        <v>51.26</v>
      </c>
      <c r="L104" s="4" t="n">
        <v>173.92</v>
      </c>
      <c r="M104" s="4">
        <f>B104*(G104/100)*(J104/100)</f>
        <v/>
      </c>
      <c r="N104" s="4">
        <f>B104*(F104/360/100)*E104*(J104/100)</f>
        <v/>
      </c>
      <c r="O104" s="4">
        <f>K104-M104+L104-N104</f>
        <v/>
      </c>
    </row>
    <row r="105">
      <c r="A105" s="2" t="inlineStr">
        <is>
          <t>B01133530</t>
        </is>
      </c>
      <c r="B105" s="4" t="n">
        <v>271.35</v>
      </c>
      <c r="C105" s="3" t="n">
        <v>46018</v>
      </c>
      <c r="D105" s="3" t="n">
        <v>46116</v>
      </c>
      <c r="E105" s="2" t="n">
        <v>43</v>
      </c>
      <c r="F105" s="2" t="n">
        <v>14.66</v>
      </c>
      <c r="G105" s="2" t="n">
        <v>2.95</v>
      </c>
      <c r="H105" s="4" t="n">
        <v>8</v>
      </c>
      <c r="I105" s="4" t="n">
        <v>4.75</v>
      </c>
      <c r="J105" s="2" t="n">
        <v>60</v>
      </c>
      <c r="K105" s="4" t="n">
        <v>4.68</v>
      </c>
      <c r="L105" s="4" t="n">
        <v>2.87</v>
      </c>
      <c r="M105" s="4">
        <f>B105*(G105/100)*(J105/100)</f>
        <v/>
      </c>
      <c r="N105" s="4">
        <f>B105*(F105/360/100)*E105*(J105/100)</f>
        <v/>
      </c>
      <c r="O105" s="4">
        <f>K105-M105+L105-N105</f>
        <v/>
      </c>
    </row>
    <row r="106">
      <c r="A106" s="2" t="inlineStr">
        <is>
          <t>B51934390</t>
        </is>
      </c>
      <c r="B106" s="4" t="n">
        <v>838.75</v>
      </c>
      <c r="C106" s="3" t="n">
        <v>45994</v>
      </c>
      <c r="D106" s="3" t="n">
        <v>46033</v>
      </c>
      <c r="E106" s="2" t="n">
        <v>64</v>
      </c>
      <c r="F106" s="2" t="n">
        <v>34.62</v>
      </c>
      <c r="G106" s="2" t="n">
        <v>0.51</v>
      </c>
      <c r="H106" s="4" t="n">
        <v>4.28</v>
      </c>
      <c r="I106" s="4" t="n">
        <v>51.62</v>
      </c>
      <c r="J106" s="2" t="n">
        <v>60</v>
      </c>
      <c r="K106" s="4" t="n">
        <v>2.78</v>
      </c>
      <c r="L106" s="4" t="n">
        <v>31.14</v>
      </c>
      <c r="M106" s="4">
        <f>B106*(G106/100)*(J106/100)</f>
        <v/>
      </c>
      <c r="N106" s="4">
        <f>B106*(F106/360/100)*E106*(J106/100)</f>
        <v/>
      </c>
      <c r="O106" s="4">
        <f>K106-M106+L106-N106</f>
        <v/>
      </c>
    </row>
    <row r="107">
      <c r="A107" s="2" t="inlineStr">
        <is>
          <t>B71410048</t>
        </is>
      </c>
      <c r="B107" s="4" t="n">
        <v>155.38</v>
      </c>
      <c r="C107" s="3" t="n">
        <v>45999</v>
      </c>
      <c r="D107" s="3" t="n">
        <v>46027</v>
      </c>
      <c r="E107" s="2" t="n">
        <v>55</v>
      </c>
      <c r="F107" s="2" t="n">
        <v>24.33</v>
      </c>
      <c r="G107" s="2" t="n">
        <v>2</v>
      </c>
      <c r="H107" s="4" t="n">
        <v>3.11</v>
      </c>
      <c r="I107" s="4" t="n">
        <v>5.78</v>
      </c>
      <c r="J107" s="2" t="n">
        <v>30</v>
      </c>
      <c r="K107" s="4" t="n">
        <v>1.17</v>
      </c>
      <c r="L107" s="4" t="n">
        <v>1.52</v>
      </c>
      <c r="M107" s="4">
        <f>B107*(G107/100)*(J107/100)</f>
        <v/>
      </c>
      <c r="N107" s="4">
        <f>B107*(F107/360/100)*E107*(J107/100)</f>
        <v/>
      </c>
      <c r="O107" s="4">
        <f>K107-M107+L107-N107</f>
        <v/>
      </c>
    </row>
    <row r="108">
      <c r="A108" s="2" t="inlineStr">
        <is>
          <t>A32573279</t>
        </is>
      </c>
      <c r="B108" s="4" t="n">
        <v>783.0700000000001</v>
      </c>
      <c r="C108" s="3" t="n">
        <v>46003</v>
      </c>
      <c r="D108" s="3" t="n">
        <v>46126</v>
      </c>
      <c r="E108" s="2" t="n">
        <v>40</v>
      </c>
      <c r="F108" s="2" t="n">
        <v>48.91</v>
      </c>
      <c r="G108" s="2" t="n">
        <v>2.9</v>
      </c>
      <c r="H108" s="4" t="n">
        <v>22.71</v>
      </c>
      <c r="I108" s="4" t="n">
        <v>42.56</v>
      </c>
      <c r="J108" s="2" t="n">
        <v>30</v>
      </c>
      <c r="K108" s="4" t="n">
        <v>6.57</v>
      </c>
      <c r="L108" s="4" t="n">
        <v>12.6</v>
      </c>
      <c r="M108" s="4">
        <f>B108*(G108/100)*(J108/100)</f>
        <v/>
      </c>
      <c r="N108" s="4">
        <f>B108*(F108/360/100)*E108*(J108/100)</f>
        <v/>
      </c>
      <c r="O108" s="4">
        <f>K108-M108+L108-N108</f>
        <v/>
      </c>
    </row>
    <row r="109">
      <c r="A109" s="2" t="inlineStr">
        <is>
          <t>B51300901</t>
        </is>
      </c>
      <c r="B109" s="4" t="n">
        <v>7053.23</v>
      </c>
      <c r="C109" s="3" t="n">
        <v>46005</v>
      </c>
      <c r="D109" s="3" t="n">
        <v>46081</v>
      </c>
      <c r="E109" s="2" t="n">
        <v>42</v>
      </c>
      <c r="F109" s="2" t="n">
        <v>17.53</v>
      </c>
      <c r="G109" s="2" t="n">
        <v>1.27</v>
      </c>
      <c r="H109" s="4" t="n">
        <v>89.58</v>
      </c>
      <c r="I109" s="4" t="n">
        <v>144.25</v>
      </c>
      <c r="J109" s="2" t="n">
        <v>70</v>
      </c>
      <c r="K109" s="4" t="n">
        <v>62.94</v>
      </c>
      <c r="L109" s="4" t="n">
        <v>100.76</v>
      </c>
      <c r="M109" s="4">
        <f>B109*(G109/100)*(J109/100)</f>
        <v/>
      </c>
      <c r="N109" s="4">
        <f>B109*(F109/360/100)*E109*(J109/100)</f>
        <v/>
      </c>
      <c r="O109" s="4">
        <f>K109-M109+L109-N109</f>
        <v/>
      </c>
    </row>
    <row r="110">
      <c r="A110" s="2" t="inlineStr">
        <is>
          <t>A06023272</t>
        </is>
      </c>
      <c r="B110" s="4" t="n">
        <v>184.9</v>
      </c>
      <c r="C110" s="3" t="n">
        <v>46008</v>
      </c>
      <c r="D110" s="3" t="n">
        <v>46097</v>
      </c>
      <c r="E110" s="2" t="n">
        <v>12</v>
      </c>
      <c r="F110" s="2" t="n">
        <v>29.82</v>
      </c>
      <c r="G110" s="2" t="n">
        <v>1.81</v>
      </c>
      <c r="H110" s="4" t="n">
        <v>3.35</v>
      </c>
      <c r="I110" s="4" t="n">
        <v>1.84</v>
      </c>
      <c r="J110" s="2" t="n">
        <v>20</v>
      </c>
      <c r="K110" s="4" t="n">
        <v>0.55</v>
      </c>
      <c r="L110" s="4" t="n">
        <v>0.43</v>
      </c>
      <c r="M110" s="4">
        <f>B110*(G110/100)*(J110/100)</f>
        <v/>
      </c>
      <c r="N110" s="4">
        <f>B110*(F110/360/100)*E110*(J110/100)</f>
        <v/>
      </c>
      <c r="O110" s="4">
        <f>K110-M110+L110-N110</f>
        <v/>
      </c>
    </row>
    <row r="111">
      <c r="A111" s="2" t="inlineStr">
        <is>
          <t>A59860789</t>
        </is>
      </c>
      <c r="B111" s="4" t="n">
        <v>6318.86</v>
      </c>
      <c r="C111" s="3" t="n">
        <v>46004</v>
      </c>
      <c r="D111" s="3" t="n">
        <v>46179</v>
      </c>
      <c r="E111" s="2" t="n">
        <v>50</v>
      </c>
      <c r="F111" s="2" t="n">
        <v>39.12</v>
      </c>
      <c r="G111" s="2" t="n">
        <v>2.48</v>
      </c>
      <c r="H111" s="4" t="n">
        <v>156.71</v>
      </c>
      <c r="I111" s="4" t="n">
        <v>343.32</v>
      </c>
      <c r="J111" s="2" t="n">
        <v>30</v>
      </c>
      <c r="K111" s="4" t="n">
        <v>46.95</v>
      </c>
      <c r="L111" s="4" t="n">
        <v>103.27</v>
      </c>
      <c r="M111" s="4">
        <f>B111*(G111/100)*(J111/100)</f>
        <v/>
      </c>
      <c r="N111" s="4">
        <f>B111*(F111/360/100)*E111*(J111/100)</f>
        <v/>
      </c>
      <c r="O111" s="4">
        <f>K111-M111+L111-N111</f>
        <v/>
      </c>
    </row>
    <row r="112">
      <c r="A112" s="2" t="inlineStr">
        <is>
          <t>B20491298</t>
        </is>
      </c>
      <c r="B112" s="4" t="n">
        <v>287.96</v>
      </c>
      <c r="C112" s="3" t="n">
        <v>46014</v>
      </c>
      <c r="D112" s="3" t="n">
        <v>46036</v>
      </c>
      <c r="E112" s="2" t="n">
        <v>82</v>
      </c>
      <c r="F112" s="2" t="n">
        <v>36.57</v>
      </c>
      <c r="G112" s="2" t="n">
        <v>1.24</v>
      </c>
      <c r="H112" s="4" t="n">
        <v>3.57</v>
      </c>
      <c r="I112" s="4" t="n">
        <v>23.99</v>
      </c>
      <c r="J112" s="2" t="n">
        <v>60</v>
      </c>
      <c r="K112" s="4" t="n">
        <v>2.28</v>
      </c>
      <c r="L112" s="4" t="n">
        <v>14.6</v>
      </c>
      <c r="M112" s="4">
        <f>B112*(G112/100)*(J112/100)</f>
        <v/>
      </c>
      <c r="N112" s="4">
        <f>B112*(F112/360/100)*E112*(J112/100)</f>
        <v/>
      </c>
      <c r="O112" s="4">
        <f>K112-M112+L112-N112</f>
        <v/>
      </c>
    </row>
    <row r="113">
      <c r="A113" s="2" t="inlineStr">
        <is>
          <t>A62059817</t>
        </is>
      </c>
      <c r="B113" s="4" t="n">
        <v>269.17</v>
      </c>
      <c r="C113" s="3" t="n">
        <v>46002</v>
      </c>
      <c r="D113" s="3" t="n">
        <v>46089</v>
      </c>
      <c r="E113" s="2" t="n">
        <v>49</v>
      </c>
      <c r="F113" s="2" t="n">
        <v>31.96</v>
      </c>
      <c r="G113" s="2" t="n">
        <v>1.75</v>
      </c>
      <c r="H113" s="4" t="n">
        <v>4.71</v>
      </c>
      <c r="I113" s="4" t="n">
        <v>11.71</v>
      </c>
      <c r="J113" s="2" t="n">
        <v>60</v>
      </c>
      <c r="K113" s="4" t="n">
        <v>2.84</v>
      </c>
      <c r="L113" s="4" t="n">
        <v>6.82</v>
      </c>
      <c r="M113" s="4">
        <f>B113*(G113/100)*(J113/100)</f>
        <v/>
      </c>
      <c r="N113" s="4">
        <f>B113*(F113/360/100)*E113*(J113/100)</f>
        <v/>
      </c>
      <c r="O113" s="4">
        <f>K113-M113+L113-N113</f>
        <v/>
      </c>
    </row>
    <row r="114">
      <c r="A114" s="2" t="inlineStr">
        <is>
          <t>A08944127</t>
        </is>
      </c>
      <c r="B114" s="4" t="n">
        <v>6326.53</v>
      </c>
      <c r="C114" s="3" t="n">
        <v>45993</v>
      </c>
      <c r="D114" s="3" t="n">
        <v>46066</v>
      </c>
      <c r="E114" s="2" t="n">
        <v>45</v>
      </c>
      <c r="F114" s="2" t="n">
        <v>24.52</v>
      </c>
      <c r="G114" s="2" t="n">
        <v>1.26</v>
      </c>
      <c r="H114" s="4" t="n">
        <v>79.70999999999999</v>
      </c>
      <c r="I114" s="4" t="n">
        <v>193.91</v>
      </c>
      <c r="J114" s="2" t="n">
        <v>60</v>
      </c>
      <c r="K114" s="4" t="n">
        <v>47.54</v>
      </c>
      <c r="L114" s="4" t="n">
        <v>116.41</v>
      </c>
      <c r="M114" s="4">
        <f>B114*(G114/100)*(J114/100)</f>
        <v/>
      </c>
      <c r="N114" s="4">
        <f>B114*(F114/360/100)*E114*(J114/100)</f>
        <v/>
      </c>
      <c r="O114" s="4">
        <f>K114-M114+L114-N114</f>
        <v/>
      </c>
    </row>
    <row r="115">
      <c r="A115" s="2" t="inlineStr">
        <is>
          <t>B82073619</t>
        </is>
      </c>
      <c r="B115" s="4" t="n">
        <v>312.79</v>
      </c>
      <c r="C115" s="3" t="n">
        <v>45999</v>
      </c>
      <c r="D115" s="3" t="n">
        <v>46160</v>
      </c>
      <c r="E115" s="2" t="n">
        <v>80</v>
      </c>
      <c r="F115" s="2" t="n">
        <v>37.09</v>
      </c>
      <c r="G115" s="2" t="n">
        <v>0.89</v>
      </c>
      <c r="H115" s="4" t="n">
        <v>2.78</v>
      </c>
      <c r="I115" s="4" t="n">
        <v>25.78</v>
      </c>
      <c r="J115" s="2" t="n">
        <v>70</v>
      </c>
      <c r="K115" s="4" t="n">
        <v>2.14</v>
      </c>
      <c r="L115" s="4" t="n">
        <v>18.25</v>
      </c>
      <c r="M115" s="4">
        <f>B115*(G115/100)*(J115/100)</f>
        <v/>
      </c>
      <c r="N115" s="4">
        <f>B115*(F115/360/100)*E115*(J115/100)</f>
        <v/>
      </c>
      <c r="O115" s="4">
        <f>K115-M115+L115-N115</f>
        <v/>
      </c>
    </row>
    <row r="116">
      <c r="A116" s="2" t="inlineStr">
        <is>
          <t>B86599173</t>
        </is>
      </c>
      <c r="B116" s="4" t="n">
        <v>3078.25</v>
      </c>
      <c r="C116" s="3" t="n">
        <v>45995</v>
      </c>
      <c r="D116" s="3" t="n">
        <v>46026</v>
      </c>
      <c r="E116" s="2" t="n">
        <v>72</v>
      </c>
      <c r="F116" s="2" t="n">
        <v>29.32</v>
      </c>
      <c r="G116" s="2" t="n">
        <v>2.23</v>
      </c>
      <c r="H116" s="4" t="n">
        <v>68.64</v>
      </c>
      <c r="I116" s="4" t="n">
        <v>180.51</v>
      </c>
      <c r="J116" s="2" t="n">
        <v>20</v>
      </c>
      <c r="K116" s="4" t="n">
        <v>13.53</v>
      </c>
      <c r="L116" s="4" t="n">
        <v>36.27</v>
      </c>
      <c r="M116" s="4">
        <f>B116*(G116/100)*(J116/100)</f>
        <v/>
      </c>
      <c r="N116" s="4">
        <f>B116*(F116/360/100)*E116*(J116/100)</f>
        <v/>
      </c>
      <c r="O116" s="4">
        <f>K116-M116+L116-N116</f>
        <v/>
      </c>
    </row>
    <row r="117">
      <c r="A117" s="2" t="inlineStr">
        <is>
          <t>A28958222</t>
        </is>
      </c>
      <c r="B117" s="4" t="n">
        <v>760.25</v>
      </c>
      <c r="C117" s="3" t="n">
        <v>45994</v>
      </c>
      <c r="D117" s="3" t="n">
        <v>46085</v>
      </c>
      <c r="E117" s="2" t="n">
        <v>25</v>
      </c>
      <c r="F117" s="2" t="n">
        <v>32.55</v>
      </c>
      <c r="G117" s="2" t="n">
        <v>2.56</v>
      </c>
      <c r="H117" s="4" t="n">
        <v>19.46</v>
      </c>
      <c r="I117" s="4" t="n">
        <v>17.18</v>
      </c>
      <c r="J117" s="2" t="n">
        <v>70</v>
      </c>
      <c r="K117" s="4" t="n">
        <v>13.34</v>
      </c>
      <c r="L117" s="4" t="n">
        <v>12.31</v>
      </c>
      <c r="M117" s="4">
        <f>B117*(G117/100)*(J117/100)</f>
        <v/>
      </c>
      <c r="N117" s="4">
        <f>B117*(F117/360/100)*E117*(J117/100)</f>
        <v/>
      </c>
      <c r="O117" s="4">
        <f>K117-M117+L117-N117</f>
        <v/>
      </c>
    </row>
    <row r="118">
      <c r="A118" s="2" t="inlineStr">
        <is>
          <t>A47446825</t>
        </is>
      </c>
      <c r="B118" s="4" t="n">
        <v>1472.86</v>
      </c>
      <c r="C118" s="3" t="n">
        <v>45997</v>
      </c>
      <c r="D118" s="3" t="n">
        <v>46026</v>
      </c>
      <c r="E118" s="2" t="n">
        <v>36</v>
      </c>
      <c r="F118" s="2" t="n">
        <v>18.66</v>
      </c>
      <c r="G118" s="2" t="n">
        <v>1.99</v>
      </c>
      <c r="H118" s="4" t="n">
        <v>29.31</v>
      </c>
      <c r="I118" s="4" t="n">
        <v>27.48</v>
      </c>
      <c r="J118" s="2" t="n">
        <v>40</v>
      </c>
      <c r="K118" s="4" t="n">
        <v>11.96</v>
      </c>
      <c r="L118" s="4" t="n">
        <v>10.93</v>
      </c>
      <c r="M118" s="4">
        <f>B118*(G118/100)*(J118/100)</f>
        <v/>
      </c>
      <c r="N118" s="4">
        <f>B118*(F118/360/100)*E118*(J118/100)</f>
        <v/>
      </c>
      <c r="O118" s="4">
        <f>K118-M118+L118-N118</f>
        <v/>
      </c>
    </row>
    <row r="119">
      <c r="A119" s="2" t="inlineStr">
        <is>
          <t>B23853422</t>
        </is>
      </c>
      <c r="B119" s="4" t="n">
        <v>355.68</v>
      </c>
      <c r="C119" s="3" t="n">
        <v>46014</v>
      </c>
      <c r="D119" s="3" t="n">
        <v>46070</v>
      </c>
      <c r="E119" s="2" t="n">
        <v>44</v>
      </c>
      <c r="F119" s="2" t="n">
        <v>48.2</v>
      </c>
      <c r="G119" s="2" t="n">
        <v>2.04</v>
      </c>
      <c r="H119" s="4" t="n">
        <v>7.26</v>
      </c>
      <c r="I119" s="4" t="n">
        <v>20.95</v>
      </c>
      <c r="J119" s="2" t="n">
        <v>50</v>
      </c>
      <c r="K119" s="4" t="n">
        <v>3.38</v>
      </c>
      <c r="L119" s="4" t="n">
        <v>10.27</v>
      </c>
      <c r="M119" s="4">
        <f>B119*(G119/100)*(J119/100)</f>
        <v/>
      </c>
      <c r="N119" s="4">
        <f>B119*(F119/360/100)*E119*(J119/100)</f>
        <v/>
      </c>
      <c r="O119" s="4">
        <f>K119-M119+L119-N119</f>
        <v/>
      </c>
    </row>
    <row r="120">
      <c r="A120" s="2" t="inlineStr">
        <is>
          <t>A87369793</t>
        </is>
      </c>
      <c r="B120" s="4" t="n">
        <v>145.68</v>
      </c>
      <c r="C120" s="3" t="n">
        <v>46013</v>
      </c>
      <c r="D120" s="3" t="n">
        <v>46189</v>
      </c>
      <c r="E120" s="2" t="n">
        <v>25</v>
      </c>
      <c r="F120" s="2" t="n">
        <v>27.18</v>
      </c>
      <c r="G120" s="2" t="n">
        <v>0.8</v>
      </c>
      <c r="H120" s="4" t="n">
        <v>1.17</v>
      </c>
      <c r="I120" s="4" t="n">
        <v>2.75</v>
      </c>
      <c r="J120" s="2" t="n">
        <v>70</v>
      </c>
      <c r="K120" s="4" t="n">
        <v>0.97</v>
      </c>
      <c r="L120" s="4" t="n">
        <v>2.09</v>
      </c>
      <c r="M120" s="4">
        <f>B120*(G120/100)*(J120/100)</f>
        <v/>
      </c>
      <c r="N120" s="4">
        <f>B120*(F120/360/100)*E120*(J120/100)</f>
        <v/>
      </c>
      <c r="O120" s="4">
        <f>K120-M120+L120-N120</f>
        <v/>
      </c>
    </row>
    <row r="121">
      <c r="A121" s="2" t="inlineStr">
        <is>
          <t>B11019877</t>
        </is>
      </c>
      <c r="B121" s="4" t="n">
        <v>961.8099999999999</v>
      </c>
      <c r="C121" s="3" t="n">
        <v>45995</v>
      </c>
      <c r="D121" s="3" t="n">
        <v>46024</v>
      </c>
      <c r="E121" s="2" t="n">
        <v>39</v>
      </c>
      <c r="F121" s="2" t="n">
        <v>34.01</v>
      </c>
      <c r="G121" s="2" t="n">
        <v>1.15</v>
      </c>
      <c r="H121" s="4" t="n">
        <v>11.06</v>
      </c>
      <c r="I121" s="4" t="n">
        <v>35.44</v>
      </c>
      <c r="J121" s="2" t="n">
        <v>30</v>
      </c>
      <c r="K121" s="4" t="n">
        <v>3.15</v>
      </c>
      <c r="L121" s="4" t="n">
        <v>10.86</v>
      </c>
      <c r="M121" s="4">
        <f>B121*(G121/100)*(J121/100)</f>
        <v/>
      </c>
      <c r="N121" s="4">
        <f>B121*(F121/360/100)*E121*(J121/100)</f>
        <v/>
      </c>
      <c r="O121" s="4">
        <f>K121-M121+L121-N121</f>
        <v/>
      </c>
    </row>
    <row r="122">
      <c r="A122" s="2" t="inlineStr">
        <is>
          <t>A60610152</t>
        </is>
      </c>
      <c r="B122" s="4" t="n">
        <v>7759.7</v>
      </c>
      <c r="C122" s="3" t="n">
        <v>46006</v>
      </c>
      <c r="D122" s="3" t="n">
        <v>46073</v>
      </c>
      <c r="E122" s="2" t="n">
        <v>51</v>
      </c>
      <c r="F122" s="2" t="n">
        <v>35.2</v>
      </c>
      <c r="G122" s="2" t="n">
        <v>2.26</v>
      </c>
      <c r="H122" s="4" t="n">
        <v>175.37</v>
      </c>
      <c r="I122" s="4" t="n">
        <v>386.95</v>
      </c>
      <c r="J122" s="2" t="n">
        <v>20</v>
      </c>
      <c r="K122" s="4" t="n">
        <v>35.36</v>
      </c>
      <c r="L122" s="4" t="n">
        <v>77.59999999999999</v>
      </c>
      <c r="M122" s="4">
        <f>B122*(G122/100)*(J122/100)</f>
        <v/>
      </c>
      <c r="N122" s="4">
        <f>B122*(F122/360/100)*E122*(J122/100)</f>
        <v/>
      </c>
      <c r="O122" s="4">
        <f>K122-M122+L122-N122</f>
        <v/>
      </c>
    </row>
    <row r="123">
      <c r="A123" s="2" t="inlineStr">
        <is>
          <t>B97711863</t>
        </is>
      </c>
      <c r="B123" s="4" t="n">
        <v>678.12</v>
      </c>
      <c r="C123" s="3" t="n">
        <v>46018</v>
      </c>
      <c r="D123" s="3" t="n">
        <v>46145</v>
      </c>
      <c r="E123" s="2" t="n">
        <v>90</v>
      </c>
      <c r="F123" s="2" t="n">
        <v>34.44</v>
      </c>
      <c r="G123" s="2" t="n">
        <v>1.58</v>
      </c>
      <c r="H123" s="4" t="n">
        <v>10.71</v>
      </c>
      <c r="I123" s="4" t="n">
        <v>58.39</v>
      </c>
      <c r="J123" s="2" t="n">
        <v>40</v>
      </c>
      <c r="K123" s="4" t="n">
        <v>4.14</v>
      </c>
      <c r="L123" s="4" t="n">
        <v>23.21</v>
      </c>
      <c r="M123" s="4">
        <f>B123*(G123/100)*(J123/100)</f>
        <v/>
      </c>
      <c r="N123" s="4">
        <f>B123*(F123/360/100)*E123*(J123/100)</f>
        <v/>
      </c>
      <c r="O123" s="4">
        <f>K123-M123+L123-N123</f>
        <v/>
      </c>
    </row>
    <row r="124">
      <c r="A124" s="2" t="inlineStr">
        <is>
          <t>B91141876</t>
        </is>
      </c>
      <c r="B124" s="4" t="n">
        <v>682.74</v>
      </c>
      <c r="C124" s="3" t="n">
        <v>46001</v>
      </c>
      <c r="D124" s="3" t="n">
        <v>46043</v>
      </c>
      <c r="E124" s="2" t="n">
        <v>54</v>
      </c>
      <c r="F124" s="2" t="n">
        <v>48.76</v>
      </c>
      <c r="G124" s="2" t="n">
        <v>2.18</v>
      </c>
      <c r="H124" s="4" t="n">
        <v>14.88</v>
      </c>
      <c r="I124" s="4" t="n">
        <v>49.94</v>
      </c>
      <c r="J124" s="2" t="n">
        <v>50</v>
      </c>
      <c r="K124" s="4" t="n">
        <v>7.37</v>
      </c>
      <c r="L124" s="4" t="n">
        <v>24.94</v>
      </c>
      <c r="M124" s="4">
        <f>B124*(G124/100)*(J124/100)</f>
        <v/>
      </c>
      <c r="N124" s="4">
        <f>B124*(F124/360/100)*E124*(J124/100)</f>
        <v/>
      </c>
      <c r="O124" s="4">
        <f>K124-M124+L124-N124</f>
        <v/>
      </c>
    </row>
    <row r="125">
      <c r="A125" s="2" t="inlineStr">
        <is>
          <t>A53714136</t>
        </is>
      </c>
      <c r="B125" s="4" t="n">
        <v>1374.28</v>
      </c>
      <c r="C125" s="3" t="n">
        <v>46016</v>
      </c>
      <c r="D125" s="3" t="n">
        <v>46039</v>
      </c>
      <c r="E125" s="2" t="n">
        <v>45</v>
      </c>
      <c r="F125" s="2" t="n">
        <v>49.21</v>
      </c>
      <c r="G125" s="2" t="n">
        <v>2.32</v>
      </c>
      <c r="H125" s="4" t="n">
        <v>31.88</v>
      </c>
      <c r="I125" s="4" t="n">
        <v>84.54000000000001</v>
      </c>
      <c r="J125" s="2" t="n">
        <v>70</v>
      </c>
      <c r="K125" s="4" t="n">
        <v>22.62</v>
      </c>
      <c r="L125" s="4" t="n">
        <v>59.37</v>
      </c>
      <c r="M125" s="4">
        <f>B125*(G125/100)*(J125/100)</f>
        <v/>
      </c>
      <c r="N125" s="4">
        <f>B125*(F125/360/100)*E125*(J125/100)</f>
        <v/>
      </c>
      <c r="O125" s="4">
        <f>K125-M125+L125-N125</f>
        <v/>
      </c>
    </row>
    <row r="126">
      <c r="A126" s="2" t="inlineStr">
        <is>
          <t>B20637475</t>
        </is>
      </c>
      <c r="B126" s="4" t="n">
        <v>221.33</v>
      </c>
      <c r="C126" s="3" t="n">
        <v>45993</v>
      </c>
      <c r="D126" s="3" t="n">
        <v>46187</v>
      </c>
      <c r="E126" s="2" t="n">
        <v>44</v>
      </c>
      <c r="F126" s="2" t="n">
        <v>31.25</v>
      </c>
      <c r="G126" s="2" t="n">
        <v>2.07</v>
      </c>
      <c r="H126" s="4" t="n">
        <v>4.58</v>
      </c>
      <c r="I126" s="4" t="n">
        <v>8.449999999999999</v>
      </c>
      <c r="J126" s="2" t="n">
        <v>20</v>
      </c>
      <c r="K126" s="4" t="n">
        <v>0.8</v>
      </c>
      <c r="L126" s="4" t="n">
        <v>1.73</v>
      </c>
      <c r="M126" s="4">
        <f>B126*(G126/100)*(J126/100)</f>
        <v/>
      </c>
      <c r="N126" s="4">
        <f>B126*(F126/360/100)*E126*(J126/100)</f>
        <v/>
      </c>
      <c r="O126" s="4">
        <f>K126-M126+L126-N126</f>
        <v/>
      </c>
    </row>
    <row r="127">
      <c r="A127" s="2" t="inlineStr">
        <is>
          <t>A07396529</t>
        </is>
      </c>
      <c r="B127" s="4" t="n">
        <v>5954.65</v>
      </c>
      <c r="C127" s="3" t="n">
        <v>46013</v>
      </c>
      <c r="D127" s="3" t="n">
        <v>46103</v>
      </c>
      <c r="E127" s="2" t="n">
        <v>36</v>
      </c>
      <c r="F127" s="2" t="n">
        <v>16.81</v>
      </c>
      <c r="G127" s="2" t="n">
        <v>0.59</v>
      </c>
      <c r="H127" s="4" t="n">
        <v>35.13</v>
      </c>
      <c r="I127" s="4" t="n">
        <v>100.1</v>
      </c>
      <c r="J127" s="2" t="n">
        <v>50</v>
      </c>
      <c r="K127" s="4" t="n">
        <v>17.62</v>
      </c>
      <c r="L127" s="4" t="n">
        <v>49.79</v>
      </c>
      <c r="M127" s="4">
        <f>B127*(G127/100)*(J127/100)</f>
        <v/>
      </c>
      <c r="N127" s="4">
        <f>B127*(F127/360/100)*E127*(J127/100)</f>
        <v/>
      </c>
      <c r="O127" s="4">
        <f>K127-M127+L127-N127</f>
        <v/>
      </c>
    </row>
    <row r="128">
      <c r="A128" s="2" t="inlineStr">
        <is>
          <t>A74357395</t>
        </is>
      </c>
      <c r="B128" s="4" t="n">
        <v>893.35</v>
      </c>
      <c r="C128" s="3" t="n">
        <v>45999</v>
      </c>
      <c r="D128" s="3" t="n">
        <v>46130</v>
      </c>
      <c r="E128" s="2" t="n">
        <v>85</v>
      </c>
      <c r="F128" s="2" t="n">
        <v>28.05</v>
      </c>
      <c r="G128" s="2" t="n">
        <v>1.77</v>
      </c>
      <c r="H128" s="4" t="n">
        <v>15.81</v>
      </c>
      <c r="I128" s="4" t="n">
        <v>59.17</v>
      </c>
      <c r="J128" s="2" t="n">
        <v>60</v>
      </c>
      <c r="K128" s="4" t="n">
        <v>9.609999999999999</v>
      </c>
      <c r="L128" s="4" t="n">
        <v>35.64</v>
      </c>
      <c r="M128" s="4">
        <f>B128*(G128/100)*(J128/100)</f>
        <v/>
      </c>
      <c r="N128" s="4">
        <f>B128*(F128/360/100)*E128*(J128/100)</f>
        <v/>
      </c>
      <c r="O128" s="4">
        <f>K128-M128+L128-N128</f>
        <v/>
      </c>
    </row>
    <row r="129">
      <c r="A129" s="2" t="inlineStr">
        <is>
          <t>B44709467</t>
        </is>
      </c>
      <c r="B129" s="4" t="n">
        <v>9587.26</v>
      </c>
      <c r="C129" s="3" t="n">
        <v>46000</v>
      </c>
      <c r="D129" s="3" t="n">
        <v>46094</v>
      </c>
      <c r="E129" s="2" t="n">
        <v>25</v>
      </c>
      <c r="F129" s="2" t="n">
        <v>46.99</v>
      </c>
      <c r="G129" s="2" t="n">
        <v>2.64</v>
      </c>
      <c r="H129" s="4" t="n">
        <v>253.1</v>
      </c>
      <c r="I129" s="4" t="n">
        <v>312.85</v>
      </c>
      <c r="J129" s="2" t="n">
        <v>40</v>
      </c>
      <c r="K129" s="4" t="n">
        <v>100.99</v>
      </c>
      <c r="L129" s="4" t="n">
        <v>125.33</v>
      </c>
      <c r="M129" s="4">
        <f>B129*(G129/100)*(J129/100)</f>
        <v/>
      </c>
      <c r="N129" s="4">
        <f>B129*(F129/360/100)*E129*(J129/100)</f>
        <v/>
      </c>
      <c r="O129" s="4">
        <f>K129-M129+L129-N129</f>
        <v/>
      </c>
    </row>
    <row r="130">
      <c r="A130" s="2" t="inlineStr">
        <is>
          <t>B20427008</t>
        </is>
      </c>
      <c r="B130" s="4" t="n">
        <v>5351.08</v>
      </c>
      <c r="C130" s="3" t="n">
        <v>46015</v>
      </c>
      <c r="D130" s="3" t="n">
        <v>46117</v>
      </c>
      <c r="E130" s="2" t="n">
        <v>18</v>
      </c>
      <c r="F130" s="2" t="n">
        <v>47.27</v>
      </c>
      <c r="G130" s="2" t="n">
        <v>2.11</v>
      </c>
      <c r="H130" s="4" t="n">
        <v>112.91</v>
      </c>
      <c r="I130" s="4" t="n">
        <v>126.47</v>
      </c>
      <c r="J130" s="2" t="n">
        <v>70</v>
      </c>
      <c r="K130" s="4" t="n">
        <v>79.3</v>
      </c>
      <c r="L130" s="4" t="n">
        <v>88.40000000000001</v>
      </c>
      <c r="M130" s="4">
        <f>B130*(G130/100)*(J130/100)</f>
        <v/>
      </c>
      <c r="N130" s="4">
        <f>B130*(F130/360/100)*E130*(J130/100)</f>
        <v/>
      </c>
      <c r="O130" s="4">
        <f>K130-M130+L130-N130</f>
        <v/>
      </c>
    </row>
    <row r="131">
      <c r="A131" s="2" t="inlineStr">
        <is>
          <t>A75899828</t>
        </is>
      </c>
      <c r="B131" s="4" t="n">
        <v>275.22</v>
      </c>
      <c r="C131" s="3" t="n">
        <v>46007</v>
      </c>
      <c r="D131" s="3" t="n">
        <v>46088</v>
      </c>
      <c r="E131" s="2" t="n">
        <v>41</v>
      </c>
      <c r="F131" s="2" t="n">
        <v>33.67</v>
      </c>
      <c r="G131" s="2" t="n">
        <v>1.98</v>
      </c>
      <c r="H131" s="4" t="n">
        <v>5.45</v>
      </c>
      <c r="I131" s="4" t="n">
        <v>10.55</v>
      </c>
      <c r="J131" s="2" t="n">
        <v>30</v>
      </c>
      <c r="K131" s="4" t="n">
        <v>1.85</v>
      </c>
      <c r="L131" s="4" t="n">
        <v>3.26</v>
      </c>
      <c r="M131" s="4">
        <f>B131*(G131/100)*(J131/100)</f>
        <v/>
      </c>
      <c r="N131" s="4">
        <f>B131*(F131/360/100)*E131*(J131/100)</f>
        <v/>
      </c>
      <c r="O131" s="4">
        <f>K131-M131+L131-N131</f>
        <v/>
      </c>
    </row>
    <row r="132">
      <c r="A132" s="2" t="inlineStr">
        <is>
          <t>A38996666</t>
        </is>
      </c>
      <c r="B132" s="4" t="n">
        <v>9926.92</v>
      </c>
      <c r="C132" s="3" t="n">
        <v>46009</v>
      </c>
      <c r="D132" s="3" t="n">
        <v>46153</v>
      </c>
      <c r="E132" s="2" t="n">
        <v>20</v>
      </c>
      <c r="F132" s="2" t="n">
        <v>48.97</v>
      </c>
      <c r="G132" s="2" t="n">
        <v>1.53</v>
      </c>
      <c r="H132" s="4" t="n">
        <v>151.88</v>
      </c>
      <c r="I132" s="4" t="n">
        <v>270.07</v>
      </c>
      <c r="J132" s="2" t="n">
        <v>20</v>
      </c>
      <c r="K132" s="4" t="n">
        <v>30.25</v>
      </c>
      <c r="L132" s="4" t="n">
        <v>54.18</v>
      </c>
      <c r="M132" s="4">
        <f>B132*(G132/100)*(J132/100)</f>
        <v/>
      </c>
      <c r="N132" s="4">
        <f>B132*(F132/360/100)*E132*(J132/100)</f>
        <v/>
      </c>
      <c r="O132" s="4">
        <f>K132-M132+L132-N132</f>
        <v/>
      </c>
    </row>
    <row r="133">
      <c r="A133" s="2" t="inlineStr">
        <is>
          <t>A88641215</t>
        </is>
      </c>
      <c r="B133" s="4" t="n">
        <v>456.48</v>
      </c>
      <c r="C133" s="3" t="n">
        <v>46010</v>
      </c>
      <c r="D133" s="3" t="n">
        <v>46166</v>
      </c>
      <c r="E133" s="2" t="n">
        <v>19</v>
      </c>
      <c r="F133" s="2" t="n">
        <v>20.62</v>
      </c>
      <c r="G133" s="2" t="n">
        <v>1.75</v>
      </c>
      <c r="H133" s="4" t="n">
        <v>7.99</v>
      </c>
      <c r="I133" s="4" t="n">
        <v>4.97</v>
      </c>
      <c r="J133" s="2" t="n">
        <v>70</v>
      </c>
      <c r="K133" s="4" t="n">
        <v>5.71</v>
      </c>
      <c r="L133" s="4" t="n">
        <v>3.41</v>
      </c>
      <c r="M133" s="4">
        <f>B133*(G133/100)*(J133/100)</f>
        <v/>
      </c>
      <c r="N133" s="4">
        <f>B133*(F133/360/100)*E133*(J133/100)</f>
        <v/>
      </c>
      <c r="O133" s="4">
        <f>K133-M133+L133-N133</f>
        <v/>
      </c>
    </row>
    <row r="134">
      <c r="A134" s="2" t="inlineStr">
        <is>
          <t>A04678513</t>
        </is>
      </c>
      <c r="B134" s="4" t="n">
        <v>9171.43</v>
      </c>
      <c r="C134" s="3" t="n">
        <v>45999</v>
      </c>
      <c r="D134" s="3" t="n">
        <v>46104</v>
      </c>
      <c r="E134" s="2" t="n">
        <v>45</v>
      </c>
      <c r="F134" s="2" t="n">
        <v>42.73</v>
      </c>
      <c r="G134" s="2" t="n">
        <v>1.46</v>
      </c>
      <c r="H134" s="4" t="n">
        <v>133.9</v>
      </c>
      <c r="I134" s="4" t="n">
        <v>489.87</v>
      </c>
      <c r="J134" s="2" t="n">
        <v>20</v>
      </c>
      <c r="K134" s="4" t="n">
        <v>27.03</v>
      </c>
      <c r="L134" s="4" t="n">
        <v>98.04000000000001</v>
      </c>
      <c r="M134" s="4">
        <f>B134*(G134/100)*(J134/100)</f>
        <v/>
      </c>
      <c r="N134" s="4">
        <f>B134*(F134/360/100)*E134*(J134/100)</f>
        <v/>
      </c>
      <c r="O134" s="4">
        <f>K134-M134+L134-N134</f>
        <v/>
      </c>
    </row>
    <row r="135">
      <c r="A135" s="2" t="inlineStr">
        <is>
          <t>A33484001</t>
        </is>
      </c>
      <c r="B135" s="4" t="n">
        <v>882.11</v>
      </c>
      <c r="C135" s="3" t="n">
        <v>45992</v>
      </c>
      <c r="D135" s="3" t="n">
        <v>46109</v>
      </c>
      <c r="E135" s="2" t="n">
        <v>64</v>
      </c>
      <c r="F135" s="2" t="n">
        <v>40.71</v>
      </c>
      <c r="G135" s="2" t="n">
        <v>1.52</v>
      </c>
      <c r="H135" s="4" t="n">
        <v>13.41</v>
      </c>
      <c r="I135" s="4" t="n">
        <v>63.84</v>
      </c>
      <c r="J135" s="2" t="n">
        <v>70</v>
      </c>
      <c r="K135" s="4" t="n">
        <v>9.18</v>
      </c>
      <c r="L135" s="4" t="n">
        <v>44.65</v>
      </c>
      <c r="M135" s="4">
        <f>B135*(G135/100)*(J135/100)</f>
        <v/>
      </c>
      <c r="N135" s="4">
        <f>B135*(F135/360/100)*E135*(J135/100)</f>
        <v/>
      </c>
      <c r="O135" s="4">
        <f>K135-M135+L135-N135</f>
        <v/>
      </c>
    </row>
    <row r="136">
      <c r="A136" s="2" t="inlineStr">
        <is>
          <t>B14225478</t>
        </is>
      </c>
      <c r="B136" s="4" t="n">
        <v>841.8</v>
      </c>
      <c r="C136" s="3" t="n">
        <v>46003</v>
      </c>
      <c r="D136" s="3" t="n">
        <v>46033</v>
      </c>
      <c r="E136" s="2" t="n">
        <v>85</v>
      </c>
      <c r="F136" s="2" t="n">
        <v>25.76</v>
      </c>
      <c r="G136" s="2" t="n">
        <v>0.64</v>
      </c>
      <c r="H136" s="4" t="n">
        <v>5.39</v>
      </c>
      <c r="I136" s="4" t="n">
        <v>51.2</v>
      </c>
      <c r="J136" s="2" t="n">
        <v>20</v>
      </c>
      <c r="K136" s="4" t="n">
        <v>0.82</v>
      </c>
      <c r="L136" s="4" t="n">
        <v>9.960000000000001</v>
      </c>
      <c r="M136" s="4">
        <f>B136*(G136/100)*(J136/100)</f>
        <v/>
      </c>
      <c r="N136" s="4">
        <f>B136*(F136/360/100)*E136*(J136/100)</f>
        <v/>
      </c>
      <c r="O136" s="4">
        <f>K136-M136+L136-N136</f>
        <v/>
      </c>
    </row>
    <row r="137">
      <c r="A137" s="2" t="inlineStr">
        <is>
          <t>B18851877</t>
        </is>
      </c>
      <c r="B137" s="4" t="n">
        <v>6941.13</v>
      </c>
      <c r="C137" s="3" t="n">
        <v>46005</v>
      </c>
      <c r="D137" s="3" t="n">
        <v>46132</v>
      </c>
      <c r="E137" s="2" t="n">
        <v>23</v>
      </c>
      <c r="F137" s="2" t="n">
        <v>18.68</v>
      </c>
      <c r="G137" s="2" t="n">
        <v>2.59</v>
      </c>
      <c r="H137" s="4" t="n">
        <v>179.78</v>
      </c>
      <c r="I137" s="4" t="n">
        <v>82.84</v>
      </c>
      <c r="J137" s="2" t="n">
        <v>40</v>
      </c>
      <c r="K137" s="4" t="n">
        <v>71.79000000000001</v>
      </c>
      <c r="L137" s="4" t="n">
        <v>33.15</v>
      </c>
      <c r="M137" s="4">
        <f>B137*(G137/100)*(J137/100)</f>
        <v/>
      </c>
      <c r="N137" s="4">
        <f>B137*(F137/360/100)*E137*(J137/100)</f>
        <v/>
      </c>
      <c r="O137" s="4">
        <f>K137-M137+L137-N137</f>
        <v/>
      </c>
    </row>
    <row r="138">
      <c r="A138" s="2" t="inlineStr">
        <is>
          <t>B53439160</t>
        </is>
      </c>
      <c r="B138" s="4" t="n">
        <v>7835.11</v>
      </c>
      <c r="C138" s="3" t="n">
        <v>46012</v>
      </c>
      <c r="D138" s="3" t="n">
        <v>46049</v>
      </c>
      <c r="E138" s="2" t="n">
        <v>27</v>
      </c>
      <c r="F138" s="2" t="n">
        <v>23.1</v>
      </c>
      <c r="G138" s="2" t="n">
        <v>1.05</v>
      </c>
      <c r="H138" s="4" t="n">
        <v>82.27</v>
      </c>
      <c r="I138" s="4" t="n">
        <v>135.74</v>
      </c>
      <c r="J138" s="2" t="n">
        <v>50</v>
      </c>
      <c r="K138" s="4" t="n">
        <v>41.18</v>
      </c>
      <c r="L138" s="4" t="n">
        <v>68.06</v>
      </c>
      <c r="M138" s="4">
        <f>B138*(G138/100)*(J138/100)</f>
        <v/>
      </c>
      <c r="N138" s="4">
        <f>B138*(F138/360/100)*E138*(J138/100)</f>
        <v/>
      </c>
      <c r="O138" s="4">
        <f>K138-M138+L138-N138</f>
        <v/>
      </c>
    </row>
    <row r="139">
      <c r="A139" s="2" t="inlineStr">
        <is>
          <t>B86599173</t>
        </is>
      </c>
      <c r="B139" s="4" t="n">
        <v>940.05</v>
      </c>
      <c r="C139" s="3" t="n">
        <v>46018</v>
      </c>
      <c r="D139" s="3" t="n">
        <v>46042</v>
      </c>
      <c r="E139" s="2" t="n">
        <v>88</v>
      </c>
      <c r="F139" s="2" t="n">
        <v>19.04</v>
      </c>
      <c r="G139" s="2" t="n">
        <v>2.58</v>
      </c>
      <c r="H139" s="4" t="n">
        <v>24.25</v>
      </c>
      <c r="I139" s="4" t="n">
        <v>43.75</v>
      </c>
      <c r="J139" s="2" t="n">
        <v>20</v>
      </c>
      <c r="K139" s="4" t="n">
        <v>5.12</v>
      </c>
      <c r="L139" s="4" t="n">
        <v>8.460000000000001</v>
      </c>
      <c r="M139" s="4">
        <f>B139*(G139/100)*(J139/100)</f>
        <v/>
      </c>
      <c r="N139" s="4">
        <f>B139*(F139/360/100)*E139*(J139/100)</f>
        <v/>
      </c>
      <c r="O139" s="4">
        <f>K139-M139+L139-N139</f>
        <v/>
      </c>
    </row>
    <row r="140">
      <c r="A140" s="2" t="inlineStr">
        <is>
          <t>A34982925</t>
        </is>
      </c>
      <c r="B140" s="4" t="n">
        <v>598.97</v>
      </c>
      <c r="C140" s="3" t="n">
        <v>45992</v>
      </c>
      <c r="D140" s="3" t="n">
        <v>46114</v>
      </c>
      <c r="E140" s="2" t="n">
        <v>68</v>
      </c>
      <c r="F140" s="2" t="n">
        <v>44.85</v>
      </c>
      <c r="G140" s="2" t="n">
        <v>2.11</v>
      </c>
      <c r="H140" s="4" t="n">
        <v>12.64</v>
      </c>
      <c r="I140" s="4" t="n">
        <v>50.74</v>
      </c>
      <c r="J140" s="2" t="n">
        <v>50</v>
      </c>
      <c r="K140" s="4" t="n">
        <v>6.37</v>
      </c>
      <c r="L140" s="4" t="n">
        <v>25.29</v>
      </c>
      <c r="M140" s="4">
        <f>B140*(G140/100)*(J140/100)</f>
        <v/>
      </c>
      <c r="N140" s="4">
        <f>B140*(F140/360/100)*E140*(J140/100)</f>
        <v/>
      </c>
      <c r="O140" s="4">
        <f>K140-M140+L140-N140</f>
        <v/>
      </c>
    </row>
    <row r="141">
      <c r="A141" s="2" t="inlineStr">
        <is>
          <t>A91563398</t>
        </is>
      </c>
      <c r="B141" s="4" t="n">
        <v>8141.96</v>
      </c>
      <c r="C141" s="3" t="n">
        <v>46000</v>
      </c>
      <c r="D141" s="3" t="n">
        <v>46169</v>
      </c>
      <c r="E141" s="2" t="n">
        <v>38</v>
      </c>
      <c r="F141" s="2" t="n">
        <v>26.68</v>
      </c>
      <c r="G141" s="2" t="n">
        <v>1.76</v>
      </c>
      <c r="H141" s="4" t="n">
        <v>143.3</v>
      </c>
      <c r="I141" s="4" t="n">
        <v>229.3</v>
      </c>
      <c r="J141" s="2" t="n">
        <v>20</v>
      </c>
      <c r="K141" s="4" t="n">
        <v>28.56</v>
      </c>
      <c r="L141" s="4" t="n">
        <v>45.75</v>
      </c>
      <c r="M141" s="4">
        <f>B141*(G141/100)*(J141/100)</f>
        <v/>
      </c>
      <c r="N141" s="4">
        <f>B141*(F141/360/100)*E141*(J141/100)</f>
        <v/>
      </c>
      <c r="O141" s="4">
        <f>K141-M141+L141-N141</f>
        <v/>
      </c>
    </row>
    <row r="142">
      <c r="A142" s="2" t="inlineStr">
        <is>
          <t>B81248591</t>
        </is>
      </c>
      <c r="B142" s="4" t="n">
        <v>8940.209999999999</v>
      </c>
      <c r="C142" s="3" t="n">
        <v>46006</v>
      </c>
      <c r="D142" s="3" t="n">
        <v>46104</v>
      </c>
      <c r="E142" s="2" t="n">
        <v>21</v>
      </c>
      <c r="F142" s="2" t="n">
        <v>23.62</v>
      </c>
      <c r="G142" s="2" t="n">
        <v>1.95</v>
      </c>
      <c r="H142" s="4" t="n">
        <v>174.33</v>
      </c>
      <c r="I142" s="4" t="n">
        <v>123.18</v>
      </c>
      <c r="J142" s="2" t="n">
        <v>70</v>
      </c>
      <c r="K142" s="4" t="n">
        <v>122.24</v>
      </c>
      <c r="L142" s="4" t="n">
        <v>86.19</v>
      </c>
      <c r="M142" s="4">
        <f>B142*(G142/100)*(J142/100)</f>
        <v/>
      </c>
      <c r="N142" s="4">
        <f>B142*(F142/360/100)*E142*(J142/100)</f>
        <v/>
      </c>
      <c r="O142" s="4">
        <f>K142-M142+L142-N142</f>
        <v/>
      </c>
    </row>
    <row r="143">
      <c r="A143" s="2" t="inlineStr">
        <is>
          <t>A12635750</t>
        </is>
      </c>
      <c r="B143" s="4" t="n">
        <v>3756.46</v>
      </c>
      <c r="C143" s="3" t="n">
        <v>46014</v>
      </c>
      <c r="D143" s="3" t="n">
        <v>46168</v>
      </c>
      <c r="E143" s="2" t="n">
        <v>41</v>
      </c>
      <c r="F143" s="2" t="n">
        <v>34.01</v>
      </c>
      <c r="G143" s="2" t="n">
        <v>1.05</v>
      </c>
      <c r="H143" s="4" t="n">
        <v>39.44</v>
      </c>
      <c r="I143" s="4" t="n">
        <v>145.5</v>
      </c>
      <c r="J143" s="2" t="n">
        <v>60</v>
      </c>
      <c r="K143" s="4" t="n">
        <v>23.49</v>
      </c>
      <c r="L143" s="4" t="n">
        <v>87.51000000000001</v>
      </c>
      <c r="M143" s="4">
        <f>B143*(G143/100)*(J143/100)</f>
        <v/>
      </c>
      <c r="N143" s="4">
        <f>B143*(F143/360/100)*E143*(J143/100)</f>
        <v/>
      </c>
      <c r="O143" s="4">
        <f>K143-M143+L143-N143</f>
        <v/>
      </c>
    </row>
    <row r="144">
      <c r="A144" s="2" t="inlineStr">
        <is>
          <t>B73452158</t>
        </is>
      </c>
      <c r="B144" s="4" t="n">
        <v>5130.5</v>
      </c>
      <c r="C144" s="3" t="n">
        <v>46019</v>
      </c>
      <c r="D144" s="3" t="n">
        <v>46045</v>
      </c>
      <c r="E144" s="2" t="n">
        <v>48</v>
      </c>
      <c r="F144" s="2" t="n">
        <v>34.85</v>
      </c>
      <c r="G144" s="2" t="n">
        <v>1.92</v>
      </c>
      <c r="H144" s="4" t="n">
        <v>98.51000000000001</v>
      </c>
      <c r="I144" s="4" t="n">
        <v>238.4</v>
      </c>
      <c r="J144" s="2" t="n">
        <v>20</v>
      </c>
      <c r="K144" s="4" t="n">
        <v>19.45</v>
      </c>
      <c r="L144" s="4" t="n">
        <v>47.66</v>
      </c>
      <c r="M144" s="4">
        <f>B144*(G144/100)*(J144/100)</f>
        <v/>
      </c>
      <c r="N144" s="4">
        <f>B144*(F144/360/100)*E144*(J144/100)</f>
        <v/>
      </c>
      <c r="O144" s="4">
        <f>K144-M144+L144-N144</f>
        <v/>
      </c>
    </row>
    <row r="145">
      <c r="A145" s="2" t="inlineStr">
        <is>
          <t>A21430616</t>
        </is>
      </c>
      <c r="B145" s="4" t="n">
        <v>525.24</v>
      </c>
      <c r="C145" s="3" t="n">
        <v>45999</v>
      </c>
      <c r="D145" s="3" t="n">
        <v>46129</v>
      </c>
      <c r="E145" s="2" t="n">
        <v>28</v>
      </c>
      <c r="F145" s="2" t="n">
        <v>37.38</v>
      </c>
      <c r="G145" s="2" t="n">
        <v>2.26</v>
      </c>
      <c r="H145" s="4" t="n">
        <v>11.87</v>
      </c>
      <c r="I145" s="4" t="n">
        <v>15.27</v>
      </c>
      <c r="J145" s="2" t="n">
        <v>30</v>
      </c>
      <c r="K145" s="4" t="n">
        <v>3.77</v>
      </c>
      <c r="L145" s="4" t="n">
        <v>4.45</v>
      </c>
      <c r="M145" s="4">
        <f>B145*(G145/100)*(J145/100)</f>
        <v/>
      </c>
      <c r="N145" s="4">
        <f>B145*(F145/360/100)*E145*(J145/100)</f>
        <v/>
      </c>
      <c r="O145" s="4">
        <f>K145-M145+L145-N145</f>
        <v/>
      </c>
    </row>
    <row r="146">
      <c r="A146" s="2" t="inlineStr">
        <is>
          <t>A94663659</t>
        </is>
      </c>
      <c r="B146" s="4" t="n">
        <v>156.96</v>
      </c>
      <c r="C146" s="3" t="n">
        <v>46019</v>
      </c>
      <c r="D146" s="3" t="n">
        <v>46089</v>
      </c>
      <c r="E146" s="2" t="n">
        <v>76</v>
      </c>
      <c r="F146" s="2" t="n">
        <v>13.96</v>
      </c>
      <c r="G146" s="2" t="n">
        <v>1.21</v>
      </c>
      <c r="H146" s="4" t="n">
        <v>1.9</v>
      </c>
      <c r="I146" s="4" t="n">
        <v>4.63</v>
      </c>
      <c r="J146" s="2" t="n">
        <v>20</v>
      </c>
      <c r="K146" s="4" t="n">
        <v>0.61</v>
      </c>
      <c r="L146" s="4" t="n">
        <v>0.63</v>
      </c>
      <c r="M146" s="4">
        <f>B146*(G146/100)*(J146/100)</f>
        <v/>
      </c>
      <c r="N146" s="4">
        <f>B146*(F146/360/100)*E146*(J146/100)</f>
        <v/>
      </c>
      <c r="O146" s="4">
        <f>K146-M146+L146-N146</f>
        <v/>
      </c>
    </row>
    <row r="147">
      <c r="A147" s="2" t="inlineStr">
        <is>
          <t>B24639776</t>
        </is>
      </c>
      <c r="B147" s="4" t="n">
        <v>436.19</v>
      </c>
      <c r="C147" s="3" t="n">
        <v>45993</v>
      </c>
      <c r="D147" s="3" t="n">
        <v>46166</v>
      </c>
      <c r="E147" s="2" t="n">
        <v>76</v>
      </c>
      <c r="F147" s="2" t="n">
        <v>21.3</v>
      </c>
      <c r="G147" s="2" t="n">
        <v>0.51</v>
      </c>
      <c r="H147" s="4" t="n">
        <v>2.22</v>
      </c>
      <c r="I147" s="4" t="n">
        <v>19.61</v>
      </c>
      <c r="J147" s="2" t="n">
        <v>50</v>
      </c>
      <c r="K147" s="4" t="n">
        <v>0.99</v>
      </c>
      <c r="L147" s="4" t="n">
        <v>9.779999999999999</v>
      </c>
      <c r="M147" s="4">
        <f>B147*(G147/100)*(J147/100)</f>
        <v/>
      </c>
      <c r="N147" s="4">
        <f>B147*(F147/360/100)*E147*(J147/100)</f>
        <v/>
      </c>
      <c r="O147" s="4">
        <f>K147-M147+L147-N147</f>
        <v/>
      </c>
    </row>
    <row r="148">
      <c r="A148" s="2" t="inlineStr">
        <is>
          <t>B76922649</t>
        </is>
      </c>
      <c r="B148" s="4" t="n">
        <v>147.49</v>
      </c>
      <c r="C148" s="3" t="n">
        <v>45992</v>
      </c>
      <c r="D148" s="3" t="n">
        <v>46095</v>
      </c>
      <c r="E148" s="2" t="n">
        <v>37</v>
      </c>
      <c r="F148" s="2" t="n">
        <v>43.76</v>
      </c>
      <c r="G148" s="2" t="n">
        <v>1.76</v>
      </c>
      <c r="H148" s="4" t="n">
        <v>2.6</v>
      </c>
      <c r="I148" s="4" t="n">
        <v>6.63</v>
      </c>
      <c r="J148" s="2" t="n">
        <v>50</v>
      </c>
      <c r="K148" s="4" t="n">
        <v>1.5</v>
      </c>
      <c r="L148" s="4" t="n">
        <v>3.51</v>
      </c>
      <c r="M148" s="4">
        <f>B148*(G148/100)*(J148/100)</f>
        <v/>
      </c>
      <c r="N148" s="4">
        <f>B148*(F148/360/100)*E148*(J148/100)</f>
        <v/>
      </c>
      <c r="O148" s="4">
        <f>K148-M148+L148-N148</f>
        <v/>
      </c>
    </row>
    <row r="149">
      <c r="A149" s="2" t="inlineStr">
        <is>
          <t>B17050627</t>
        </is>
      </c>
      <c r="B149" s="4" t="n">
        <v>9028.65</v>
      </c>
      <c r="C149" s="3" t="n">
        <v>46012</v>
      </c>
      <c r="D149" s="3" t="n">
        <v>46097</v>
      </c>
      <c r="E149" s="2" t="n">
        <v>62</v>
      </c>
      <c r="F149" s="2" t="n">
        <v>38.83</v>
      </c>
      <c r="G149" s="2" t="n">
        <v>2.26</v>
      </c>
      <c r="H149" s="4" t="n">
        <v>204.05</v>
      </c>
      <c r="I149" s="4" t="n">
        <v>603.78</v>
      </c>
      <c r="J149" s="2" t="n">
        <v>50</v>
      </c>
      <c r="K149" s="4" t="n">
        <v>101.81</v>
      </c>
      <c r="L149" s="4" t="n">
        <v>301.63</v>
      </c>
      <c r="M149" s="4">
        <f>B149*(G149/100)*(J149/100)</f>
        <v/>
      </c>
      <c r="N149" s="4">
        <f>B149*(F149/360/100)*E149*(J149/100)</f>
        <v/>
      </c>
      <c r="O149" s="4">
        <f>K149-M149+L149-N149</f>
        <v/>
      </c>
    </row>
    <row r="150">
      <c r="A150" s="2" t="inlineStr">
        <is>
          <t>B21017189</t>
        </is>
      </c>
      <c r="B150" s="4" t="n">
        <v>908.27</v>
      </c>
      <c r="C150" s="3" t="n">
        <v>46016</v>
      </c>
      <c r="D150" s="3" t="n">
        <v>46144</v>
      </c>
      <c r="E150" s="2" t="n">
        <v>42</v>
      </c>
      <c r="F150" s="2" t="n">
        <v>23.24</v>
      </c>
      <c r="G150" s="2" t="n">
        <v>1.28</v>
      </c>
      <c r="H150" s="4" t="n">
        <v>11.63</v>
      </c>
      <c r="I150" s="4" t="n">
        <v>24.63</v>
      </c>
      <c r="J150" s="2" t="n">
        <v>30</v>
      </c>
      <c r="K150" s="4" t="n">
        <v>3.47</v>
      </c>
      <c r="L150" s="4" t="n">
        <v>7.17</v>
      </c>
      <c r="M150" s="4">
        <f>B150*(G150/100)*(J150/100)</f>
        <v/>
      </c>
      <c r="N150" s="4">
        <f>B150*(F150/360/100)*E150*(J150/100)</f>
        <v/>
      </c>
      <c r="O150" s="4">
        <f>K150-M150+L150-N150</f>
        <v/>
      </c>
    </row>
    <row r="151">
      <c r="A151" s="2" t="inlineStr">
        <is>
          <t>B92746926</t>
        </is>
      </c>
      <c r="B151" s="4" t="n">
        <v>457.19</v>
      </c>
      <c r="C151" s="3" t="n">
        <v>46001</v>
      </c>
      <c r="D151" s="3" t="n">
        <v>46097</v>
      </c>
      <c r="E151" s="2" t="n">
        <v>17</v>
      </c>
      <c r="F151" s="2" t="n">
        <v>12.66</v>
      </c>
      <c r="G151" s="2" t="n">
        <v>2.22</v>
      </c>
      <c r="H151" s="4" t="n">
        <v>10.15</v>
      </c>
      <c r="I151" s="4" t="n">
        <v>2.73</v>
      </c>
      <c r="J151" s="2" t="n">
        <v>30</v>
      </c>
      <c r="K151" s="4" t="n">
        <v>3.33</v>
      </c>
      <c r="L151" s="4" t="n">
        <v>1.07</v>
      </c>
      <c r="M151" s="4">
        <f>B151*(G151/100)*(J151/100)</f>
        <v/>
      </c>
      <c r="N151" s="4">
        <f>B151*(F151/360/100)*E151*(J151/100)</f>
        <v/>
      </c>
      <c r="O151" s="4">
        <f>K151-M151+L151-N151</f>
        <v/>
      </c>
    </row>
    <row r="152">
      <c r="A152" s="2" t="inlineStr">
        <is>
          <t>A74357395</t>
        </is>
      </c>
      <c r="B152" s="4" t="n">
        <v>319.77</v>
      </c>
      <c r="C152" s="3" t="n">
        <v>45993</v>
      </c>
      <c r="D152" s="3" t="n">
        <v>46098</v>
      </c>
      <c r="E152" s="2" t="n">
        <v>21</v>
      </c>
      <c r="F152" s="2" t="n">
        <v>28.15</v>
      </c>
      <c r="G152" s="2" t="n">
        <v>2.73</v>
      </c>
      <c r="H152" s="4" t="n">
        <v>8.73</v>
      </c>
      <c r="I152" s="4" t="n">
        <v>5.25</v>
      </c>
      <c r="J152" s="2" t="n">
        <v>40</v>
      </c>
      <c r="K152" s="4" t="n">
        <v>3.63</v>
      </c>
      <c r="L152" s="4" t="n">
        <v>1.88</v>
      </c>
      <c r="M152" s="4">
        <f>B152*(G152/100)*(J152/100)</f>
        <v/>
      </c>
      <c r="N152" s="4">
        <f>B152*(F152/360/100)*E152*(J152/100)</f>
        <v/>
      </c>
      <c r="O152" s="4">
        <f>K152-M152+L152-N152</f>
        <v/>
      </c>
    </row>
    <row r="153">
      <c r="A153" s="2" t="inlineStr">
        <is>
          <t>B04173681</t>
        </is>
      </c>
      <c r="B153" s="4" t="n">
        <v>154.79</v>
      </c>
      <c r="C153" s="3" t="n">
        <v>46003</v>
      </c>
      <c r="D153" s="3" t="n">
        <v>46122</v>
      </c>
      <c r="E153" s="2" t="n">
        <v>33</v>
      </c>
      <c r="F153" s="2" t="n">
        <v>48.79</v>
      </c>
      <c r="G153" s="2" t="n">
        <v>2.41</v>
      </c>
      <c r="H153" s="4" t="n">
        <v>3.73</v>
      </c>
      <c r="I153" s="4" t="n">
        <v>6.92</v>
      </c>
      <c r="J153" s="2" t="n">
        <v>40</v>
      </c>
      <c r="K153" s="4" t="n">
        <v>1.72</v>
      </c>
      <c r="L153" s="4" t="n">
        <v>2.87</v>
      </c>
      <c r="M153" s="4">
        <f>B153*(G153/100)*(J153/100)</f>
        <v/>
      </c>
      <c r="N153" s="4">
        <f>B153*(F153/360/100)*E153*(J153/100)</f>
        <v/>
      </c>
      <c r="O153" s="4">
        <f>K153-M153+L153-N153</f>
        <v/>
      </c>
    </row>
    <row r="154">
      <c r="A154" s="2" t="inlineStr">
        <is>
          <t>B60487844</t>
        </is>
      </c>
      <c r="B154" s="4" t="n">
        <v>804.86</v>
      </c>
      <c r="C154" s="3" t="n">
        <v>45993</v>
      </c>
      <c r="D154" s="3" t="n">
        <v>46067</v>
      </c>
      <c r="E154" s="2" t="n">
        <v>11</v>
      </c>
      <c r="F154" s="2" t="n">
        <v>36.77</v>
      </c>
      <c r="G154" s="2" t="n">
        <v>2.04</v>
      </c>
      <c r="H154" s="4" t="n">
        <v>16.42</v>
      </c>
      <c r="I154" s="4" t="n">
        <v>9.039999999999999</v>
      </c>
      <c r="J154" s="2" t="n">
        <v>20</v>
      </c>
      <c r="K154" s="4" t="n">
        <v>3.32</v>
      </c>
      <c r="L154" s="4" t="n">
        <v>1.96</v>
      </c>
      <c r="M154" s="4">
        <f>B154*(G154/100)*(J154/100)</f>
        <v/>
      </c>
      <c r="N154" s="4">
        <f>B154*(F154/360/100)*E154*(J154/100)</f>
        <v/>
      </c>
      <c r="O154" s="4">
        <f>K154-M154+L154-N154</f>
        <v/>
      </c>
    </row>
    <row r="155">
      <c r="A155" s="2" t="inlineStr">
        <is>
          <t>A58630456</t>
        </is>
      </c>
      <c r="B155" s="4" t="n">
        <v>924.48</v>
      </c>
      <c r="C155" s="3" t="n">
        <v>45999</v>
      </c>
      <c r="D155" s="3" t="n">
        <v>46066</v>
      </c>
      <c r="E155" s="2" t="n">
        <v>48</v>
      </c>
      <c r="F155" s="2" t="n">
        <v>21.66</v>
      </c>
      <c r="G155" s="2" t="n">
        <v>2.5</v>
      </c>
      <c r="H155" s="4" t="n">
        <v>23.11</v>
      </c>
      <c r="I155" s="4" t="n">
        <v>26.7</v>
      </c>
      <c r="J155" s="2" t="n">
        <v>20</v>
      </c>
      <c r="K155" s="4" t="n">
        <v>4.52</v>
      </c>
      <c r="L155" s="4" t="n">
        <v>5.21</v>
      </c>
      <c r="M155" s="4">
        <f>B155*(G155/100)*(J155/100)</f>
        <v/>
      </c>
      <c r="N155" s="4">
        <f>B155*(F155/360/100)*E155*(J155/100)</f>
        <v/>
      </c>
      <c r="O155" s="4">
        <f>K155-M155+L155-N155</f>
        <v/>
      </c>
    </row>
    <row r="156">
      <c r="A156" s="2" t="inlineStr">
        <is>
          <t>A69716470</t>
        </is>
      </c>
      <c r="B156" s="4" t="n">
        <v>269.4</v>
      </c>
      <c r="C156" s="3" t="n">
        <v>45999</v>
      </c>
      <c r="D156" s="3" t="n">
        <v>46029</v>
      </c>
      <c r="E156" s="2" t="n">
        <v>82</v>
      </c>
      <c r="F156" s="2" t="n">
        <v>34.12</v>
      </c>
      <c r="G156" s="2" t="n">
        <v>2.92</v>
      </c>
      <c r="H156" s="4" t="n">
        <v>7.87</v>
      </c>
      <c r="I156" s="4" t="n">
        <v>20.94</v>
      </c>
      <c r="J156" s="2" t="n">
        <v>50</v>
      </c>
      <c r="K156" s="4" t="n">
        <v>4.21</v>
      </c>
      <c r="L156" s="4" t="n">
        <v>10.68</v>
      </c>
      <c r="M156" s="4">
        <f>B156*(G156/100)*(J156/100)</f>
        <v/>
      </c>
      <c r="N156" s="4">
        <f>B156*(F156/360/100)*E156*(J156/100)</f>
        <v/>
      </c>
      <c r="O156" s="4">
        <f>K156-M156+L156-N156</f>
        <v/>
      </c>
    </row>
    <row r="157">
      <c r="A157" s="2" t="inlineStr">
        <is>
          <t>B41338591</t>
        </is>
      </c>
      <c r="B157" s="4" t="n">
        <v>148.21</v>
      </c>
      <c r="C157" s="3" t="n">
        <v>45994</v>
      </c>
      <c r="D157" s="3" t="n">
        <v>46094</v>
      </c>
      <c r="E157" s="2" t="n">
        <v>64</v>
      </c>
      <c r="F157" s="2" t="n">
        <v>18.48</v>
      </c>
      <c r="G157" s="2" t="n">
        <v>1.28</v>
      </c>
      <c r="H157" s="4" t="n">
        <v>1.9</v>
      </c>
      <c r="I157" s="4" t="n">
        <v>4.87</v>
      </c>
      <c r="J157" s="2" t="n">
        <v>40</v>
      </c>
      <c r="K157" s="4" t="n">
        <v>0.52</v>
      </c>
      <c r="L157" s="4" t="n">
        <v>2.04</v>
      </c>
      <c r="M157" s="4">
        <f>B157*(G157/100)*(J157/100)</f>
        <v/>
      </c>
      <c r="N157" s="4">
        <f>B157*(F157/360/100)*E157*(J157/100)</f>
        <v/>
      </c>
      <c r="O157" s="4">
        <f>K157-M157+L157-N157</f>
        <v/>
      </c>
    </row>
    <row r="158">
      <c r="A158" s="2" t="inlineStr">
        <is>
          <t>A35669986</t>
        </is>
      </c>
      <c r="B158" s="4" t="n">
        <v>616.85</v>
      </c>
      <c r="C158" s="3" t="n">
        <v>45999</v>
      </c>
      <c r="D158" s="3" t="n">
        <v>46137</v>
      </c>
      <c r="E158" s="2" t="n">
        <v>55</v>
      </c>
      <c r="F158" s="2" t="n">
        <v>21.26</v>
      </c>
      <c r="G158" s="2" t="n">
        <v>2.55</v>
      </c>
      <c r="H158" s="4" t="n">
        <v>15.73</v>
      </c>
      <c r="I158" s="4" t="n">
        <v>20.04</v>
      </c>
      <c r="J158" s="2" t="n">
        <v>70</v>
      </c>
      <c r="K158" s="4" t="n">
        <v>11.23</v>
      </c>
      <c r="L158" s="4" t="n">
        <v>14.11</v>
      </c>
      <c r="M158" s="4">
        <f>B158*(G158/100)*(J158/100)</f>
        <v/>
      </c>
      <c r="N158" s="4">
        <f>B158*(F158/360/100)*E158*(J158/100)</f>
        <v/>
      </c>
      <c r="O158" s="4">
        <f>K158-M158+L158-N158</f>
        <v/>
      </c>
    </row>
    <row r="159">
      <c r="A159" s="2" t="inlineStr">
        <is>
          <t>B79511448</t>
        </is>
      </c>
      <c r="B159" s="4" t="n">
        <v>3378.51</v>
      </c>
      <c r="C159" s="3" t="n">
        <v>46005</v>
      </c>
      <c r="D159" s="3" t="n">
        <v>46039</v>
      </c>
      <c r="E159" s="2" t="n">
        <v>31</v>
      </c>
      <c r="F159" s="2" t="n">
        <v>28.57</v>
      </c>
      <c r="G159" s="2" t="n">
        <v>1.87</v>
      </c>
      <c r="H159" s="4" t="n">
        <v>63.18</v>
      </c>
      <c r="I159" s="4" t="n">
        <v>83.12</v>
      </c>
      <c r="J159" s="2" t="n">
        <v>30</v>
      </c>
      <c r="K159" s="4" t="n">
        <v>18.94</v>
      </c>
      <c r="L159" s="4" t="n">
        <v>24.83</v>
      </c>
      <c r="M159" s="4">
        <f>B159*(G159/100)*(J159/100)</f>
        <v/>
      </c>
      <c r="N159" s="4">
        <f>B159*(F159/360/100)*E159*(J159/100)</f>
        <v/>
      </c>
      <c r="O159" s="4">
        <f>K159-M159+L159-N159</f>
        <v/>
      </c>
    </row>
    <row r="160">
      <c r="A160" s="2" t="inlineStr">
        <is>
          <t>A35720637</t>
        </is>
      </c>
      <c r="B160" s="4" t="n">
        <v>754.27</v>
      </c>
      <c r="C160" s="3" t="n">
        <v>46008</v>
      </c>
      <c r="D160" s="3" t="n">
        <v>46099</v>
      </c>
      <c r="E160" s="2" t="n">
        <v>30</v>
      </c>
      <c r="F160" s="2" t="n">
        <v>25.46</v>
      </c>
      <c r="G160" s="2" t="n">
        <v>2.25</v>
      </c>
      <c r="H160" s="4" t="n">
        <v>16.97</v>
      </c>
      <c r="I160" s="4" t="n">
        <v>16</v>
      </c>
      <c r="J160" s="2" t="n">
        <v>70</v>
      </c>
      <c r="K160" s="4" t="n">
        <v>12.11</v>
      </c>
      <c r="L160" s="4" t="n">
        <v>11.27</v>
      </c>
      <c r="M160" s="4">
        <f>B160*(G160/100)*(J160/100)</f>
        <v/>
      </c>
      <c r="N160" s="4">
        <f>B160*(F160/360/100)*E160*(J160/100)</f>
        <v/>
      </c>
      <c r="O160" s="4">
        <f>K160-M160+L160-N160</f>
        <v/>
      </c>
    </row>
    <row r="161">
      <c r="A161" s="2" t="inlineStr">
        <is>
          <t>B73902506</t>
        </is>
      </c>
      <c r="B161" s="4" t="n">
        <v>9365.459999999999</v>
      </c>
      <c r="C161" s="3" t="n">
        <v>46006</v>
      </c>
      <c r="D161" s="3" t="n">
        <v>46080</v>
      </c>
      <c r="E161" s="2" t="n">
        <v>80</v>
      </c>
      <c r="F161" s="2" t="n">
        <v>35.93</v>
      </c>
      <c r="G161" s="2" t="n">
        <v>1.95</v>
      </c>
      <c r="H161" s="4" t="n">
        <v>182.63</v>
      </c>
      <c r="I161" s="4" t="n">
        <v>747.78</v>
      </c>
      <c r="J161" s="2" t="n">
        <v>40</v>
      </c>
      <c r="K161" s="4" t="n">
        <v>73.34</v>
      </c>
      <c r="L161" s="4" t="n">
        <v>299.21</v>
      </c>
      <c r="M161" s="4">
        <f>B161*(G161/100)*(J161/100)</f>
        <v/>
      </c>
      <c r="N161" s="4">
        <f>B161*(F161/360/100)*E161*(J161/100)</f>
        <v/>
      </c>
      <c r="O161" s="4">
        <f>K161-M161+L161-N161</f>
        <v/>
      </c>
    </row>
    <row r="162">
      <c r="A162" s="2" t="inlineStr">
        <is>
          <t>A62059817</t>
        </is>
      </c>
      <c r="B162" s="4" t="n">
        <v>447.72</v>
      </c>
      <c r="C162" s="3" t="n">
        <v>45999</v>
      </c>
      <c r="D162" s="3" t="n">
        <v>46049</v>
      </c>
      <c r="E162" s="2" t="n">
        <v>39</v>
      </c>
      <c r="F162" s="2" t="n">
        <v>38.13</v>
      </c>
      <c r="G162" s="2" t="n">
        <v>1.6</v>
      </c>
      <c r="H162" s="4" t="n">
        <v>7.16</v>
      </c>
      <c r="I162" s="4" t="n">
        <v>18.49</v>
      </c>
      <c r="J162" s="2" t="n">
        <v>50</v>
      </c>
      <c r="K162" s="4" t="n">
        <v>3.63</v>
      </c>
      <c r="L162" s="4" t="n">
        <v>9.16</v>
      </c>
      <c r="M162" s="4">
        <f>B162*(G162/100)*(J162/100)</f>
        <v/>
      </c>
      <c r="N162" s="4">
        <f>B162*(F162/360/100)*E162*(J162/100)</f>
        <v/>
      </c>
      <c r="O162" s="4">
        <f>K162-M162+L162-N162</f>
        <v/>
      </c>
    </row>
    <row r="163">
      <c r="A163" s="2" t="inlineStr">
        <is>
          <t>B80982212</t>
        </is>
      </c>
      <c r="B163" s="4" t="n">
        <v>947.53</v>
      </c>
      <c r="C163" s="3" t="n">
        <v>45999</v>
      </c>
      <c r="D163" s="3" t="n">
        <v>46177</v>
      </c>
      <c r="E163" s="2" t="n">
        <v>39</v>
      </c>
      <c r="F163" s="2" t="n">
        <v>40.49</v>
      </c>
      <c r="G163" s="2" t="n">
        <v>2.3</v>
      </c>
      <c r="H163" s="4" t="n">
        <v>21.79</v>
      </c>
      <c r="I163" s="4" t="n">
        <v>41.56</v>
      </c>
      <c r="J163" s="2" t="n">
        <v>20</v>
      </c>
      <c r="K163" s="4" t="n">
        <v>4.18</v>
      </c>
      <c r="L163" s="4" t="n">
        <v>8.1</v>
      </c>
      <c r="M163" s="4">
        <f>B163*(G163/100)*(J163/100)</f>
        <v/>
      </c>
      <c r="N163" s="4">
        <f>B163*(F163/360/100)*E163*(J163/100)</f>
        <v/>
      </c>
      <c r="O163" s="4">
        <f>K163-M163+L163-N163</f>
        <v/>
      </c>
    </row>
    <row r="164">
      <c r="A164" s="2" t="inlineStr">
        <is>
          <t>A47417591</t>
        </is>
      </c>
      <c r="B164" s="4" t="n">
        <v>7663.61</v>
      </c>
      <c r="C164" s="3" t="n">
        <v>45994</v>
      </c>
      <c r="D164" s="3" t="n">
        <v>46064</v>
      </c>
      <c r="E164" s="2" t="n">
        <v>49</v>
      </c>
      <c r="F164" s="2" t="n">
        <v>30.77</v>
      </c>
      <c r="G164" s="2" t="n">
        <v>1.88</v>
      </c>
      <c r="H164" s="4" t="n">
        <v>144.08</v>
      </c>
      <c r="I164" s="4" t="n">
        <v>320.96</v>
      </c>
      <c r="J164" s="2" t="n">
        <v>30</v>
      </c>
      <c r="K164" s="4" t="n">
        <v>42.98</v>
      </c>
      <c r="L164" s="4" t="n">
        <v>96.31999999999999</v>
      </c>
      <c r="M164" s="4">
        <f>B164*(G164/100)*(J164/100)</f>
        <v/>
      </c>
      <c r="N164" s="4">
        <f>B164*(F164/360/100)*E164*(J164/100)</f>
        <v/>
      </c>
      <c r="O164" s="4">
        <f>K164-M164+L164-N164</f>
        <v/>
      </c>
    </row>
    <row r="165">
      <c r="A165" s="2" t="inlineStr">
        <is>
          <t>B50281288</t>
        </is>
      </c>
      <c r="B165" s="4" t="n">
        <v>707.1799999999999</v>
      </c>
      <c r="C165" s="3" t="n">
        <v>46014</v>
      </c>
      <c r="D165" s="3" t="n">
        <v>46071</v>
      </c>
      <c r="E165" s="2" t="n">
        <v>49</v>
      </c>
      <c r="F165" s="2" t="n">
        <v>38.71</v>
      </c>
      <c r="G165" s="2" t="n">
        <v>2.02</v>
      </c>
      <c r="H165" s="4" t="n">
        <v>14.29</v>
      </c>
      <c r="I165" s="4" t="n">
        <v>37.26</v>
      </c>
      <c r="J165" s="2" t="n">
        <v>50</v>
      </c>
      <c r="K165" s="4" t="n">
        <v>7.4</v>
      </c>
      <c r="L165" s="4" t="n">
        <v>18.55</v>
      </c>
      <c r="M165" s="4">
        <f>B165*(G165/100)*(J165/100)</f>
        <v/>
      </c>
      <c r="N165" s="4">
        <f>B165*(F165/360/100)*E165*(J165/100)</f>
        <v/>
      </c>
      <c r="O165" s="4">
        <f>K165-M165+L165-N165</f>
        <v/>
      </c>
    </row>
    <row r="166">
      <c r="A166" s="2" t="inlineStr">
        <is>
          <t>B87217981</t>
        </is>
      </c>
      <c r="B166" s="4" t="n">
        <v>5717.79</v>
      </c>
      <c r="C166" s="3" t="n">
        <v>46015</v>
      </c>
      <c r="D166" s="3" t="n">
        <v>46134</v>
      </c>
      <c r="E166" s="2" t="n">
        <v>67</v>
      </c>
      <c r="F166" s="2" t="n">
        <v>43.72</v>
      </c>
      <c r="G166" s="2" t="n">
        <v>0.66</v>
      </c>
      <c r="H166" s="4" t="n">
        <v>37.74</v>
      </c>
      <c r="I166" s="4" t="n">
        <v>465.24</v>
      </c>
      <c r="J166" s="2" t="n">
        <v>30</v>
      </c>
      <c r="K166" s="4" t="n">
        <v>11.09</v>
      </c>
      <c r="L166" s="4" t="n">
        <v>139.68</v>
      </c>
      <c r="M166" s="4">
        <f>B166*(G166/100)*(J166/100)</f>
        <v/>
      </c>
      <c r="N166" s="4">
        <f>B166*(F166/360/100)*E166*(J166/100)</f>
        <v/>
      </c>
      <c r="O166" s="4">
        <f>K166-M166+L166-N166</f>
        <v/>
      </c>
    </row>
    <row r="167">
      <c r="A167" s="2" t="inlineStr">
        <is>
          <t>A66622109</t>
        </is>
      </c>
      <c r="B167" s="4" t="n">
        <v>197.35</v>
      </c>
      <c r="C167" s="3" t="n">
        <v>46005</v>
      </c>
      <c r="D167" s="3" t="n">
        <v>46175</v>
      </c>
      <c r="E167" s="2" t="n">
        <v>83</v>
      </c>
      <c r="F167" s="2" t="n">
        <v>28.74</v>
      </c>
      <c r="G167" s="2" t="n">
        <v>1.71</v>
      </c>
      <c r="H167" s="4" t="n">
        <v>3.37</v>
      </c>
      <c r="I167" s="4" t="n">
        <v>13.08</v>
      </c>
      <c r="J167" s="2" t="n">
        <v>20</v>
      </c>
      <c r="K167" s="4" t="n">
        <v>0.91</v>
      </c>
      <c r="L167" s="4" t="n">
        <v>2.47</v>
      </c>
      <c r="M167" s="4">
        <f>B167*(G167/100)*(J167/100)</f>
        <v/>
      </c>
      <c r="N167" s="4">
        <f>B167*(F167/360/100)*E167*(J167/100)</f>
        <v/>
      </c>
      <c r="O167" s="4">
        <f>K167-M167+L167-N167</f>
        <v/>
      </c>
    </row>
    <row r="168">
      <c r="A168" s="2" t="inlineStr">
        <is>
          <t>A40233317</t>
        </is>
      </c>
      <c r="B168" s="4" t="n">
        <v>4429.49</v>
      </c>
      <c r="C168" s="3" t="n">
        <v>45996</v>
      </c>
      <c r="D168" s="3" t="n">
        <v>46027</v>
      </c>
      <c r="E168" s="2" t="n">
        <v>90</v>
      </c>
      <c r="F168" s="2" t="n">
        <v>32.28</v>
      </c>
      <c r="G168" s="2" t="n">
        <v>1.04</v>
      </c>
      <c r="H168" s="4" t="n">
        <v>46.07</v>
      </c>
      <c r="I168" s="4" t="n">
        <v>357.46</v>
      </c>
      <c r="J168" s="2" t="n">
        <v>40</v>
      </c>
      <c r="K168" s="4" t="n">
        <v>18.38</v>
      </c>
      <c r="L168" s="4" t="n">
        <v>143.01</v>
      </c>
      <c r="M168" s="4">
        <f>B168*(G168/100)*(J168/100)</f>
        <v/>
      </c>
      <c r="N168" s="4">
        <f>B168*(F168/360/100)*E168*(J168/100)</f>
        <v/>
      </c>
      <c r="O168" s="4">
        <f>K168-M168+L168-N168</f>
        <v/>
      </c>
    </row>
    <row r="169">
      <c r="A169" s="2" t="inlineStr">
        <is>
          <t>A20036981</t>
        </is>
      </c>
      <c r="B169" s="4" t="n">
        <v>834.99</v>
      </c>
      <c r="C169" s="3" t="n">
        <v>46001</v>
      </c>
      <c r="D169" s="3" t="n">
        <v>46068</v>
      </c>
      <c r="E169" s="2" t="n">
        <v>47</v>
      </c>
      <c r="F169" s="2" t="n">
        <v>29.85</v>
      </c>
      <c r="G169" s="2" t="n">
        <v>0.92</v>
      </c>
      <c r="H169" s="4" t="n">
        <v>7.68</v>
      </c>
      <c r="I169" s="4" t="n">
        <v>32.54</v>
      </c>
      <c r="J169" s="2" t="n">
        <v>70</v>
      </c>
      <c r="K169" s="4" t="n">
        <v>5.42</v>
      </c>
      <c r="L169" s="4" t="n">
        <v>22.84</v>
      </c>
      <c r="M169" s="4">
        <f>B169*(G169/100)*(J169/100)</f>
        <v/>
      </c>
      <c r="N169" s="4">
        <f>B169*(F169/360/100)*E169*(J169/100)</f>
        <v/>
      </c>
      <c r="O169" s="4">
        <f>K169-M169+L169-N169</f>
        <v/>
      </c>
    </row>
    <row r="170">
      <c r="A170" s="2" t="inlineStr">
        <is>
          <t>B92636699</t>
        </is>
      </c>
      <c r="B170" s="4" t="n">
        <v>3166.5</v>
      </c>
      <c r="C170" s="3" t="n">
        <v>46015</v>
      </c>
      <c r="D170" s="3" t="n">
        <v>46167</v>
      </c>
      <c r="E170" s="2" t="n">
        <v>42</v>
      </c>
      <c r="F170" s="2" t="n">
        <v>18.93</v>
      </c>
      <c r="G170" s="2" t="n">
        <v>1.5</v>
      </c>
      <c r="H170" s="4" t="n">
        <v>47.5</v>
      </c>
      <c r="I170" s="4" t="n">
        <v>69.93000000000001</v>
      </c>
      <c r="J170" s="2" t="n">
        <v>70</v>
      </c>
      <c r="K170" s="4" t="n">
        <v>33.35</v>
      </c>
      <c r="L170" s="4" t="n">
        <v>48.87</v>
      </c>
      <c r="M170" s="4">
        <f>B170*(G170/100)*(J170/100)</f>
        <v/>
      </c>
      <c r="N170" s="4">
        <f>B170*(F170/360/100)*E170*(J170/100)</f>
        <v/>
      </c>
      <c r="O170" s="4">
        <f>K170-M170+L170-N170</f>
        <v/>
      </c>
    </row>
    <row r="171">
      <c r="A171" s="2" t="inlineStr">
        <is>
          <t>A17217931</t>
        </is>
      </c>
      <c r="B171" s="4" t="n">
        <v>1550.73</v>
      </c>
      <c r="C171" s="3" t="n">
        <v>45997</v>
      </c>
      <c r="D171" s="3" t="n">
        <v>46066</v>
      </c>
      <c r="E171" s="2" t="n">
        <v>44</v>
      </c>
      <c r="F171" s="2" t="n">
        <v>21.34</v>
      </c>
      <c r="G171" s="2" t="n">
        <v>0.99</v>
      </c>
      <c r="H171" s="4" t="n">
        <v>15.35</v>
      </c>
      <c r="I171" s="4" t="n">
        <v>40.45</v>
      </c>
      <c r="J171" s="2" t="n">
        <v>30</v>
      </c>
      <c r="K171" s="4" t="n">
        <v>4.31</v>
      </c>
      <c r="L171" s="4" t="n">
        <v>12.01</v>
      </c>
      <c r="M171" s="4">
        <f>B171*(G171/100)*(J171/100)</f>
        <v/>
      </c>
      <c r="N171" s="4">
        <f>B171*(F171/360/100)*E171*(J171/100)</f>
        <v/>
      </c>
      <c r="O171" s="4">
        <f>K171-M171+L171-N171</f>
        <v/>
      </c>
    </row>
    <row r="172">
      <c r="A172" s="2" t="inlineStr">
        <is>
          <t>B23345947</t>
        </is>
      </c>
      <c r="B172" s="4" t="n">
        <v>8349.67</v>
      </c>
      <c r="C172" s="3" t="n">
        <v>46013</v>
      </c>
      <c r="D172" s="3" t="n">
        <v>46188</v>
      </c>
      <c r="E172" s="2" t="n">
        <v>81</v>
      </c>
      <c r="F172" s="2" t="n">
        <v>14.43</v>
      </c>
      <c r="G172" s="2" t="n">
        <v>2.4</v>
      </c>
      <c r="H172" s="4" t="n">
        <v>200.39</v>
      </c>
      <c r="I172" s="4" t="n">
        <v>271.09</v>
      </c>
      <c r="J172" s="2" t="n">
        <v>30</v>
      </c>
      <c r="K172" s="4" t="n">
        <v>60.07</v>
      </c>
      <c r="L172" s="4" t="n">
        <v>81.23999999999999</v>
      </c>
      <c r="M172" s="4">
        <f>B172*(G172/100)*(J172/100)</f>
        <v/>
      </c>
      <c r="N172" s="4">
        <f>B172*(F172/360/100)*E172*(J172/100)</f>
        <v/>
      </c>
      <c r="O172" s="4">
        <f>K172-M172+L172-N172</f>
        <v/>
      </c>
    </row>
    <row r="173">
      <c r="A173" s="2" t="inlineStr">
        <is>
          <t>B30636448</t>
        </is>
      </c>
      <c r="B173" s="4" t="n">
        <v>625.1</v>
      </c>
      <c r="C173" s="3" t="n">
        <v>46005</v>
      </c>
      <c r="D173" s="3" t="n">
        <v>46198</v>
      </c>
      <c r="E173" s="2" t="n">
        <v>43</v>
      </c>
      <c r="F173" s="2" t="n">
        <v>47.77</v>
      </c>
      <c r="G173" s="2" t="n">
        <v>0.71</v>
      </c>
      <c r="H173" s="4" t="n">
        <v>4.44</v>
      </c>
      <c r="I173" s="4" t="n">
        <v>35.67</v>
      </c>
      <c r="J173" s="2" t="n">
        <v>70</v>
      </c>
      <c r="K173" s="4" t="n">
        <v>2.99</v>
      </c>
      <c r="L173" s="4" t="n">
        <v>25.06</v>
      </c>
      <c r="M173" s="4">
        <f>B173*(G173/100)*(J173/100)</f>
        <v/>
      </c>
      <c r="N173" s="4">
        <f>B173*(F173/360/100)*E173*(J173/100)</f>
        <v/>
      </c>
      <c r="O173" s="4">
        <f>K173-M173+L173-N173</f>
        <v/>
      </c>
    </row>
    <row r="174">
      <c r="A174" s="2" t="inlineStr">
        <is>
          <t>A57243039</t>
        </is>
      </c>
      <c r="B174" s="4" t="n">
        <v>743.33</v>
      </c>
      <c r="C174" s="3" t="n">
        <v>46013</v>
      </c>
      <c r="D174" s="3" t="n">
        <v>46166</v>
      </c>
      <c r="E174" s="2" t="n">
        <v>27</v>
      </c>
      <c r="F174" s="2" t="n">
        <v>21.61</v>
      </c>
      <c r="G174" s="2" t="n">
        <v>1.07</v>
      </c>
      <c r="H174" s="4" t="n">
        <v>7.95</v>
      </c>
      <c r="I174" s="4" t="n">
        <v>12.05</v>
      </c>
      <c r="J174" s="2" t="n">
        <v>60</v>
      </c>
      <c r="K174" s="4" t="n">
        <v>5.04</v>
      </c>
      <c r="L174" s="4" t="n">
        <v>7.16</v>
      </c>
      <c r="M174" s="4">
        <f>B174*(G174/100)*(J174/100)</f>
        <v/>
      </c>
      <c r="N174" s="4">
        <f>B174*(F174/360/100)*E174*(J174/100)</f>
        <v/>
      </c>
      <c r="O174" s="4">
        <f>K174-M174+L174-N174</f>
        <v/>
      </c>
    </row>
    <row r="175">
      <c r="A175" s="2" t="inlineStr">
        <is>
          <t>B33965757</t>
        </is>
      </c>
      <c r="B175" s="4" t="n">
        <v>5341.17</v>
      </c>
      <c r="C175" s="3" t="n">
        <v>46015</v>
      </c>
      <c r="D175" s="3" t="n">
        <v>46139</v>
      </c>
      <c r="E175" s="2" t="n">
        <v>63</v>
      </c>
      <c r="F175" s="2" t="n">
        <v>22.63</v>
      </c>
      <c r="G175" s="2" t="n">
        <v>1.88</v>
      </c>
      <c r="H175" s="4" t="n">
        <v>100.41</v>
      </c>
      <c r="I175" s="4" t="n">
        <v>211.52</v>
      </c>
      <c r="J175" s="2" t="n">
        <v>50</v>
      </c>
      <c r="K175" s="4" t="n">
        <v>50.19</v>
      </c>
      <c r="L175" s="4" t="n">
        <v>105.89</v>
      </c>
      <c r="M175" s="4">
        <f>B175*(G175/100)*(J175/100)</f>
        <v/>
      </c>
      <c r="N175" s="4">
        <f>B175*(F175/360/100)*E175*(J175/100)</f>
        <v/>
      </c>
      <c r="O175" s="4">
        <f>K175-M175+L175-N175</f>
        <v/>
      </c>
    </row>
    <row r="176">
      <c r="A176" s="2" t="inlineStr">
        <is>
          <t>A63044454</t>
        </is>
      </c>
      <c r="B176" s="4" t="n">
        <v>755.89</v>
      </c>
      <c r="C176" s="3" t="n">
        <v>46012</v>
      </c>
      <c r="D176" s="3" t="n">
        <v>46200</v>
      </c>
      <c r="E176" s="2" t="n">
        <v>82</v>
      </c>
      <c r="F176" s="2" t="n">
        <v>35.98</v>
      </c>
      <c r="G176" s="2" t="n">
        <v>2.16</v>
      </c>
      <c r="H176" s="4" t="n">
        <v>16.33</v>
      </c>
      <c r="I176" s="4" t="n">
        <v>61.95</v>
      </c>
      <c r="J176" s="2" t="n">
        <v>40</v>
      </c>
      <c r="K176" s="4" t="n">
        <v>6.32</v>
      </c>
      <c r="L176" s="4" t="n">
        <v>24.75</v>
      </c>
      <c r="M176" s="4">
        <f>B176*(G176/100)*(J176/100)</f>
        <v/>
      </c>
      <c r="N176" s="4">
        <f>B176*(F176/360/100)*E176*(J176/100)</f>
        <v/>
      </c>
      <c r="O176" s="4">
        <f>K176-M176+L176-N176</f>
        <v/>
      </c>
    </row>
    <row r="177">
      <c r="A177" s="2" t="inlineStr">
        <is>
          <t>A02265641</t>
        </is>
      </c>
      <c r="B177" s="4" t="n">
        <v>543.01</v>
      </c>
      <c r="C177" s="3" t="n">
        <v>45998</v>
      </c>
      <c r="D177" s="3" t="n">
        <v>46158</v>
      </c>
      <c r="E177" s="2" t="n">
        <v>20</v>
      </c>
      <c r="F177" s="2" t="n">
        <v>28.31</v>
      </c>
      <c r="G177" s="2" t="n">
        <v>2.38</v>
      </c>
      <c r="H177" s="4" t="n">
        <v>12.92</v>
      </c>
      <c r="I177" s="4" t="n">
        <v>8.539999999999999</v>
      </c>
      <c r="J177" s="2" t="n">
        <v>40</v>
      </c>
      <c r="K177" s="4" t="n">
        <v>5.34</v>
      </c>
      <c r="L177" s="4" t="n">
        <v>3.48</v>
      </c>
      <c r="M177" s="4">
        <f>B177*(G177/100)*(J177/100)</f>
        <v/>
      </c>
      <c r="N177" s="4">
        <f>B177*(F177/360/100)*E177*(J177/100)</f>
        <v/>
      </c>
      <c r="O177" s="4">
        <f>K177-M177+L177-N177</f>
        <v/>
      </c>
    </row>
    <row r="178">
      <c r="A178" s="2" t="inlineStr">
        <is>
          <t>A14295487</t>
        </is>
      </c>
      <c r="B178" s="4" t="n">
        <v>921.0700000000001</v>
      </c>
      <c r="C178" s="3" t="n">
        <v>46000</v>
      </c>
      <c r="D178" s="3" t="n">
        <v>46187</v>
      </c>
      <c r="E178" s="2" t="n">
        <v>12</v>
      </c>
      <c r="F178" s="2" t="n">
        <v>46.33</v>
      </c>
      <c r="G178" s="2" t="n">
        <v>2.77</v>
      </c>
      <c r="H178" s="4" t="n">
        <v>25.51</v>
      </c>
      <c r="I178" s="4" t="n">
        <v>14.22</v>
      </c>
      <c r="J178" s="2" t="n">
        <v>20</v>
      </c>
      <c r="K178" s="4" t="n">
        <v>4.87</v>
      </c>
      <c r="L178" s="4" t="n">
        <v>2.98</v>
      </c>
      <c r="M178" s="4">
        <f>B178*(G178/100)*(J178/100)</f>
        <v/>
      </c>
      <c r="N178" s="4">
        <f>B178*(F178/360/100)*E178*(J178/100)</f>
        <v/>
      </c>
      <c r="O178" s="4">
        <f>K178-M178+L178-N178</f>
        <v/>
      </c>
    </row>
    <row r="179">
      <c r="A179" s="2" t="inlineStr">
        <is>
          <t>A63625900</t>
        </is>
      </c>
      <c r="B179" s="4" t="n">
        <v>985.75</v>
      </c>
      <c r="C179" s="3" t="n">
        <v>46010</v>
      </c>
      <c r="D179" s="3" t="n">
        <v>46072</v>
      </c>
      <c r="E179" s="2" t="n">
        <v>22</v>
      </c>
      <c r="F179" s="2" t="n">
        <v>18.11</v>
      </c>
      <c r="G179" s="2" t="n">
        <v>2.19</v>
      </c>
      <c r="H179" s="4" t="n">
        <v>21.59</v>
      </c>
      <c r="I179" s="4" t="n">
        <v>10.91</v>
      </c>
      <c r="J179" s="2" t="n">
        <v>60</v>
      </c>
      <c r="K179" s="4" t="n">
        <v>13.19</v>
      </c>
      <c r="L179" s="4" t="n">
        <v>6.6</v>
      </c>
      <c r="M179" s="4">
        <f>B179*(G179/100)*(J179/100)</f>
        <v/>
      </c>
      <c r="N179" s="4">
        <f>B179*(F179/360/100)*E179*(J179/100)</f>
        <v/>
      </c>
      <c r="O179" s="4">
        <f>K179-M179+L179-N179</f>
        <v/>
      </c>
    </row>
    <row r="180">
      <c r="A180" s="2" t="inlineStr">
        <is>
          <t>B81778269</t>
        </is>
      </c>
      <c r="B180" s="4" t="n">
        <v>585.12</v>
      </c>
      <c r="C180" s="3" t="n">
        <v>46004</v>
      </c>
      <c r="D180" s="3" t="n">
        <v>46136</v>
      </c>
      <c r="E180" s="2" t="n">
        <v>28</v>
      </c>
      <c r="F180" s="2" t="n">
        <v>43.42</v>
      </c>
      <c r="G180" s="2" t="n">
        <v>2.84</v>
      </c>
      <c r="H180" s="4" t="n">
        <v>16.62</v>
      </c>
      <c r="I180" s="4" t="n">
        <v>19.76</v>
      </c>
      <c r="J180" s="2" t="n">
        <v>70</v>
      </c>
      <c r="K180" s="4" t="n">
        <v>11.45</v>
      </c>
      <c r="L180" s="4" t="n">
        <v>13.65</v>
      </c>
      <c r="M180" s="4">
        <f>B180*(G180/100)*(J180/100)</f>
        <v/>
      </c>
      <c r="N180" s="4">
        <f>B180*(F180/360/100)*E180*(J180/100)</f>
        <v/>
      </c>
      <c r="O180" s="4">
        <f>K180-M180+L180-N180</f>
        <v/>
      </c>
    </row>
    <row r="181">
      <c r="A181" s="2" t="inlineStr">
        <is>
          <t>A30221486</t>
        </is>
      </c>
      <c r="B181" s="4" t="n">
        <v>265.66</v>
      </c>
      <c r="C181" s="3" t="n">
        <v>46011</v>
      </c>
      <c r="D181" s="3" t="n">
        <v>46182</v>
      </c>
      <c r="E181" s="2" t="n">
        <v>16</v>
      </c>
      <c r="F181" s="2" t="n">
        <v>21.99</v>
      </c>
      <c r="G181" s="2" t="n">
        <v>1.53</v>
      </c>
      <c r="H181" s="4" t="n">
        <v>4.06</v>
      </c>
      <c r="I181" s="4" t="n">
        <v>2.6</v>
      </c>
      <c r="J181" s="2" t="n">
        <v>70</v>
      </c>
      <c r="K181" s="4" t="n">
        <v>2.81</v>
      </c>
      <c r="L181" s="4" t="n">
        <v>1.86</v>
      </c>
      <c r="M181" s="4">
        <f>B181*(G181/100)*(J181/100)</f>
        <v/>
      </c>
      <c r="N181" s="4">
        <f>B181*(F181/360/100)*E181*(J181/100)</f>
        <v/>
      </c>
      <c r="O181" s="4">
        <f>K181-M181+L181-N181</f>
        <v/>
      </c>
    </row>
    <row r="182">
      <c r="A182" s="2" t="inlineStr">
        <is>
          <t>A42105204</t>
        </is>
      </c>
      <c r="B182" s="4" t="n">
        <v>255.27</v>
      </c>
      <c r="C182" s="3" t="n">
        <v>45992</v>
      </c>
      <c r="D182" s="3" t="n">
        <v>46198</v>
      </c>
      <c r="E182" s="2" t="n">
        <v>11</v>
      </c>
      <c r="F182" s="2" t="n">
        <v>29.59</v>
      </c>
      <c r="G182" s="2" t="n">
        <v>1.77</v>
      </c>
      <c r="H182" s="4" t="n">
        <v>4.52</v>
      </c>
      <c r="I182" s="4" t="n">
        <v>2.31</v>
      </c>
      <c r="J182" s="2" t="n">
        <v>20</v>
      </c>
      <c r="K182" s="4" t="n">
        <v>0.86</v>
      </c>
      <c r="L182" s="4" t="n">
        <v>0.48</v>
      </c>
      <c r="M182" s="4">
        <f>B182*(G182/100)*(J182/100)</f>
        <v/>
      </c>
      <c r="N182" s="4">
        <f>B182*(F182/360/100)*E182*(J182/100)</f>
        <v/>
      </c>
      <c r="O182" s="4">
        <f>K182-M182+L182-N182</f>
        <v/>
      </c>
    </row>
    <row r="183">
      <c r="A183" s="2" t="inlineStr">
        <is>
          <t>A68844647</t>
        </is>
      </c>
      <c r="B183" s="4" t="n">
        <v>818.3200000000001</v>
      </c>
      <c r="C183" s="3" t="n">
        <v>46015</v>
      </c>
      <c r="D183" s="3" t="n">
        <v>46125</v>
      </c>
      <c r="E183" s="2" t="n">
        <v>77</v>
      </c>
      <c r="F183" s="2" t="n">
        <v>15.93</v>
      </c>
      <c r="G183" s="2" t="n">
        <v>1.37</v>
      </c>
      <c r="H183" s="4" t="n">
        <v>11.21</v>
      </c>
      <c r="I183" s="4" t="n">
        <v>27.88</v>
      </c>
      <c r="J183" s="2" t="n">
        <v>60</v>
      </c>
      <c r="K183" s="4" t="n">
        <v>6.75</v>
      </c>
      <c r="L183" s="4" t="n">
        <v>16.67</v>
      </c>
      <c r="M183" s="4">
        <f>B183*(G183/100)*(J183/100)</f>
        <v/>
      </c>
      <c r="N183" s="4">
        <f>B183*(F183/360/100)*E183*(J183/100)</f>
        <v/>
      </c>
      <c r="O183" s="4">
        <f>K183-M183+L183-N183</f>
        <v/>
      </c>
    </row>
    <row r="184">
      <c r="A184" s="2" t="inlineStr">
        <is>
          <t>B14225478</t>
        </is>
      </c>
      <c r="B184" s="4" t="n">
        <v>6184.82</v>
      </c>
      <c r="C184" s="3" t="n">
        <v>46009</v>
      </c>
      <c r="D184" s="3" t="n">
        <v>46069</v>
      </c>
      <c r="E184" s="2" t="n">
        <v>50</v>
      </c>
      <c r="F184" s="2" t="n">
        <v>12.48</v>
      </c>
      <c r="G184" s="2" t="n">
        <v>0.83</v>
      </c>
      <c r="H184" s="4" t="n">
        <v>51.33</v>
      </c>
      <c r="I184" s="4" t="n">
        <v>107.2</v>
      </c>
      <c r="J184" s="2" t="n">
        <v>70</v>
      </c>
      <c r="K184" s="4" t="n">
        <v>35.78</v>
      </c>
      <c r="L184" s="4" t="n">
        <v>75.31999999999999</v>
      </c>
      <c r="M184" s="4">
        <f>B184*(G184/100)*(J184/100)</f>
        <v/>
      </c>
      <c r="N184" s="4">
        <f>B184*(F184/360/100)*E184*(J184/100)</f>
        <v/>
      </c>
      <c r="O184" s="4">
        <f>K184-M184+L184-N184</f>
        <v/>
      </c>
    </row>
    <row r="185">
      <c r="A185" s="2" t="inlineStr">
        <is>
          <t>B16656758</t>
        </is>
      </c>
      <c r="B185" s="4" t="n">
        <v>709.3</v>
      </c>
      <c r="C185" s="3" t="n">
        <v>46019</v>
      </c>
      <c r="D185" s="3" t="n">
        <v>46185</v>
      </c>
      <c r="E185" s="2" t="n">
        <v>53</v>
      </c>
      <c r="F185" s="2" t="n">
        <v>20.58</v>
      </c>
      <c r="G185" s="2" t="n">
        <v>1.36</v>
      </c>
      <c r="H185" s="4" t="n">
        <v>9.65</v>
      </c>
      <c r="I185" s="4" t="n">
        <v>21.49</v>
      </c>
      <c r="J185" s="2" t="n">
        <v>60</v>
      </c>
      <c r="K185" s="4" t="n">
        <v>5.69</v>
      </c>
      <c r="L185" s="4" t="n">
        <v>12.91</v>
      </c>
      <c r="M185" s="4">
        <f>B185*(G185/100)*(J185/100)</f>
        <v/>
      </c>
      <c r="N185" s="4">
        <f>B185*(F185/360/100)*E185*(J185/100)</f>
        <v/>
      </c>
      <c r="O185" s="4">
        <f>K185-M185+L185-N185</f>
        <v/>
      </c>
    </row>
    <row r="186">
      <c r="A186" s="2" t="inlineStr">
        <is>
          <t>A70814947</t>
        </is>
      </c>
      <c r="B186" s="4" t="n">
        <v>531.72</v>
      </c>
      <c r="C186" s="3" t="n">
        <v>46009</v>
      </c>
      <c r="D186" s="3" t="n">
        <v>46179</v>
      </c>
      <c r="E186" s="2" t="n">
        <v>67</v>
      </c>
      <c r="F186" s="2" t="n">
        <v>17.28</v>
      </c>
      <c r="G186" s="2" t="n">
        <v>1.99</v>
      </c>
      <c r="H186" s="4" t="n">
        <v>10.58</v>
      </c>
      <c r="I186" s="4" t="n">
        <v>17.1</v>
      </c>
      <c r="J186" s="2" t="n">
        <v>30</v>
      </c>
      <c r="K186" s="4" t="n">
        <v>3.31</v>
      </c>
      <c r="L186" s="4" t="n">
        <v>5.35</v>
      </c>
      <c r="M186" s="4">
        <f>B186*(G186/100)*(J186/100)</f>
        <v/>
      </c>
      <c r="N186" s="4">
        <f>B186*(F186/360/100)*E186*(J186/100)</f>
        <v/>
      </c>
      <c r="O186" s="4">
        <f>K186-M186+L186-N186</f>
        <v/>
      </c>
    </row>
    <row r="187">
      <c r="A187" s="2" t="inlineStr">
        <is>
          <t>A57530620</t>
        </is>
      </c>
      <c r="B187" s="4" t="n">
        <v>750.61</v>
      </c>
      <c r="C187" s="3" t="n">
        <v>46013</v>
      </c>
      <c r="D187" s="3" t="n">
        <v>46201</v>
      </c>
      <c r="E187" s="2" t="n">
        <v>38</v>
      </c>
      <c r="F187" s="2" t="n">
        <v>37.74</v>
      </c>
      <c r="G187" s="2" t="n">
        <v>0.8100000000000001</v>
      </c>
      <c r="H187" s="4" t="n">
        <v>6.08</v>
      </c>
      <c r="I187" s="4" t="n">
        <v>29.9</v>
      </c>
      <c r="J187" s="2" t="n">
        <v>50</v>
      </c>
      <c r="K187" s="4" t="n">
        <v>3.11</v>
      </c>
      <c r="L187" s="4" t="n">
        <v>14.84</v>
      </c>
      <c r="M187" s="4">
        <f>B187*(G187/100)*(J187/100)</f>
        <v/>
      </c>
      <c r="N187" s="4">
        <f>B187*(F187/360/100)*E187*(J187/100)</f>
        <v/>
      </c>
      <c r="O187" s="4">
        <f>K187-M187+L187-N187</f>
        <v/>
      </c>
    </row>
    <row r="188">
      <c r="A188" s="2" t="inlineStr">
        <is>
          <t>B57999838</t>
        </is>
      </c>
      <c r="B188" s="4" t="n">
        <v>523.02</v>
      </c>
      <c r="C188" s="3" t="n">
        <v>45999</v>
      </c>
      <c r="D188" s="3" t="n">
        <v>46162</v>
      </c>
      <c r="E188" s="2" t="n">
        <v>49</v>
      </c>
      <c r="F188" s="2" t="n">
        <v>21.4</v>
      </c>
      <c r="G188" s="2" t="n">
        <v>1.66</v>
      </c>
      <c r="H188" s="4" t="n">
        <v>8.68</v>
      </c>
      <c r="I188" s="4" t="n">
        <v>15.23</v>
      </c>
      <c r="J188" s="2" t="n">
        <v>60</v>
      </c>
      <c r="K188" s="4" t="n">
        <v>5.47</v>
      </c>
      <c r="L188" s="4" t="n">
        <v>9.289999999999999</v>
      </c>
      <c r="M188" s="4">
        <f>B188*(G188/100)*(J188/100)</f>
        <v/>
      </c>
      <c r="N188" s="4">
        <f>B188*(F188/360/100)*E188*(J188/100)</f>
        <v/>
      </c>
      <c r="O188" s="4">
        <f>K188-M188+L188-N188</f>
        <v/>
      </c>
    </row>
    <row r="189">
      <c r="A189" s="2" t="inlineStr">
        <is>
          <t>B00867074</t>
        </is>
      </c>
      <c r="B189" s="4" t="n">
        <v>567.71</v>
      </c>
      <c r="C189" s="3" t="n">
        <v>46003</v>
      </c>
      <c r="D189" s="3" t="n">
        <v>46097</v>
      </c>
      <c r="E189" s="2" t="n">
        <v>37</v>
      </c>
      <c r="F189" s="2" t="n">
        <v>36.64</v>
      </c>
      <c r="G189" s="2" t="n">
        <v>0.95</v>
      </c>
      <c r="H189" s="4" t="n">
        <v>5.39</v>
      </c>
      <c r="I189" s="4" t="n">
        <v>21.38</v>
      </c>
      <c r="J189" s="2" t="n">
        <v>30</v>
      </c>
      <c r="K189" s="4" t="n">
        <v>1.36</v>
      </c>
      <c r="L189" s="4" t="n">
        <v>6.33</v>
      </c>
      <c r="M189" s="4">
        <f>B189*(G189/100)*(J189/100)</f>
        <v/>
      </c>
      <c r="N189" s="4">
        <f>B189*(F189/360/100)*E189*(J189/100)</f>
        <v/>
      </c>
      <c r="O189" s="4">
        <f>K189-M189+L189-N189</f>
        <v/>
      </c>
    </row>
    <row r="190">
      <c r="A190" s="2" t="inlineStr">
        <is>
          <t>A90636169</t>
        </is>
      </c>
      <c r="B190" s="4" t="n">
        <v>751.75</v>
      </c>
      <c r="C190" s="3" t="n">
        <v>46004</v>
      </c>
      <c r="D190" s="3" t="n">
        <v>46045</v>
      </c>
      <c r="E190" s="2" t="n">
        <v>28</v>
      </c>
      <c r="F190" s="2" t="n">
        <v>11.08</v>
      </c>
      <c r="G190" s="2" t="n">
        <v>2.83</v>
      </c>
      <c r="H190" s="4" t="n">
        <v>21.27</v>
      </c>
      <c r="I190" s="4" t="n">
        <v>6.48</v>
      </c>
      <c r="J190" s="2" t="n">
        <v>70</v>
      </c>
      <c r="K190" s="4" t="n">
        <v>14.7</v>
      </c>
      <c r="L190" s="4" t="n">
        <v>4.41</v>
      </c>
      <c r="M190" s="4">
        <f>B190*(G190/100)*(J190/100)</f>
        <v/>
      </c>
      <c r="N190" s="4">
        <f>B190*(F190/360/100)*E190*(J190/100)</f>
        <v/>
      </c>
      <c r="O190" s="4">
        <f>K190-M190+L190-N190</f>
        <v/>
      </c>
    </row>
    <row r="191">
      <c r="A191" s="2" t="inlineStr">
        <is>
          <t>A23488966</t>
        </is>
      </c>
      <c r="B191" s="4" t="n">
        <v>261.25</v>
      </c>
      <c r="C191" s="3" t="n">
        <v>46018</v>
      </c>
      <c r="D191" s="3" t="n">
        <v>46120</v>
      </c>
      <c r="E191" s="2" t="n">
        <v>25</v>
      </c>
      <c r="F191" s="2" t="n">
        <v>11.53</v>
      </c>
      <c r="G191" s="2" t="n">
        <v>0.52</v>
      </c>
      <c r="H191" s="4" t="n">
        <v>1.36</v>
      </c>
      <c r="I191" s="4" t="n">
        <v>2.09</v>
      </c>
      <c r="J191" s="2" t="n">
        <v>70</v>
      </c>
      <c r="K191" s="4" t="n">
        <v>0.91</v>
      </c>
      <c r="L191" s="4" t="n">
        <v>1.39</v>
      </c>
      <c r="M191" s="4">
        <f>B191*(G191/100)*(J191/100)</f>
        <v/>
      </c>
      <c r="N191" s="4">
        <f>B191*(F191/360/100)*E191*(J191/100)</f>
        <v/>
      </c>
      <c r="O191" s="4">
        <f>K191-M191+L191-N191</f>
        <v/>
      </c>
    </row>
    <row r="192">
      <c r="A192" s="2" t="inlineStr">
        <is>
          <t>A47886485</t>
        </is>
      </c>
      <c r="B192" s="4" t="n">
        <v>830.27</v>
      </c>
      <c r="C192" s="3" t="n">
        <v>46008</v>
      </c>
      <c r="D192" s="3" t="n">
        <v>46116</v>
      </c>
      <c r="E192" s="2" t="n">
        <v>36</v>
      </c>
      <c r="F192" s="2" t="n">
        <v>46.6</v>
      </c>
      <c r="G192" s="2" t="n">
        <v>0.5600000000000001</v>
      </c>
      <c r="H192" s="4" t="n">
        <v>4.65</v>
      </c>
      <c r="I192" s="4" t="n">
        <v>38.69</v>
      </c>
      <c r="J192" s="2" t="n">
        <v>50</v>
      </c>
      <c r="K192" s="4" t="n">
        <v>2.3</v>
      </c>
      <c r="L192" s="4" t="n">
        <v>19.43</v>
      </c>
      <c r="M192" s="4">
        <f>B192*(G192/100)*(J192/100)</f>
        <v/>
      </c>
      <c r="N192" s="4">
        <f>B192*(F192/360/100)*E192*(J192/100)</f>
        <v/>
      </c>
      <c r="O192" s="4">
        <f>K192-M192+L192-N192</f>
        <v/>
      </c>
    </row>
    <row r="193">
      <c r="A193" s="2" t="inlineStr">
        <is>
          <t>A60657935</t>
        </is>
      </c>
      <c r="B193" s="4" t="n">
        <v>390.48</v>
      </c>
      <c r="C193" s="3" t="n">
        <v>45995</v>
      </c>
      <c r="D193" s="3" t="n">
        <v>46036</v>
      </c>
      <c r="E193" s="2" t="n">
        <v>83</v>
      </c>
      <c r="F193" s="2" t="n">
        <v>25.89</v>
      </c>
      <c r="G193" s="2" t="n">
        <v>1.72</v>
      </c>
      <c r="H193" s="4" t="n">
        <v>6.72</v>
      </c>
      <c r="I193" s="4" t="n">
        <v>23.31</v>
      </c>
      <c r="J193" s="2" t="n">
        <v>30</v>
      </c>
      <c r="K193" s="4" t="n">
        <v>2.22</v>
      </c>
      <c r="L193" s="4" t="n">
        <v>7.15</v>
      </c>
      <c r="M193" s="4">
        <f>B193*(G193/100)*(J193/100)</f>
        <v/>
      </c>
      <c r="N193" s="4">
        <f>B193*(F193/360/100)*E193*(J193/100)</f>
        <v/>
      </c>
      <c r="O193" s="4">
        <f>K193-M193+L193-N193</f>
        <v/>
      </c>
    </row>
    <row r="194">
      <c r="A194" s="2" t="inlineStr">
        <is>
          <t>B56677060</t>
        </is>
      </c>
      <c r="B194" s="4" t="n">
        <v>840.92</v>
      </c>
      <c r="C194" s="3" t="n">
        <v>46008</v>
      </c>
      <c r="D194" s="3" t="n">
        <v>46042</v>
      </c>
      <c r="E194" s="2" t="n">
        <v>68</v>
      </c>
      <c r="F194" s="2" t="n">
        <v>15.24</v>
      </c>
      <c r="G194" s="2" t="n">
        <v>1.08</v>
      </c>
      <c r="H194" s="4" t="n">
        <v>9.08</v>
      </c>
      <c r="I194" s="4" t="n">
        <v>24.21</v>
      </c>
      <c r="J194" s="2" t="n">
        <v>40</v>
      </c>
      <c r="K194" s="4" t="n">
        <v>3.73</v>
      </c>
      <c r="L194" s="4" t="n">
        <v>9.949999999999999</v>
      </c>
      <c r="M194" s="4">
        <f>B194*(G194/100)*(J194/100)</f>
        <v/>
      </c>
      <c r="N194" s="4">
        <f>B194*(F194/360/100)*E194*(J194/100)</f>
        <v/>
      </c>
      <c r="O194" s="4">
        <f>K194-M194+L194-N194</f>
        <v/>
      </c>
    </row>
    <row r="195">
      <c r="A195" s="2" t="inlineStr">
        <is>
          <t>A36766078</t>
        </is>
      </c>
      <c r="B195" s="4" t="n">
        <v>8952.49</v>
      </c>
      <c r="C195" s="3" t="n">
        <v>46011</v>
      </c>
      <c r="D195" s="3" t="n">
        <v>46182</v>
      </c>
      <c r="E195" s="2" t="n">
        <v>75</v>
      </c>
      <c r="F195" s="2" t="n">
        <v>31.5</v>
      </c>
      <c r="G195" s="2" t="n">
        <v>1.24</v>
      </c>
      <c r="H195" s="4" t="n">
        <v>111.01</v>
      </c>
      <c r="I195" s="4" t="n">
        <v>587.51</v>
      </c>
      <c r="J195" s="2" t="n">
        <v>20</v>
      </c>
      <c r="K195" s="4" t="n">
        <v>22.09</v>
      </c>
      <c r="L195" s="4" t="n">
        <v>117.73</v>
      </c>
      <c r="M195" s="4">
        <f>B195*(G195/100)*(J195/100)</f>
        <v/>
      </c>
      <c r="N195" s="4">
        <f>B195*(F195/360/100)*E195*(J195/100)</f>
        <v/>
      </c>
      <c r="O195" s="4">
        <f>K195-M195+L195-N195</f>
        <v/>
      </c>
    </row>
    <row r="196">
      <c r="A196" s="2" t="inlineStr">
        <is>
          <t>A48932627</t>
        </is>
      </c>
      <c r="B196" s="4" t="n">
        <v>134.83</v>
      </c>
      <c r="C196" s="3" t="n">
        <v>46013</v>
      </c>
      <c r="D196" s="3" t="n">
        <v>46043</v>
      </c>
      <c r="E196" s="2" t="n">
        <v>37</v>
      </c>
      <c r="F196" s="2" t="n">
        <v>17.43</v>
      </c>
      <c r="G196" s="2" t="n">
        <v>2</v>
      </c>
      <c r="H196" s="4" t="n">
        <v>2.7</v>
      </c>
      <c r="I196" s="4" t="n">
        <v>2.42</v>
      </c>
      <c r="J196" s="2" t="n">
        <v>20</v>
      </c>
      <c r="K196" s="4" t="n">
        <v>0.43</v>
      </c>
      <c r="L196" s="4" t="n">
        <v>0.33</v>
      </c>
      <c r="M196" s="4">
        <f>B196*(G196/100)*(J196/100)</f>
        <v/>
      </c>
      <c r="N196" s="4">
        <f>B196*(F196/360/100)*E196*(J196/100)</f>
        <v/>
      </c>
      <c r="O196" s="4">
        <f>K196-M196+L196-N196</f>
        <v/>
      </c>
    </row>
    <row r="197">
      <c r="A197" s="2" t="inlineStr">
        <is>
          <t>A54220732</t>
        </is>
      </c>
      <c r="B197" s="4" t="n">
        <v>327.51</v>
      </c>
      <c r="C197" s="3" t="n">
        <v>46002</v>
      </c>
      <c r="D197" s="3" t="n">
        <v>46153</v>
      </c>
      <c r="E197" s="2" t="n">
        <v>20</v>
      </c>
      <c r="F197" s="2" t="n">
        <v>44.6</v>
      </c>
      <c r="G197" s="2" t="n">
        <v>1.3</v>
      </c>
      <c r="H197" s="4" t="n">
        <v>4.26</v>
      </c>
      <c r="I197" s="4" t="n">
        <v>8.109999999999999</v>
      </c>
      <c r="J197" s="2" t="n">
        <v>30</v>
      </c>
      <c r="K197" s="4" t="n">
        <v>1.5</v>
      </c>
      <c r="L197" s="4" t="n">
        <v>2.66</v>
      </c>
      <c r="M197" s="4">
        <f>B197*(G197/100)*(J197/100)</f>
        <v/>
      </c>
      <c r="N197" s="4">
        <f>B197*(F197/360/100)*E197*(J197/100)</f>
        <v/>
      </c>
      <c r="O197" s="4">
        <f>K197-M197+L197-N197</f>
        <v/>
      </c>
    </row>
    <row r="198">
      <c r="A198" s="2" t="inlineStr">
        <is>
          <t>A47419150</t>
        </is>
      </c>
      <c r="B198" s="4" t="n">
        <v>600.9400000000001</v>
      </c>
      <c r="C198" s="3" t="n">
        <v>46002</v>
      </c>
      <c r="D198" s="3" t="n">
        <v>46097</v>
      </c>
      <c r="E198" s="2" t="n">
        <v>45</v>
      </c>
      <c r="F198" s="2" t="n">
        <v>24.49</v>
      </c>
      <c r="G198" s="2" t="n">
        <v>1.76</v>
      </c>
      <c r="H198" s="4" t="n">
        <v>10.58</v>
      </c>
      <c r="I198" s="4" t="n">
        <v>18.4</v>
      </c>
      <c r="J198" s="2" t="n">
        <v>40</v>
      </c>
      <c r="K198" s="4" t="n">
        <v>3.93</v>
      </c>
      <c r="L198" s="4" t="n">
        <v>7.2</v>
      </c>
      <c r="M198" s="4">
        <f>B198*(G198/100)*(J198/100)</f>
        <v/>
      </c>
      <c r="N198" s="4">
        <f>B198*(F198/360/100)*E198*(J198/100)</f>
        <v/>
      </c>
      <c r="O198" s="4">
        <f>K198-M198+L198-N198</f>
        <v/>
      </c>
    </row>
    <row r="199">
      <c r="A199" s="2" t="inlineStr">
        <is>
          <t>A44779992</t>
        </is>
      </c>
      <c r="B199" s="4" t="n">
        <v>446.39</v>
      </c>
      <c r="C199" s="3" t="n">
        <v>46001</v>
      </c>
      <c r="D199" s="3" t="n">
        <v>46073</v>
      </c>
      <c r="E199" s="2" t="n">
        <v>87</v>
      </c>
      <c r="F199" s="2" t="n">
        <v>24.1</v>
      </c>
      <c r="G199" s="2" t="n">
        <v>2.6</v>
      </c>
      <c r="H199" s="4" t="n">
        <v>11.61</v>
      </c>
      <c r="I199" s="4" t="n">
        <v>26</v>
      </c>
      <c r="J199" s="2" t="n">
        <v>30</v>
      </c>
      <c r="K199" s="4" t="n">
        <v>3.43</v>
      </c>
      <c r="L199" s="4" t="n">
        <v>7.88</v>
      </c>
      <c r="M199" s="4">
        <f>B199*(G199/100)*(J199/100)</f>
        <v/>
      </c>
      <c r="N199" s="4">
        <f>B199*(F199/360/100)*E199*(J199/100)</f>
        <v/>
      </c>
      <c r="O199" s="4">
        <f>K199-M199+L199-N199</f>
        <v/>
      </c>
    </row>
    <row r="200">
      <c r="A200" s="2" t="inlineStr">
        <is>
          <t>B13637077</t>
        </is>
      </c>
      <c r="B200" s="4" t="n">
        <v>538.45</v>
      </c>
      <c r="C200" s="3" t="n">
        <v>46005</v>
      </c>
      <c r="D200" s="3" t="n">
        <v>46099</v>
      </c>
      <c r="E200" s="2" t="n">
        <v>90</v>
      </c>
      <c r="F200" s="2" t="n">
        <v>18.07</v>
      </c>
      <c r="G200" s="2" t="n">
        <v>2.58</v>
      </c>
      <c r="H200" s="4" t="n">
        <v>13.89</v>
      </c>
      <c r="I200" s="4" t="n">
        <v>24.32</v>
      </c>
      <c r="J200" s="2" t="n">
        <v>30</v>
      </c>
      <c r="K200" s="4" t="n">
        <v>4.15</v>
      </c>
      <c r="L200" s="4" t="n">
        <v>7.35</v>
      </c>
      <c r="M200" s="4">
        <f>B200*(G200/100)*(J200/100)</f>
        <v/>
      </c>
      <c r="N200" s="4">
        <f>B200*(F200/360/100)*E200*(J200/100)</f>
        <v/>
      </c>
      <c r="O200" s="4">
        <f>K200-M200+L200-N200</f>
        <v/>
      </c>
    </row>
    <row r="201">
      <c r="A201" s="2" t="inlineStr">
        <is>
          <t>B69222962</t>
        </is>
      </c>
      <c r="B201" s="4" t="n">
        <v>281.09</v>
      </c>
      <c r="C201" s="3" t="n">
        <v>46004</v>
      </c>
      <c r="D201" s="3" t="n">
        <v>46024</v>
      </c>
      <c r="E201" s="2" t="n">
        <v>59</v>
      </c>
      <c r="F201" s="2" t="n">
        <v>22.82</v>
      </c>
      <c r="G201" s="2" t="n">
        <v>1.45</v>
      </c>
      <c r="H201" s="4" t="n">
        <v>4.08</v>
      </c>
      <c r="I201" s="4" t="n">
        <v>10.51</v>
      </c>
      <c r="J201" s="2" t="n">
        <v>70</v>
      </c>
      <c r="K201" s="4" t="n">
        <v>2.74</v>
      </c>
      <c r="L201" s="4" t="n">
        <v>7.21</v>
      </c>
      <c r="M201" s="4">
        <f>B201*(G201/100)*(J201/100)</f>
        <v/>
      </c>
      <c r="N201" s="4">
        <f>B201*(F201/360/100)*E201*(J201/100)</f>
        <v/>
      </c>
      <c r="O201" s="4">
        <f>K201-M201+L201-N201</f>
        <v/>
      </c>
    </row>
    <row r="202">
      <c r="A202" s="2" t="inlineStr">
        <is>
          <t>A00748575</t>
        </is>
      </c>
      <c r="B202" s="4" t="n">
        <v>818.17</v>
      </c>
      <c r="C202" s="3" t="n">
        <v>46009</v>
      </c>
      <c r="D202" s="3" t="n">
        <v>46131</v>
      </c>
      <c r="E202" s="2" t="n">
        <v>53</v>
      </c>
      <c r="F202" s="2" t="n">
        <v>41.01</v>
      </c>
      <c r="G202" s="2" t="n">
        <v>0.57</v>
      </c>
      <c r="H202" s="4" t="n">
        <v>4.66</v>
      </c>
      <c r="I202" s="4" t="n">
        <v>49.4</v>
      </c>
      <c r="J202" s="2" t="n">
        <v>20</v>
      </c>
      <c r="K202" s="4" t="n">
        <v>0.77</v>
      </c>
      <c r="L202" s="4" t="n">
        <v>9.619999999999999</v>
      </c>
      <c r="M202" s="4">
        <f>B202*(G202/100)*(J202/100)</f>
        <v/>
      </c>
      <c r="N202" s="4">
        <f>B202*(F202/360/100)*E202*(J202/100)</f>
        <v/>
      </c>
      <c r="O202" s="4">
        <f>K202-M202+L202-N202</f>
        <v/>
      </c>
    </row>
    <row r="203">
      <c r="A203" s="2" t="inlineStr">
        <is>
          <t>B57580049</t>
        </is>
      </c>
      <c r="B203" s="4" t="n">
        <v>312.37</v>
      </c>
      <c r="C203" s="3" t="n">
        <v>46011</v>
      </c>
      <c r="D203" s="3" t="n">
        <v>46135</v>
      </c>
      <c r="E203" s="2" t="n">
        <v>87</v>
      </c>
      <c r="F203" s="2" t="n">
        <v>13.06</v>
      </c>
      <c r="G203" s="2" t="n">
        <v>0.71</v>
      </c>
      <c r="H203" s="4" t="n">
        <v>2.22</v>
      </c>
      <c r="I203" s="4" t="n">
        <v>9.859999999999999</v>
      </c>
      <c r="J203" s="2" t="n">
        <v>70</v>
      </c>
      <c r="K203" s="4" t="n">
        <v>1.52</v>
      </c>
      <c r="L203" s="4" t="n">
        <v>6.86</v>
      </c>
      <c r="M203" s="4">
        <f>B203*(G203/100)*(J203/100)</f>
        <v/>
      </c>
      <c r="N203" s="4">
        <f>B203*(F203/360/100)*E203*(J203/100)</f>
        <v/>
      </c>
      <c r="O203" s="4">
        <f>K203-M203+L203-N203</f>
        <v/>
      </c>
    </row>
    <row r="204">
      <c r="A204" s="2" t="inlineStr">
        <is>
          <t>B77831415</t>
        </is>
      </c>
      <c r="B204" s="4" t="n">
        <v>5699.27</v>
      </c>
      <c r="C204" s="3" t="n">
        <v>46002</v>
      </c>
      <c r="D204" s="3" t="n">
        <v>46144</v>
      </c>
      <c r="E204" s="2" t="n">
        <v>70</v>
      </c>
      <c r="F204" s="2" t="n">
        <v>11.02</v>
      </c>
      <c r="G204" s="2" t="n">
        <v>0.6899999999999999</v>
      </c>
      <c r="H204" s="4" t="n">
        <v>39.32</v>
      </c>
      <c r="I204" s="4" t="n">
        <v>122.12</v>
      </c>
      <c r="J204" s="2" t="n">
        <v>50</v>
      </c>
      <c r="K204" s="4" t="n">
        <v>19.48</v>
      </c>
      <c r="L204" s="4" t="n">
        <v>61</v>
      </c>
      <c r="M204" s="4">
        <f>B204*(G204/100)*(J204/100)</f>
        <v/>
      </c>
      <c r="N204" s="4">
        <f>B204*(F204/360/100)*E204*(J204/100)</f>
        <v/>
      </c>
      <c r="O204" s="4">
        <f>K204-M204+L204-N204</f>
        <v/>
      </c>
    </row>
    <row r="205">
      <c r="A205" s="2" t="inlineStr">
        <is>
          <t>A29004650</t>
        </is>
      </c>
      <c r="B205" s="4" t="n">
        <v>843.24</v>
      </c>
      <c r="C205" s="3" t="n">
        <v>45992</v>
      </c>
      <c r="D205" s="3" t="n">
        <v>46155</v>
      </c>
      <c r="E205" s="2" t="n">
        <v>76</v>
      </c>
      <c r="F205" s="2" t="n">
        <v>31.08</v>
      </c>
      <c r="G205" s="2" t="n">
        <v>1.34</v>
      </c>
      <c r="H205" s="4" t="n">
        <v>11.3</v>
      </c>
      <c r="I205" s="4" t="n">
        <v>55.33</v>
      </c>
      <c r="J205" s="2" t="n">
        <v>70</v>
      </c>
      <c r="K205" s="4" t="n">
        <v>7.64</v>
      </c>
      <c r="L205" s="4" t="n">
        <v>38.84</v>
      </c>
      <c r="M205" s="4">
        <f>B205*(G205/100)*(J205/100)</f>
        <v/>
      </c>
      <c r="N205" s="4">
        <f>B205*(F205/360/100)*E205*(J205/100)</f>
        <v/>
      </c>
      <c r="O205" s="4">
        <f>K205-M205+L205-N205</f>
        <v/>
      </c>
    </row>
    <row r="206">
      <c r="A206" s="2" t="inlineStr">
        <is>
          <t>A97519892</t>
        </is>
      </c>
      <c r="B206" s="4" t="n">
        <v>9312.309999999999</v>
      </c>
      <c r="C206" s="3" t="n">
        <v>45995</v>
      </c>
      <c r="D206" s="3" t="n">
        <v>46118</v>
      </c>
      <c r="E206" s="2" t="n">
        <v>31</v>
      </c>
      <c r="F206" s="2" t="n">
        <v>11.82</v>
      </c>
      <c r="G206" s="2" t="n">
        <v>2.73</v>
      </c>
      <c r="H206" s="4" t="n">
        <v>254.23</v>
      </c>
      <c r="I206" s="4" t="n">
        <v>94.78</v>
      </c>
      <c r="J206" s="2" t="n">
        <v>40</v>
      </c>
      <c r="K206" s="4" t="n">
        <v>101.5</v>
      </c>
      <c r="L206" s="4" t="n">
        <v>37.97</v>
      </c>
      <c r="M206" s="4">
        <f>B206*(G206/100)*(J206/100)</f>
        <v/>
      </c>
      <c r="N206" s="4">
        <f>B206*(F206/360/100)*E206*(J206/100)</f>
        <v/>
      </c>
      <c r="O206" s="4">
        <f>K206-M206+L206-N206</f>
        <v/>
      </c>
    </row>
    <row r="207">
      <c r="A207" s="2" t="inlineStr">
        <is>
          <t>A81058085</t>
        </is>
      </c>
      <c r="B207" s="4" t="n">
        <v>677.84</v>
      </c>
      <c r="C207" s="3" t="n">
        <v>46019</v>
      </c>
      <c r="D207" s="3" t="n">
        <v>46180</v>
      </c>
      <c r="E207" s="2" t="n">
        <v>19</v>
      </c>
      <c r="F207" s="2" t="n">
        <v>28.64</v>
      </c>
      <c r="G207" s="2" t="n">
        <v>1.11</v>
      </c>
      <c r="H207" s="4" t="n">
        <v>7.52</v>
      </c>
      <c r="I207" s="4" t="n">
        <v>10.25</v>
      </c>
      <c r="J207" s="2" t="n">
        <v>30</v>
      </c>
      <c r="K207" s="4" t="n">
        <v>1.98</v>
      </c>
      <c r="L207" s="4" t="n">
        <v>3.17</v>
      </c>
      <c r="M207" s="4">
        <f>B207*(G207/100)*(J207/100)</f>
        <v/>
      </c>
      <c r="N207" s="4">
        <f>B207*(F207/360/100)*E207*(J207/100)</f>
        <v/>
      </c>
      <c r="O207" s="4">
        <f>K207-M207+L207-N207</f>
        <v/>
      </c>
    </row>
    <row r="208">
      <c r="A208" s="2" t="inlineStr">
        <is>
          <t>A28468606</t>
        </is>
      </c>
      <c r="B208" s="4" t="n">
        <v>6899.06</v>
      </c>
      <c r="C208" s="3" t="n">
        <v>46004</v>
      </c>
      <c r="D208" s="3" t="n">
        <v>46157</v>
      </c>
      <c r="E208" s="2" t="n">
        <v>64</v>
      </c>
      <c r="F208" s="2" t="n">
        <v>20.08</v>
      </c>
      <c r="G208" s="2" t="n">
        <v>1.3</v>
      </c>
      <c r="H208" s="4" t="n">
        <v>89.69</v>
      </c>
      <c r="I208" s="4" t="n">
        <v>246.28</v>
      </c>
      <c r="J208" s="2" t="n">
        <v>60</v>
      </c>
      <c r="K208" s="4" t="n">
        <v>53.99</v>
      </c>
      <c r="L208" s="4" t="n">
        <v>147.6</v>
      </c>
      <c r="M208" s="4">
        <f>B208*(G208/100)*(J208/100)</f>
        <v/>
      </c>
      <c r="N208" s="4">
        <f>B208*(F208/360/100)*E208*(J208/100)</f>
        <v/>
      </c>
      <c r="O208" s="4">
        <f>K208-M208+L208-N208</f>
        <v/>
      </c>
    </row>
    <row r="209">
      <c r="A209" s="2" t="inlineStr">
        <is>
          <t>A92050707</t>
        </is>
      </c>
      <c r="B209" s="4" t="n">
        <v>213.01</v>
      </c>
      <c r="C209" s="3" t="n">
        <v>46010</v>
      </c>
      <c r="D209" s="3" t="n">
        <v>46094</v>
      </c>
      <c r="E209" s="2" t="n">
        <v>11</v>
      </c>
      <c r="F209" s="2" t="n">
        <v>19.46</v>
      </c>
      <c r="G209" s="2" t="n">
        <v>0.8</v>
      </c>
      <c r="H209" s="4" t="n">
        <v>1.7</v>
      </c>
      <c r="I209" s="4" t="n">
        <v>1.27</v>
      </c>
      <c r="J209" s="2" t="n">
        <v>40</v>
      </c>
      <c r="K209" s="4" t="n">
        <v>0.62</v>
      </c>
      <c r="L209" s="4" t="n">
        <v>0.45</v>
      </c>
      <c r="M209" s="4">
        <f>B209*(G209/100)*(J209/100)</f>
        <v/>
      </c>
      <c r="N209" s="4">
        <f>B209*(F209/360/100)*E209*(J209/100)</f>
        <v/>
      </c>
      <c r="O209" s="4">
        <f>K209-M209+L209-N209</f>
        <v/>
      </c>
    </row>
    <row r="210">
      <c r="A210" s="2" t="inlineStr">
        <is>
          <t>A83320138</t>
        </is>
      </c>
      <c r="B210" s="4" t="n">
        <v>690.1799999999999</v>
      </c>
      <c r="C210" s="3" t="n">
        <v>46000</v>
      </c>
      <c r="D210" s="3" t="n">
        <v>46138</v>
      </c>
      <c r="E210" s="2" t="n">
        <v>49</v>
      </c>
      <c r="F210" s="2" t="n">
        <v>23.33</v>
      </c>
      <c r="G210" s="2" t="n">
        <v>1.45</v>
      </c>
      <c r="H210" s="4" t="n">
        <v>10.01</v>
      </c>
      <c r="I210" s="4" t="n">
        <v>21.92</v>
      </c>
      <c r="J210" s="2" t="n">
        <v>20</v>
      </c>
      <c r="K210" s="4" t="n">
        <v>2.01</v>
      </c>
      <c r="L210" s="4" t="n">
        <v>4.66</v>
      </c>
      <c r="M210" s="4">
        <f>B210*(G210/100)*(J210/100)</f>
        <v/>
      </c>
      <c r="N210" s="4">
        <f>B210*(F210/360/100)*E210*(J210/100)</f>
        <v/>
      </c>
      <c r="O210" s="4">
        <f>K210-M210+L210-N210</f>
        <v/>
      </c>
    </row>
    <row r="211">
      <c r="A211" s="2" t="inlineStr">
        <is>
          <t>B86599173</t>
        </is>
      </c>
      <c r="B211" s="4" t="n">
        <v>6442.09</v>
      </c>
      <c r="C211" s="3" t="n">
        <v>46014</v>
      </c>
      <c r="D211" s="3" t="n">
        <v>46048</v>
      </c>
      <c r="E211" s="2" t="n">
        <v>50</v>
      </c>
      <c r="F211" s="2" t="n">
        <v>38.11</v>
      </c>
      <c r="G211" s="2" t="n">
        <v>1.44</v>
      </c>
      <c r="H211" s="4" t="n">
        <v>92.77</v>
      </c>
      <c r="I211" s="4" t="n">
        <v>340.98</v>
      </c>
      <c r="J211" s="2" t="n">
        <v>40</v>
      </c>
      <c r="K211" s="4" t="n">
        <v>37.19</v>
      </c>
      <c r="L211" s="4" t="n">
        <v>136.3</v>
      </c>
      <c r="M211" s="4">
        <f>B211*(G211/100)*(J211/100)</f>
        <v/>
      </c>
      <c r="N211" s="4">
        <f>B211*(F211/360/100)*E211*(J211/100)</f>
        <v/>
      </c>
      <c r="O211" s="4">
        <f>K211-M211+L211-N211</f>
        <v/>
      </c>
    </row>
    <row r="212">
      <c r="A212" s="2" t="inlineStr">
        <is>
          <t>A55687689</t>
        </is>
      </c>
      <c r="B212" s="4" t="n">
        <v>909.5700000000001</v>
      </c>
      <c r="C212" s="3" t="n">
        <v>46017</v>
      </c>
      <c r="D212" s="3" t="n">
        <v>46122</v>
      </c>
      <c r="E212" s="2" t="n">
        <v>66</v>
      </c>
      <c r="F212" s="2" t="n">
        <v>18.16</v>
      </c>
      <c r="G212" s="2" t="n">
        <v>2.46</v>
      </c>
      <c r="H212" s="4" t="n">
        <v>22.38</v>
      </c>
      <c r="I212" s="4" t="n">
        <v>30.28</v>
      </c>
      <c r="J212" s="2" t="n">
        <v>20</v>
      </c>
      <c r="K212" s="4" t="n">
        <v>4.74</v>
      </c>
      <c r="L212" s="4" t="n">
        <v>5.95</v>
      </c>
      <c r="M212" s="4">
        <f>B212*(G212/100)*(J212/100)</f>
        <v/>
      </c>
      <c r="N212" s="4">
        <f>B212*(F212/360/100)*E212*(J212/100)</f>
        <v/>
      </c>
      <c r="O212" s="4">
        <f>K212-M212+L212-N212</f>
        <v/>
      </c>
    </row>
    <row r="213">
      <c r="A213" s="2" t="inlineStr">
        <is>
          <t>A90754893</t>
        </is>
      </c>
      <c r="B213" s="4" t="n">
        <v>350.34</v>
      </c>
      <c r="C213" s="3" t="n">
        <v>46017</v>
      </c>
      <c r="D213" s="3" t="n">
        <v>46024</v>
      </c>
      <c r="E213" s="2" t="n">
        <v>79</v>
      </c>
      <c r="F213" s="2" t="n">
        <v>36.23</v>
      </c>
      <c r="G213" s="2" t="n">
        <v>1.18</v>
      </c>
      <c r="H213" s="4" t="n">
        <v>4.13</v>
      </c>
      <c r="I213" s="4" t="n">
        <v>27.85</v>
      </c>
      <c r="J213" s="2" t="n">
        <v>70</v>
      </c>
      <c r="K213" s="4" t="n">
        <v>3.04</v>
      </c>
      <c r="L213" s="4" t="n">
        <v>19.4</v>
      </c>
      <c r="M213" s="4">
        <f>B213*(G213/100)*(J213/100)</f>
        <v/>
      </c>
      <c r="N213" s="4">
        <f>B213*(F213/360/100)*E213*(J213/100)</f>
        <v/>
      </c>
      <c r="O213" s="4">
        <f>K213-M213+L213-N213</f>
        <v/>
      </c>
    </row>
    <row r="214">
      <c r="A214" s="2" t="inlineStr">
        <is>
          <t>A34220234</t>
        </is>
      </c>
      <c r="B214" s="4" t="n">
        <v>590.75</v>
      </c>
      <c r="C214" s="3" t="n">
        <v>46017</v>
      </c>
      <c r="D214" s="3" t="n">
        <v>46143</v>
      </c>
      <c r="E214" s="2" t="n">
        <v>28</v>
      </c>
      <c r="F214" s="2" t="n">
        <v>19.74</v>
      </c>
      <c r="G214" s="2" t="n">
        <v>2.34</v>
      </c>
      <c r="H214" s="4" t="n">
        <v>13.82</v>
      </c>
      <c r="I214" s="4" t="n">
        <v>9.07</v>
      </c>
      <c r="J214" s="2" t="n">
        <v>40</v>
      </c>
      <c r="K214" s="4" t="n">
        <v>5.33</v>
      </c>
      <c r="L214" s="4" t="n">
        <v>3.93</v>
      </c>
      <c r="M214" s="4">
        <f>B214*(G214/100)*(J214/100)</f>
        <v/>
      </c>
      <c r="N214" s="4">
        <f>B214*(F214/360/100)*E214*(J214/100)</f>
        <v/>
      </c>
      <c r="O214" s="4">
        <f>K214-M214+L214-N214</f>
        <v/>
      </c>
    </row>
    <row r="215">
      <c r="A215" s="2" t="inlineStr">
        <is>
          <t>B65167516</t>
        </is>
      </c>
      <c r="B215" s="4" t="n">
        <v>621.11</v>
      </c>
      <c r="C215" s="3" t="n">
        <v>46004</v>
      </c>
      <c r="D215" s="3" t="n">
        <v>46201</v>
      </c>
      <c r="E215" s="2" t="n">
        <v>39</v>
      </c>
      <c r="F215" s="2" t="n">
        <v>16.92</v>
      </c>
      <c r="G215" s="2" t="n">
        <v>1.76</v>
      </c>
      <c r="H215" s="4" t="n">
        <v>10.93</v>
      </c>
      <c r="I215" s="4" t="n">
        <v>11.38</v>
      </c>
      <c r="J215" s="2" t="n">
        <v>50</v>
      </c>
      <c r="K215" s="4" t="n">
        <v>5.57</v>
      </c>
      <c r="L215" s="4" t="n">
        <v>5.56</v>
      </c>
      <c r="M215" s="4">
        <f>B215*(G215/100)*(J215/100)</f>
        <v/>
      </c>
      <c r="N215" s="4">
        <f>B215*(F215/360/100)*E215*(J215/100)</f>
        <v/>
      </c>
      <c r="O215" s="4">
        <f>K215-M215+L215-N215</f>
        <v/>
      </c>
    </row>
    <row r="216">
      <c r="A216" s="2" t="inlineStr">
        <is>
          <t>B39254477</t>
        </is>
      </c>
      <c r="B216" s="4" t="n">
        <v>257.57</v>
      </c>
      <c r="C216" s="3" t="n">
        <v>46012</v>
      </c>
      <c r="D216" s="3" t="n">
        <v>46028</v>
      </c>
      <c r="E216" s="2" t="n">
        <v>65</v>
      </c>
      <c r="F216" s="2" t="n">
        <v>31.96</v>
      </c>
      <c r="G216" s="2" t="n">
        <v>1.29</v>
      </c>
      <c r="H216" s="4" t="n">
        <v>3.32</v>
      </c>
      <c r="I216" s="4" t="n">
        <v>14.86</v>
      </c>
      <c r="J216" s="2" t="n">
        <v>20</v>
      </c>
      <c r="K216" s="4" t="n">
        <v>0.95</v>
      </c>
      <c r="L216" s="4" t="n">
        <v>3.27</v>
      </c>
      <c r="M216" s="4">
        <f>B216*(G216/100)*(J216/100)</f>
        <v/>
      </c>
      <c r="N216" s="4">
        <f>B216*(F216/360/100)*E216*(J216/100)</f>
        <v/>
      </c>
      <c r="O216" s="4">
        <f>K216-M216+L216-N216</f>
        <v/>
      </c>
    </row>
    <row r="217">
      <c r="A217" s="2" t="inlineStr">
        <is>
          <t>A11034947</t>
        </is>
      </c>
      <c r="B217" s="4" t="n">
        <v>208.51</v>
      </c>
      <c r="C217" s="3" t="n">
        <v>46008</v>
      </c>
      <c r="D217" s="3" t="n">
        <v>46103</v>
      </c>
      <c r="E217" s="2" t="n">
        <v>41</v>
      </c>
      <c r="F217" s="2" t="n">
        <v>16.27</v>
      </c>
      <c r="G217" s="2" t="n">
        <v>1.3</v>
      </c>
      <c r="H217" s="4" t="n">
        <v>2.71</v>
      </c>
      <c r="I217" s="4" t="n">
        <v>3.86</v>
      </c>
      <c r="J217" s="2" t="n">
        <v>60</v>
      </c>
      <c r="K217" s="4" t="n">
        <v>1.51</v>
      </c>
      <c r="L217" s="4" t="n">
        <v>2.36</v>
      </c>
      <c r="M217" s="4">
        <f>B217*(G217/100)*(J217/100)</f>
        <v/>
      </c>
      <c r="N217" s="4">
        <f>B217*(F217/360/100)*E217*(J217/100)</f>
        <v/>
      </c>
      <c r="O217" s="4">
        <f>K217-M217+L217-N217</f>
        <v/>
      </c>
    </row>
    <row r="218">
      <c r="A218" s="2" t="inlineStr">
        <is>
          <t>B34898548</t>
        </is>
      </c>
      <c r="B218" s="4" t="n">
        <v>753.42</v>
      </c>
      <c r="C218" s="3" t="n">
        <v>46015</v>
      </c>
      <c r="D218" s="3" t="n">
        <v>46136</v>
      </c>
      <c r="E218" s="2" t="n">
        <v>80</v>
      </c>
      <c r="F218" s="2" t="n">
        <v>36.11</v>
      </c>
      <c r="G218" s="2" t="n">
        <v>1.76</v>
      </c>
      <c r="H218" s="4" t="n">
        <v>13.26</v>
      </c>
      <c r="I218" s="4" t="n">
        <v>60.46</v>
      </c>
      <c r="J218" s="2" t="n">
        <v>70</v>
      </c>
      <c r="K218" s="4" t="n">
        <v>9.34</v>
      </c>
      <c r="L218" s="4" t="n">
        <v>42.38</v>
      </c>
      <c r="M218" s="4">
        <f>B218*(G218/100)*(J218/100)</f>
        <v/>
      </c>
      <c r="N218" s="4">
        <f>B218*(F218/360/100)*E218*(J218/100)</f>
        <v/>
      </c>
      <c r="O218" s="4">
        <f>K218-M218+L218-N218</f>
        <v/>
      </c>
    </row>
    <row r="219">
      <c r="A219" s="2" t="inlineStr">
        <is>
          <t>A82845401</t>
        </is>
      </c>
      <c r="B219" s="4" t="n">
        <v>892.95</v>
      </c>
      <c r="C219" s="3" t="n">
        <v>46006</v>
      </c>
      <c r="D219" s="3" t="n">
        <v>46154</v>
      </c>
      <c r="E219" s="2" t="n">
        <v>23</v>
      </c>
      <c r="F219" s="2" t="n">
        <v>12.99</v>
      </c>
      <c r="G219" s="2" t="n">
        <v>1.25</v>
      </c>
      <c r="H219" s="4" t="n">
        <v>11.16</v>
      </c>
      <c r="I219" s="4" t="n">
        <v>7.41</v>
      </c>
      <c r="J219" s="2" t="n">
        <v>40</v>
      </c>
      <c r="K219" s="4" t="n">
        <v>4.31</v>
      </c>
      <c r="L219" s="4" t="n">
        <v>2.95</v>
      </c>
      <c r="M219" s="4">
        <f>B219*(G219/100)*(J219/100)</f>
        <v/>
      </c>
      <c r="N219" s="4">
        <f>B219*(F219/360/100)*E219*(J219/100)</f>
        <v/>
      </c>
      <c r="O219" s="4">
        <f>K219-M219+L219-N219</f>
        <v/>
      </c>
    </row>
    <row r="220">
      <c r="A220" s="2" t="inlineStr">
        <is>
          <t>A92698121</t>
        </is>
      </c>
      <c r="B220" s="4" t="n">
        <v>5561.29</v>
      </c>
      <c r="C220" s="3" t="n">
        <v>46012</v>
      </c>
      <c r="D220" s="3" t="n">
        <v>46037</v>
      </c>
      <c r="E220" s="2" t="n">
        <v>69</v>
      </c>
      <c r="F220" s="2" t="n">
        <v>15.08</v>
      </c>
      <c r="G220" s="2" t="n">
        <v>2.51</v>
      </c>
      <c r="H220" s="4" t="n">
        <v>139.59</v>
      </c>
      <c r="I220" s="4" t="n">
        <v>160.74</v>
      </c>
      <c r="J220" s="2" t="n">
        <v>40</v>
      </c>
      <c r="K220" s="4" t="n">
        <v>55.8</v>
      </c>
      <c r="L220" s="4" t="n">
        <v>64.28</v>
      </c>
      <c r="M220" s="4">
        <f>B220*(G220/100)*(J220/100)</f>
        <v/>
      </c>
      <c r="N220" s="4">
        <f>B220*(F220/360/100)*E220*(J220/100)</f>
        <v/>
      </c>
      <c r="O220" s="4">
        <f>K220-M220+L220-N220</f>
        <v/>
      </c>
    </row>
    <row r="221">
      <c r="A221" s="2" t="inlineStr">
        <is>
          <t>A28953658</t>
        </is>
      </c>
      <c r="B221" s="4" t="n">
        <v>692</v>
      </c>
      <c r="C221" s="3" t="n">
        <v>45992</v>
      </c>
      <c r="D221" s="3" t="n">
        <v>46156</v>
      </c>
      <c r="E221" s="2" t="n">
        <v>27</v>
      </c>
      <c r="F221" s="2" t="n">
        <v>41.74</v>
      </c>
      <c r="G221" s="2" t="n">
        <v>2.34</v>
      </c>
      <c r="H221" s="4" t="n">
        <v>16.19</v>
      </c>
      <c r="I221" s="4" t="n">
        <v>21.66</v>
      </c>
      <c r="J221" s="2" t="n">
        <v>40</v>
      </c>
      <c r="K221" s="4" t="n">
        <v>6.72</v>
      </c>
      <c r="L221" s="4" t="n">
        <v>8.42</v>
      </c>
      <c r="M221" s="4">
        <f>B221*(G221/100)*(J221/100)</f>
        <v/>
      </c>
      <c r="N221" s="4">
        <f>B221*(F221/360/100)*E221*(J221/100)</f>
        <v/>
      </c>
      <c r="O221" s="4">
        <f>K221-M221+L221-N221</f>
        <v/>
      </c>
    </row>
    <row r="222">
      <c r="A222" s="2" t="inlineStr">
        <is>
          <t>A82223757</t>
        </is>
      </c>
      <c r="B222" s="4" t="n">
        <v>704.05</v>
      </c>
      <c r="C222" s="3" t="n">
        <v>46019</v>
      </c>
      <c r="D222" s="3" t="n">
        <v>46201</v>
      </c>
      <c r="E222" s="2" t="n">
        <v>26</v>
      </c>
      <c r="F222" s="2" t="n">
        <v>28.55</v>
      </c>
      <c r="G222" s="2" t="n">
        <v>2.51</v>
      </c>
      <c r="H222" s="4" t="n">
        <v>17.67</v>
      </c>
      <c r="I222" s="4" t="n">
        <v>14.52</v>
      </c>
      <c r="J222" s="2" t="n">
        <v>40</v>
      </c>
      <c r="K222" s="4" t="n">
        <v>6.92</v>
      </c>
      <c r="L222" s="4" t="n">
        <v>5.88</v>
      </c>
      <c r="M222" s="4">
        <f>B222*(G222/100)*(J222/100)</f>
        <v/>
      </c>
      <c r="N222" s="4">
        <f>B222*(F222/360/100)*E222*(J222/100)</f>
        <v/>
      </c>
      <c r="O222" s="4">
        <f>K222-M222+L222-N222</f>
        <v/>
      </c>
    </row>
    <row r="223">
      <c r="A223" s="2" t="inlineStr">
        <is>
          <t>B39380211</t>
        </is>
      </c>
      <c r="B223" s="4" t="n">
        <v>143.42</v>
      </c>
      <c r="C223" s="3" t="n">
        <v>46012</v>
      </c>
      <c r="D223" s="3" t="n">
        <v>46023</v>
      </c>
      <c r="E223" s="2" t="n">
        <v>88</v>
      </c>
      <c r="F223" s="2" t="n">
        <v>30.73</v>
      </c>
      <c r="G223" s="2" t="n">
        <v>2.99</v>
      </c>
      <c r="H223" s="4" t="n">
        <v>4.29</v>
      </c>
      <c r="I223" s="4" t="n">
        <v>10.77</v>
      </c>
      <c r="J223" s="2" t="n">
        <v>50</v>
      </c>
      <c r="K223" s="4" t="n">
        <v>2.23</v>
      </c>
      <c r="L223" s="4" t="n">
        <v>5.16</v>
      </c>
      <c r="M223" s="4">
        <f>B223*(G223/100)*(J223/100)</f>
        <v/>
      </c>
      <c r="N223" s="4">
        <f>B223*(F223/360/100)*E223*(J223/100)</f>
        <v/>
      </c>
      <c r="O223" s="4">
        <f>K223-M223+L223-N223</f>
        <v/>
      </c>
    </row>
    <row r="224">
      <c r="A224" s="2" t="inlineStr">
        <is>
          <t>A66406114</t>
        </is>
      </c>
      <c r="B224" s="4" t="n">
        <v>700.8200000000001</v>
      </c>
      <c r="C224" s="3" t="n">
        <v>45997</v>
      </c>
      <c r="D224" s="3" t="n">
        <v>46193</v>
      </c>
      <c r="E224" s="2" t="n">
        <v>49</v>
      </c>
      <c r="F224" s="2" t="n">
        <v>49.78</v>
      </c>
      <c r="G224" s="2" t="n">
        <v>0.6</v>
      </c>
      <c r="H224" s="4" t="n">
        <v>4.2</v>
      </c>
      <c r="I224" s="4" t="n">
        <v>47.48</v>
      </c>
      <c r="J224" s="2" t="n">
        <v>30</v>
      </c>
      <c r="K224" s="4" t="n">
        <v>1.08</v>
      </c>
      <c r="L224" s="4" t="n">
        <v>14.34</v>
      </c>
      <c r="M224" s="4">
        <f>B224*(G224/100)*(J224/100)</f>
        <v/>
      </c>
      <c r="N224" s="4">
        <f>B224*(F224/360/100)*E224*(J224/100)</f>
        <v/>
      </c>
      <c r="O224" s="4">
        <f>K224-M224+L224-N224</f>
        <v/>
      </c>
    </row>
    <row r="225">
      <c r="A225" s="2" t="inlineStr">
        <is>
          <t>A38371798</t>
        </is>
      </c>
      <c r="B225" s="4" t="n">
        <v>6520.87</v>
      </c>
      <c r="C225" s="3" t="n">
        <v>46007</v>
      </c>
      <c r="D225" s="3" t="n">
        <v>46197</v>
      </c>
      <c r="E225" s="2" t="n">
        <v>56</v>
      </c>
      <c r="F225" s="2" t="n">
        <v>20.22</v>
      </c>
      <c r="G225" s="2" t="n">
        <v>2.01</v>
      </c>
      <c r="H225" s="4" t="n">
        <v>131.07</v>
      </c>
      <c r="I225" s="4" t="n">
        <v>205.1</v>
      </c>
      <c r="J225" s="2" t="n">
        <v>40</v>
      </c>
      <c r="K225" s="4" t="n">
        <v>52.25</v>
      </c>
      <c r="L225" s="4" t="n">
        <v>82.19</v>
      </c>
      <c r="M225" s="4">
        <f>B225*(G225/100)*(J225/100)</f>
        <v/>
      </c>
      <c r="N225" s="4">
        <f>B225*(F225/360/100)*E225*(J225/100)</f>
        <v/>
      </c>
      <c r="O225" s="4">
        <f>K225-M225+L225-N225</f>
        <v/>
      </c>
    </row>
    <row r="226">
      <c r="A226" s="2" t="inlineStr">
        <is>
          <t>B50149591</t>
        </is>
      </c>
      <c r="B226" s="4" t="n">
        <v>265.55</v>
      </c>
      <c r="C226" s="3" t="n">
        <v>46011</v>
      </c>
      <c r="D226" s="3" t="n">
        <v>46069</v>
      </c>
      <c r="E226" s="2" t="n">
        <v>75</v>
      </c>
      <c r="F226" s="2" t="n">
        <v>46.42</v>
      </c>
      <c r="G226" s="2" t="n">
        <v>1.6</v>
      </c>
      <c r="H226" s="4" t="n">
        <v>4.25</v>
      </c>
      <c r="I226" s="4" t="n">
        <v>25.68</v>
      </c>
      <c r="J226" s="2" t="n">
        <v>60</v>
      </c>
      <c r="K226" s="4" t="n">
        <v>2.34</v>
      </c>
      <c r="L226" s="4" t="n">
        <v>15.43</v>
      </c>
      <c r="M226" s="4">
        <f>B226*(G226/100)*(J226/100)</f>
        <v/>
      </c>
      <c r="N226" s="4">
        <f>B226*(F226/360/100)*E226*(J226/100)</f>
        <v/>
      </c>
      <c r="O226" s="4">
        <f>K226-M226+L226-N226</f>
        <v/>
      </c>
    </row>
    <row r="227">
      <c r="A227" s="2" t="inlineStr">
        <is>
          <t>B65922674</t>
        </is>
      </c>
      <c r="B227" s="4" t="n">
        <v>277.59</v>
      </c>
      <c r="C227" s="3" t="n">
        <v>46000</v>
      </c>
      <c r="D227" s="3" t="n">
        <v>46156</v>
      </c>
      <c r="E227" s="2" t="n">
        <v>20</v>
      </c>
      <c r="F227" s="2" t="n">
        <v>12.5</v>
      </c>
      <c r="G227" s="2" t="n">
        <v>0.72</v>
      </c>
      <c r="H227" s="4" t="n">
        <v>2</v>
      </c>
      <c r="I227" s="4" t="n">
        <v>1.93</v>
      </c>
      <c r="J227" s="2" t="n">
        <v>70</v>
      </c>
      <c r="K227" s="4" t="n">
        <v>1.27</v>
      </c>
      <c r="L227" s="4" t="n">
        <v>1.26</v>
      </c>
      <c r="M227" s="4">
        <f>B227*(G227/100)*(J227/100)</f>
        <v/>
      </c>
      <c r="N227" s="4">
        <f>B227*(F227/360/100)*E227*(J227/100)</f>
        <v/>
      </c>
      <c r="O227" s="4">
        <f>K227-M227+L227-N227</f>
        <v/>
      </c>
    </row>
    <row r="228">
      <c r="A228" s="2" t="inlineStr">
        <is>
          <t>A04678513</t>
        </is>
      </c>
      <c r="B228" s="4" t="n">
        <v>218.69</v>
      </c>
      <c r="C228" s="3" t="n">
        <v>46013</v>
      </c>
      <c r="D228" s="3" t="n">
        <v>46080</v>
      </c>
      <c r="E228" s="2" t="n">
        <v>18</v>
      </c>
      <c r="F228" s="2" t="n">
        <v>11.31</v>
      </c>
      <c r="G228" s="2" t="n">
        <v>2.05</v>
      </c>
      <c r="H228" s="4" t="n">
        <v>4.48</v>
      </c>
      <c r="I228" s="4" t="n">
        <v>1.24</v>
      </c>
      <c r="J228" s="2" t="n">
        <v>50</v>
      </c>
      <c r="K228" s="4" t="n">
        <v>2.09</v>
      </c>
      <c r="L228" s="4" t="n">
        <v>0.86</v>
      </c>
      <c r="M228" s="4">
        <f>B228*(G228/100)*(J228/100)</f>
        <v/>
      </c>
      <c r="N228" s="4">
        <f>B228*(F228/360/100)*E228*(J228/100)</f>
        <v/>
      </c>
      <c r="O228" s="4">
        <f>K228-M228+L228-N228</f>
        <v/>
      </c>
    </row>
    <row r="229">
      <c r="A229" s="2" t="inlineStr">
        <is>
          <t>A84495282</t>
        </is>
      </c>
      <c r="B229" s="4" t="n">
        <v>123.71</v>
      </c>
      <c r="C229" s="3" t="n">
        <v>45998</v>
      </c>
      <c r="D229" s="3" t="n">
        <v>46108</v>
      </c>
      <c r="E229" s="2" t="n">
        <v>30</v>
      </c>
      <c r="F229" s="2" t="n">
        <v>37.76</v>
      </c>
      <c r="G229" s="2" t="n">
        <v>1.4</v>
      </c>
      <c r="H229" s="4" t="n">
        <v>1.73</v>
      </c>
      <c r="I229" s="4" t="n">
        <v>3.89</v>
      </c>
      <c r="J229" s="2" t="n">
        <v>30</v>
      </c>
      <c r="K229" s="4" t="n">
        <v>0.71</v>
      </c>
      <c r="L229" s="4" t="n">
        <v>1.21</v>
      </c>
      <c r="M229" s="4">
        <f>B229*(G229/100)*(J229/100)</f>
        <v/>
      </c>
      <c r="N229" s="4">
        <f>B229*(F229/360/100)*E229*(J229/100)</f>
        <v/>
      </c>
      <c r="O229" s="4">
        <f>K229-M229+L229-N229</f>
        <v/>
      </c>
    </row>
    <row r="230">
      <c r="A230" s="2" t="inlineStr">
        <is>
          <t>A19789309</t>
        </is>
      </c>
      <c r="B230" s="4" t="n">
        <v>134.07</v>
      </c>
      <c r="C230" s="3" t="n">
        <v>46018</v>
      </c>
      <c r="D230" s="3" t="n">
        <v>46185</v>
      </c>
      <c r="E230" s="2" t="n">
        <v>68</v>
      </c>
      <c r="F230" s="2" t="n">
        <v>24.22</v>
      </c>
      <c r="G230" s="2" t="n">
        <v>2.28</v>
      </c>
      <c r="H230" s="4" t="n">
        <v>3.06</v>
      </c>
      <c r="I230" s="4" t="n">
        <v>6.13</v>
      </c>
      <c r="J230" s="2" t="n">
        <v>60</v>
      </c>
      <c r="K230" s="4" t="n">
        <v>2.13</v>
      </c>
      <c r="L230" s="4" t="n">
        <v>3.98</v>
      </c>
      <c r="M230" s="4">
        <f>B230*(G230/100)*(J230/100)</f>
        <v/>
      </c>
      <c r="N230" s="4">
        <f>B230*(F230/360/100)*E230*(J230/100)</f>
        <v/>
      </c>
      <c r="O230" s="4">
        <f>K230-M230+L230-N230</f>
        <v/>
      </c>
    </row>
    <row r="231">
      <c r="A231" s="2" t="inlineStr">
        <is>
          <t>A34982925</t>
        </is>
      </c>
      <c r="B231" s="4" t="n">
        <v>3214.08</v>
      </c>
      <c r="C231" s="3" t="n">
        <v>45993</v>
      </c>
      <c r="D231" s="3" t="n">
        <v>46085</v>
      </c>
      <c r="E231" s="2" t="n">
        <v>58</v>
      </c>
      <c r="F231" s="2" t="n">
        <v>46.47</v>
      </c>
      <c r="G231" s="2" t="n">
        <v>2.5</v>
      </c>
      <c r="H231" s="4" t="n">
        <v>80.34999999999999</v>
      </c>
      <c r="I231" s="4" t="n">
        <v>240.63</v>
      </c>
      <c r="J231" s="2" t="n">
        <v>20</v>
      </c>
      <c r="K231" s="4" t="n">
        <v>16.31</v>
      </c>
      <c r="L231" s="4" t="n">
        <v>47.91</v>
      </c>
      <c r="M231" s="4">
        <f>B231*(G231/100)*(J231/100)</f>
        <v/>
      </c>
      <c r="N231" s="4">
        <f>B231*(F231/360/100)*E231*(J231/100)</f>
        <v/>
      </c>
      <c r="O231" s="4">
        <f>K231-M231+L231-N231</f>
        <v/>
      </c>
    </row>
    <row r="232">
      <c r="A232" s="2" t="inlineStr">
        <is>
          <t>B98336942</t>
        </is>
      </c>
      <c r="B232" s="4" t="n">
        <v>733.01</v>
      </c>
      <c r="C232" s="3" t="n">
        <v>46012</v>
      </c>
      <c r="D232" s="3" t="n">
        <v>46028</v>
      </c>
      <c r="E232" s="2" t="n">
        <v>70</v>
      </c>
      <c r="F232" s="2" t="n">
        <v>38.46</v>
      </c>
      <c r="G232" s="2" t="n">
        <v>1.58</v>
      </c>
      <c r="H232" s="4" t="n">
        <v>11.58</v>
      </c>
      <c r="I232" s="4" t="n">
        <v>54.82</v>
      </c>
      <c r="J232" s="2" t="n">
        <v>60</v>
      </c>
      <c r="K232" s="4" t="n">
        <v>6.7</v>
      </c>
      <c r="L232" s="4" t="n">
        <v>32.64</v>
      </c>
      <c r="M232" s="4">
        <f>B232*(G232/100)*(J232/100)</f>
        <v/>
      </c>
      <c r="N232" s="4">
        <f>B232*(F232/360/100)*E232*(J232/100)</f>
        <v/>
      </c>
      <c r="O232" s="4">
        <f>K232-M232+L232-N232</f>
        <v/>
      </c>
    </row>
    <row r="233">
      <c r="A233" s="2" t="inlineStr">
        <is>
          <t>A35720637</t>
        </is>
      </c>
      <c r="B233" s="4" t="n">
        <v>303.07</v>
      </c>
      <c r="C233" s="3" t="n">
        <v>46011</v>
      </c>
      <c r="D233" s="3" t="n">
        <v>46135</v>
      </c>
      <c r="E233" s="2" t="n">
        <v>79</v>
      </c>
      <c r="F233" s="2" t="n">
        <v>48.74</v>
      </c>
      <c r="G233" s="2" t="n">
        <v>1.26</v>
      </c>
      <c r="H233" s="4" t="n">
        <v>3.82</v>
      </c>
      <c r="I233" s="4" t="n">
        <v>32.42</v>
      </c>
      <c r="J233" s="2" t="n">
        <v>40</v>
      </c>
      <c r="K233" s="4" t="n">
        <v>1.82</v>
      </c>
      <c r="L233" s="4" t="n">
        <v>13.08</v>
      </c>
      <c r="M233" s="4">
        <f>B233*(G233/100)*(J233/100)</f>
        <v/>
      </c>
      <c r="N233" s="4">
        <f>B233*(F233/360/100)*E233*(J233/100)</f>
        <v/>
      </c>
      <c r="O233" s="4">
        <f>K233-M233+L233-N233</f>
        <v/>
      </c>
    </row>
    <row r="234">
      <c r="A234" s="2" t="inlineStr">
        <is>
          <t>A48023323</t>
        </is>
      </c>
      <c r="B234" s="4" t="n">
        <v>8797.709999999999</v>
      </c>
      <c r="C234" s="3" t="n">
        <v>45995</v>
      </c>
      <c r="D234" s="3" t="n">
        <v>46100</v>
      </c>
      <c r="E234" s="2" t="n">
        <v>29</v>
      </c>
      <c r="F234" s="2" t="n">
        <v>30.21</v>
      </c>
      <c r="G234" s="2" t="n">
        <v>0.88</v>
      </c>
      <c r="H234" s="4" t="n">
        <v>77.42</v>
      </c>
      <c r="I234" s="4" t="n">
        <v>214.1</v>
      </c>
      <c r="J234" s="2" t="n">
        <v>40</v>
      </c>
      <c r="K234" s="4" t="n">
        <v>30.85</v>
      </c>
      <c r="L234" s="4" t="n">
        <v>85.7</v>
      </c>
      <c r="M234" s="4">
        <f>B234*(G234/100)*(J234/100)</f>
        <v/>
      </c>
      <c r="N234" s="4">
        <f>B234*(F234/360/100)*E234*(J234/100)</f>
        <v/>
      </c>
      <c r="O234" s="4">
        <f>K234-M234+L234-N234</f>
        <v/>
      </c>
    </row>
    <row r="235">
      <c r="A235" s="2" t="inlineStr">
        <is>
          <t>A63628922</t>
        </is>
      </c>
      <c r="B235" s="4" t="n">
        <v>3029.13</v>
      </c>
      <c r="C235" s="3" t="n">
        <v>45995</v>
      </c>
      <c r="D235" s="3" t="n">
        <v>46153</v>
      </c>
      <c r="E235" s="2" t="n">
        <v>49</v>
      </c>
      <c r="F235" s="2" t="n">
        <v>21.16</v>
      </c>
      <c r="G235" s="2" t="n">
        <v>2.26</v>
      </c>
      <c r="H235" s="4" t="n">
        <v>68.45999999999999</v>
      </c>
      <c r="I235" s="4" t="n">
        <v>87.23999999999999</v>
      </c>
      <c r="J235" s="2" t="n">
        <v>20</v>
      </c>
      <c r="K235" s="4" t="n">
        <v>13.67</v>
      </c>
      <c r="L235" s="4" t="n">
        <v>17.3</v>
      </c>
      <c r="M235" s="4">
        <f>B235*(G235/100)*(J235/100)</f>
        <v/>
      </c>
      <c r="N235" s="4">
        <f>B235*(F235/360/100)*E235*(J235/100)</f>
        <v/>
      </c>
      <c r="O235" s="4">
        <f>K235-M235+L235-N235</f>
        <v/>
      </c>
    </row>
    <row r="236">
      <c r="A236" s="2" t="inlineStr">
        <is>
          <t>A32591255</t>
        </is>
      </c>
      <c r="B236" s="4" t="n">
        <v>9993.440000000001</v>
      </c>
      <c r="C236" s="3" t="n">
        <v>46008</v>
      </c>
      <c r="D236" s="3" t="n">
        <v>46160</v>
      </c>
      <c r="E236" s="2" t="n">
        <v>33</v>
      </c>
      <c r="F236" s="2" t="n">
        <v>20.92</v>
      </c>
      <c r="G236" s="2" t="n">
        <v>1.07</v>
      </c>
      <c r="H236" s="4" t="n">
        <v>106.93</v>
      </c>
      <c r="I236" s="4" t="n">
        <v>191.64</v>
      </c>
      <c r="J236" s="2" t="n">
        <v>40</v>
      </c>
      <c r="K236" s="4" t="n">
        <v>42.73</v>
      </c>
      <c r="L236" s="4" t="n">
        <v>76.59999999999999</v>
      </c>
      <c r="M236" s="4">
        <f>B236*(G236/100)*(J236/100)</f>
        <v/>
      </c>
      <c r="N236" s="4">
        <f>B236*(F236/360/100)*E236*(J236/100)</f>
        <v/>
      </c>
      <c r="O236" s="4">
        <f>K236-M236+L236-N236</f>
        <v/>
      </c>
    </row>
    <row r="237">
      <c r="A237" s="2" t="inlineStr">
        <is>
          <t>B33965757</t>
        </is>
      </c>
      <c r="B237" s="4" t="n">
        <v>1371.53</v>
      </c>
      <c r="C237" s="3" t="n">
        <v>46004</v>
      </c>
      <c r="D237" s="3" t="n">
        <v>46186</v>
      </c>
      <c r="E237" s="2" t="n">
        <v>59</v>
      </c>
      <c r="F237" s="2" t="n">
        <v>36.97</v>
      </c>
      <c r="G237" s="2" t="n">
        <v>1.37</v>
      </c>
      <c r="H237" s="4" t="n">
        <v>18.79</v>
      </c>
      <c r="I237" s="4" t="n">
        <v>83.09999999999999</v>
      </c>
      <c r="J237" s="2" t="n">
        <v>40</v>
      </c>
      <c r="K237" s="4" t="n">
        <v>7.6</v>
      </c>
      <c r="L237" s="4" t="n">
        <v>33.26</v>
      </c>
      <c r="M237" s="4">
        <f>B237*(G237/100)*(J237/100)</f>
        <v/>
      </c>
      <c r="N237" s="4">
        <f>B237*(F237/360/100)*E237*(J237/100)</f>
        <v/>
      </c>
      <c r="O237" s="4">
        <f>K237-M237+L237-N237</f>
        <v/>
      </c>
    </row>
    <row r="238">
      <c r="A238" s="2" t="inlineStr">
        <is>
          <t>B66083614</t>
        </is>
      </c>
      <c r="B238" s="4" t="n">
        <v>7574.05</v>
      </c>
      <c r="C238" s="3" t="n">
        <v>45996</v>
      </c>
      <c r="D238" s="3" t="n">
        <v>46094</v>
      </c>
      <c r="E238" s="2" t="n">
        <v>36</v>
      </c>
      <c r="F238" s="2" t="n">
        <v>41.8</v>
      </c>
      <c r="G238" s="2" t="n">
        <v>2.3</v>
      </c>
      <c r="H238" s="4" t="n">
        <v>174.2</v>
      </c>
      <c r="I238" s="4" t="n">
        <v>316.6</v>
      </c>
      <c r="J238" s="2" t="n">
        <v>40</v>
      </c>
      <c r="K238" s="4" t="n">
        <v>69.54000000000001</v>
      </c>
      <c r="L238" s="4" t="n">
        <v>126.83</v>
      </c>
      <c r="M238" s="4">
        <f>B238*(G238/100)*(J238/100)</f>
        <v/>
      </c>
      <c r="N238" s="4">
        <f>B238*(F238/360/100)*E238*(J238/100)</f>
        <v/>
      </c>
      <c r="O238" s="4">
        <f>K238-M238+L238-N238</f>
        <v/>
      </c>
    </row>
    <row r="239">
      <c r="A239" s="2" t="inlineStr">
        <is>
          <t>A78687274</t>
        </is>
      </c>
      <c r="B239" s="4" t="n">
        <v>106.74</v>
      </c>
      <c r="C239" s="3" t="n">
        <v>46005</v>
      </c>
      <c r="D239" s="3" t="n">
        <v>46130</v>
      </c>
      <c r="E239" s="2" t="n">
        <v>71</v>
      </c>
      <c r="F239" s="2" t="n">
        <v>38.22</v>
      </c>
      <c r="G239" s="2" t="n">
        <v>1.1</v>
      </c>
      <c r="H239" s="4" t="n">
        <v>1.17</v>
      </c>
      <c r="I239" s="4" t="n">
        <v>8.050000000000001</v>
      </c>
      <c r="J239" s="2" t="n">
        <v>60</v>
      </c>
      <c r="K239" s="4" t="n">
        <v>0.93</v>
      </c>
      <c r="L239" s="4" t="n">
        <v>4.77</v>
      </c>
      <c r="M239" s="4">
        <f>B239*(G239/100)*(J239/100)</f>
        <v/>
      </c>
      <c r="N239" s="4">
        <f>B239*(F239/360/100)*E239*(J239/100)</f>
        <v/>
      </c>
      <c r="O239" s="4">
        <f>K239-M239+L239-N239</f>
        <v/>
      </c>
    </row>
    <row r="240">
      <c r="A240" s="2" t="inlineStr">
        <is>
          <t>B30636448</t>
        </is>
      </c>
      <c r="B240" s="4" t="n">
        <v>993.71</v>
      </c>
      <c r="C240" s="3" t="n">
        <v>46015</v>
      </c>
      <c r="D240" s="3" t="n">
        <v>46067</v>
      </c>
      <c r="E240" s="2" t="n">
        <v>85</v>
      </c>
      <c r="F240" s="2" t="n">
        <v>47.31</v>
      </c>
      <c r="G240" s="2" t="n">
        <v>2.61</v>
      </c>
      <c r="H240" s="4" t="n">
        <v>25.94</v>
      </c>
      <c r="I240" s="4" t="n">
        <v>111</v>
      </c>
      <c r="J240" s="2" t="n">
        <v>30</v>
      </c>
      <c r="K240" s="4" t="n">
        <v>7.62</v>
      </c>
      <c r="L240" s="4" t="n">
        <v>33.11</v>
      </c>
      <c r="M240" s="4">
        <f>B240*(G240/100)*(J240/100)</f>
        <v/>
      </c>
      <c r="N240" s="4">
        <f>B240*(F240/360/100)*E240*(J240/100)</f>
        <v/>
      </c>
      <c r="O240" s="4">
        <f>K240-M240+L240-N240</f>
        <v/>
      </c>
    </row>
    <row r="241">
      <c r="A241" s="2" t="inlineStr">
        <is>
          <t>A33047560</t>
        </is>
      </c>
      <c r="B241" s="4" t="n">
        <v>7625.08</v>
      </c>
      <c r="C241" s="3" t="n">
        <v>45996</v>
      </c>
      <c r="D241" s="3" t="n">
        <v>46170</v>
      </c>
      <c r="E241" s="2" t="n">
        <v>64</v>
      </c>
      <c r="F241" s="2" t="n">
        <v>46.95</v>
      </c>
      <c r="G241" s="2" t="n">
        <v>1.04</v>
      </c>
      <c r="H241" s="4" t="n">
        <v>79.3</v>
      </c>
      <c r="I241" s="4" t="n">
        <v>636.4400000000001</v>
      </c>
      <c r="J241" s="2" t="n">
        <v>60</v>
      </c>
      <c r="K241" s="4" t="n">
        <v>47.5</v>
      </c>
      <c r="L241" s="4" t="n">
        <v>381.7</v>
      </c>
      <c r="M241" s="4">
        <f>B241*(G241/100)*(J241/100)</f>
        <v/>
      </c>
      <c r="N241" s="4">
        <f>B241*(F241/360/100)*E241*(J241/100)</f>
        <v/>
      </c>
      <c r="O241" s="4">
        <f>K241-M241+L241-N241</f>
        <v/>
      </c>
    </row>
    <row r="242">
      <c r="A242" s="2" t="inlineStr">
        <is>
          <t>A28953658</t>
        </is>
      </c>
      <c r="B242" s="4" t="n">
        <v>4233.73</v>
      </c>
      <c r="C242" s="3" t="n">
        <v>46016</v>
      </c>
      <c r="D242" s="3" t="n">
        <v>46037</v>
      </c>
      <c r="E242" s="2" t="n">
        <v>15</v>
      </c>
      <c r="F242" s="2" t="n">
        <v>46.19</v>
      </c>
      <c r="G242" s="2" t="n">
        <v>0.79</v>
      </c>
      <c r="H242" s="4" t="n">
        <v>33.45</v>
      </c>
      <c r="I242" s="4" t="n">
        <v>81.48</v>
      </c>
      <c r="J242" s="2" t="n">
        <v>40</v>
      </c>
      <c r="K242" s="4" t="n">
        <v>13.45</v>
      </c>
      <c r="L242" s="4" t="n">
        <v>32.32</v>
      </c>
      <c r="M242" s="4">
        <f>B242*(G242/100)*(J242/100)</f>
        <v/>
      </c>
      <c r="N242" s="4">
        <f>B242*(F242/360/100)*E242*(J242/100)</f>
        <v/>
      </c>
      <c r="O242" s="4">
        <f>K242-M242+L242-N242</f>
        <v/>
      </c>
    </row>
    <row r="243">
      <c r="A243" s="2" t="inlineStr">
        <is>
          <t>A47417591</t>
        </is>
      </c>
      <c r="B243" s="4" t="n">
        <v>911.71</v>
      </c>
      <c r="C243" s="3" t="n">
        <v>46002</v>
      </c>
      <c r="D243" s="3" t="n">
        <v>46044</v>
      </c>
      <c r="E243" s="2" t="n">
        <v>33</v>
      </c>
      <c r="F243" s="2" t="n">
        <v>45.44</v>
      </c>
      <c r="G243" s="2" t="n">
        <v>0.95</v>
      </c>
      <c r="H243" s="4" t="n">
        <v>8.66</v>
      </c>
      <c r="I243" s="4" t="n">
        <v>37.98</v>
      </c>
      <c r="J243" s="2" t="n">
        <v>60</v>
      </c>
      <c r="K243" s="4" t="n">
        <v>4.95</v>
      </c>
      <c r="L243" s="4" t="n">
        <v>22.89</v>
      </c>
      <c r="M243" s="4">
        <f>B243*(G243/100)*(J243/100)</f>
        <v/>
      </c>
      <c r="N243" s="4">
        <f>B243*(F243/360/100)*E243*(J243/100)</f>
        <v/>
      </c>
      <c r="O243" s="4">
        <f>K243-M243+L243-N243</f>
        <v/>
      </c>
    </row>
    <row r="244">
      <c r="A244" s="2" t="inlineStr">
        <is>
          <t>A15582903</t>
        </is>
      </c>
      <c r="B244" s="4" t="n">
        <v>383.65</v>
      </c>
      <c r="C244" s="3" t="n">
        <v>46016</v>
      </c>
      <c r="D244" s="3" t="n">
        <v>46093</v>
      </c>
      <c r="E244" s="2" t="n">
        <v>85</v>
      </c>
      <c r="F244" s="2" t="n">
        <v>29.98</v>
      </c>
      <c r="G244" s="2" t="n">
        <v>1.07</v>
      </c>
      <c r="H244" s="4" t="n">
        <v>4.11</v>
      </c>
      <c r="I244" s="4" t="n">
        <v>27.16</v>
      </c>
      <c r="J244" s="2" t="n">
        <v>30</v>
      </c>
      <c r="K244" s="4" t="n">
        <v>1.25</v>
      </c>
      <c r="L244" s="4" t="n">
        <v>7.99</v>
      </c>
      <c r="M244" s="4">
        <f>B244*(G244/100)*(J244/100)</f>
        <v/>
      </c>
      <c r="N244" s="4">
        <f>B244*(F244/360/100)*E244*(J244/100)</f>
        <v/>
      </c>
      <c r="O244" s="4">
        <f>K244-M244+L244-N244</f>
        <v/>
      </c>
    </row>
    <row r="245">
      <c r="A245" s="2" t="inlineStr">
        <is>
          <t>A94663659</t>
        </is>
      </c>
      <c r="B245" s="4" t="n">
        <v>5245.5</v>
      </c>
      <c r="C245" s="3" t="n">
        <v>45995</v>
      </c>
      <c r="D245" s="3" t="n">
        <v>46076</v>
      </c>
      <c r="E245" s="2" t="n">
        <v>14</v>
      </c>
      <c r="F245" s="2" t="n">
        <v>28.57</v>
      </c>
      <c r="G245" s="2" t="n">
        <v>2.63</v>
      </c>
      <c r="H245" s="4" t="n">
        <v>137.96</v>
      </c>
      <c r="I245" s="4" t="n">
        <v>58.28</v>
      </c>
      <c r="J245" s="2" t="n">
        <v>60</v>
      </c>
      <c r="K245" s="4" t="n">
        <v>82.7</v>
      </c>
      <c r="L245" s="4" t="n">
        <v>34.85</v>
      </c>
      <c r="M245" s="4">
        <f>B245*(G245/100)*(J245/100)</f>
        <v/>
      </c>
      <c r="N245" s="4">
        <f>B245*(F245/360/100)*E245*(J245/100)</f>
        <v/>
      </c>
      <c r="O245" s="4">
        <f>K245-M245+L245-N245</f>
        <v/>
      </c>
    </row>
    <row r="246">
      <c r="A246" s="2" t="inlineStr">
        <is>
          <t>B99553113</t>
        </is>
      </c>
      <c r="B246" s="4" t="n">
        <v>5805.92</v>
      </c>
      <c r="C246" s="3" t="n">
        <v>45997</v>
      </c>
      <c r="D246" s="3" t="n">
        <v>46089</v>
      </c>
      <c r="E246" s="2" t="n">
        <v>57</v>
      </c>
      <c r="F246" s="2" t="n">
        <v>32.9</v>
      </c>
      <c r="G246" s="2" t="n">
        <v>2.14</v>
      </c>
      <c r="H246" s="4" t="n">
        <v>124.25</v>
      </c>
      <c r="I246" s="4" t="n">
        <v>302.44</v>
      </c>
      <c r="J246" s="2" t="n">
        <v>60</v>
      </c>
      <c r="K246" s="4" t="n">
        <v>74.26000000000001</v>
      </c>
      <c r="L246" s="4" t="n">
        <v>181.27</v>
      </c>
      <c r="M246" s="4">
        <f>B246*(G246/100)*(J246/100)</f>
        <v/>
      </c>
      <c r="N246" s="4">
        <f>B246*(F246/360/100)*E246*(J246/100)</f>
        <v/>
      </c>
      <c r="O246" s="4">
        <f>K246-M246+L246-N246</f>
        <v/>
      </c>
    </row>
    <row r="247">
      <c r="A247" s="2" t="inlineStr">
        <is>
          <t>A66137362</t>
        </is>
      </c>
      <c r="B247" s="4" t="n">
        <v>632.1</v>
      </c>
      <c r="C247" s="3" t="n">
        <v>46002</v>
      </c>
      <c r="D247" s="3" t="n">
        <v>46059</v>
      </c>
      <c r="E247" s="2" t="n">
        <v>69</v>
      </c>
      <c r="F247" s="2" t="n">
        <v>21.35</v>
      </c>
      <c r="G247" s="2" t="n">
        <v>2.82</v>
      </c>
      <c r="H247" s="4" t="n">
        <v>17.83</v>
      </c>
      <c r="I247" s="4" t="n">
        <v>25.87</v>
      </c>
      <c r="J247" s="2" t="n">
        <v>70</v>
      </c>
      <c r="K247" s="4" t="n">
        <v>12.43</v>
      </c>
      <c r="L247" s="4" t="n">
        <v>17.85</v>
      </c>
      <c r="M247" s="4">
        <f>B247*(G247/100)*(J247/100)</f>
        <v/>
      </c>
      <c r="N247" s="4">
        <f>B247*(F247/360/100)*E247*(J247/100)</f>
        <v/>
      </c>
      <c r="O247" s="4">
        <f>K247-M247+L247-N247</f>
        <v/>
      </c>
    </row>
    <row r="248">
      <c r="A248" s="2" t="inlineStr">
        <is>
          <t>B90104474</t>
        </is>
      </c>
      <c r="B248" s="4" t="n">
        <v>198.97</v>
      </c>
      <c r="C248" s="3" t="n">
        <v>46017</v>
      </c>
      <c r="D248" s="3" t="n">
        <v>46125</v>
      </c>
      <c r="E248" s="2" t="n">
        <v>47</v>
      </c>
      <c r="F248" s="2" t="n">
        <v>16.52</v>
      </c>
      <c r="G248" s="2" t="n">
        <v>1.64</v>
      </c>
      <c r="H248" s="4" t="n">
        <v>3.26</v>
      </c>
      <c r="I248" s="4" t="n">
        <v>4.29</v>
      </c>
      <c r="J248" s="2" t="n">
        <v>40</v>
      </c>
      <c r="K248" s="4" t="n">
        <v>1.04</v>
      </c>
      <c r="L248" s="4" t="n">
        <v>1.86</v>
      </c>
      <c r="M248" s="4">
        <f>B248*(G248/100)*(J248/100)</f>
        <v/>
      </c>
      <c r="N248" s="4">
        <f>B248*(F248/360/100)*E248*(J248/100)</f>
        <v/>
      </c>
      <c r="O248" s="4">
        <f>K248-M248+L248-N248</f>
        <v/>
      </c>
    </row>
    <row r="249">
      <c r="A249" s="2" t="inlineStr">
        <is>
          <t>B23121122</t>
        </is>
      </c>
      <c r="B249" s="4" t="n">
        <v>6936.93</v>
      </c>
      <c r="C249" s="3" t="n">
        <v>46012</v>
      </c>
      <c r="D249" s="3" t="n">
        <v>46169</v>
      </c>
      <c r="E249" s="2" t="n">
        <v>46</v>
      </c>
      <c r="F249" s="2" t="n">
        <v>21.43</v>
      </c>
      <c r="G249" s="2" t="n">
        <v>1.43</v>
      </c>
      <c r="H249" s="4" t="n">
        <v>99.2</v>
      </c>
      <c r="I249" s="4" t="n">
        <v>189.95</v>
      </c>
      <c r="J249" s="2" t="n">
        <v>40</v>
      </c>
      <c r="K249" s="4" t="n">
        <v>39.94</v>
      </c>
      <c r="L249" s="4" t="n">
        <v>76.17</v>
      </c>
      <c r="M249" s="4">
        <f>B249*(G249/100)*(J249/100)</f>
        <v/>
      </c>
      <c r="N249" s="4">
        <f>B249*(F249/360/100)*E249*(J249/100)</f>
        <v/>
      </c>
      <c r="O249" s="4">
        <f>K249-M249+L249-N249</f>
        <v/>
      </c>
    </row>
    <row r="250">
      <c r="A250" s="2" t="inlineStr">
        <is>
          <t>B53704916</t>
        </is>
      </c>
      <c r="B250" s="4" t="n">
        <v>2173.3</v>
      </c>
      <c r="C250" s="3" t="n">
        <v>46005</v>
      </c>
      <c r="D250" s="3" t="n">
        <v>46067</v>
      </c>
      <c r="E250" s="2" t="n">
        <v>71</v>
      </c>
      <c r="F250" s="2" t="n">
        <v>22.25</v>
      </c>
      <c r="G250" s="2" t="n">
        <v>2.54</v>
      </c>
      <c r="H250" s="4" t="n">
        <v>55.2</v>
      </c>
      <c r="I250" s="4" t="n">
        <v>95.37</v>
      </c>
      <c r="J250" s="2" t="n">
        <v>50</v>
      </c>
      <c r="K250" s="4" t="n">
        <v>27.73</v>
      </c>
      <c r="L250" s="4" t="n">
        <v>47.67</v>
      </c>
      <c r="M250" s="4">
        <f>B250*(G250/100)*(J250/100)</f>
        <v/>
      </c>
      <c r="N250" s="4">
        <f>B250*(F250/360/100)*E250*(J250/100)</f>
        <v/>
      </c>
      <c r="O250" s="4">
        <f>K250-M250+L250-N250</f>
        <v/>
      </c>
    </row>
    <row r="251">
      <c r="A251" s="2" t="inlineStr">
        <is>
          <t>A90286180</t>
        </is>
      </c>
      <c r="B251" s="4" t="n">
        <v>322.2</v>
      </c>
      <c r="C251" s="3" t="n">
        <v>46009</v>
      </c>
      <c r="D251" s="3" t="n">
        <v>46147</v>
      </c>
      <c r="E251" s="2" t="n">
        <v>43</v>
      </c>
      <c r="F251" s="2" t="n">
        <v>31.12</v>
      </c>
      <c r="G251" s="2" t="n">
        <v>0.8</v>
      </c>
      <c r="H251" s="4" t="n">
        <v>2.58</v>
      </c>
      <c r="I251" s="4" t="n">
        <v>11.98</v>
      </c>
      <c r="J251" s="2" t="n">
        <v>50</v>
      </c>
      <c r="K251" s="4" t="n">
        <v>1.26</v>
      </c>
      <c r="L251" s="4" t="n">
        <v>5.81</v>
      </c>
      <c r="M251" s="4">
        <f>B251*(G251/100)*(J251/100)</f>
        <v/>
      </c>
      <c r="N251" s="4">
        <f>B251*(F251/360/100)*E251*(J251/100)</f>
        <v/>
      </c>
      <c r="O251" s="4">
        <f>K251-M251+L251-N251</f>
        <v/>
      </c>
    </row>
    <row r="252">
      <c r="A252" s="2" t="inlineStr">
        <is>
          <t>B29630838</t>
        </is>
      </c>
      <c r="B252" s="4" t="n">
        <v>595.88</v>
      </c>
      <c r="C252" s="3" t="n">
        <v>46016</v>
      </c>
      <c r="D252" s="3" t="n">
        <v>46028</v>
      </c>
      <c r="E252" s="2" t="n">
        <v>65</v>
      </c>
      <c r="F252" s="2" t="n">
        <v>18.97</v>
      </c>
      <c r="G252" s="2" t="n">
        <v>1.12</v>
      </c>
      <c r="H252" s="4" t="n">
        <v>6.67</v>
      </c>
      <c r="I252" s="4" t="n">
        <v>20.41</v>
      </c>
      <c r="J252" s="2" t="n">
        <v>60</v>
      </c>
      <c r="K252" s="4" t="n">
        <v>3.83</v>
      </c>
      <c r="L252" s="4" t="n">
        <v>12.39</v>
      </c>
      <c r="M252" s="4">
        <f>B252*(G252/100)*(J252/100)</f>
        <v/>
      </c>
      <c r="N252" s="4">
        <f>B252*(F252/360/100)*E252*(J252/100)</f>
        <v/>
      </c>
      <c r="O252" s="4">
        <f>K252-M252+L252-N252</f>
        <v/>
      </c>
    </row>
    <row r="253">
      <c r="A253" s="2" t="inlineStr">
        <is>
          <t>A97858736</t>
        </is>
      </c>
      <c r="B253" s="4" t="n">
        <v>622.79</v>
      </c>
      <c r="C253" s="3" t="n">
        <v>46019</v>
      </c>
      <c r="D253" s="3" t="n">
        <v>46168</v>
      </c>
      <c r="E253" s="2" t="n">
        <v>42</v>
      </c>
      <c r="F253" s="2" t="n">
        <v>14.28</v>
      </c>
      <c r="G253" s="2" t="n">
        <v>1.37</v>
      </c>
      <c r="H253" s="4" t="n">
        <v>8.529999999999999</v>
      </c>
      <c r="I253" s="4" t="n">
        <v>10.38</v>
      </c>
      <c r="J253" s="2" t="n">
        <v>50</v>
      </c>
      <c r="K253" s="4" t="n">
        <v>4.43</v>
      </c>
      <c r="L253" s="4" t="n">
        <v>4.91</v>
      </c>
      <c r="M253" s="4">
        <f>B253*(G253/100)*(J253/100)</f>
        <v/>
      </c>
      <c r="N253" s="4">
        <f>B253*(F253/360/100)*E253*(J253/100)</f>
        <v/>
      </c>
      <c r="O253" s="4">
        <f>K253-M253+L253-N253</f>
        <v/>
      </c>
    </row>
    <row r="254">
      <c r="A254" s="2" t="inlineStr">
        <is>
          <t>B53150081</t>
        </is>
      </c>
      <c r="B254" s="4" t="n">
        <v>487.16</v>
      </c>
      <c r="C254" s="3" t="n">
        <v>45997</v>
      </c>
      <c r="D254" s="3" t="n">
        <v>46077</v>
      </c>
      <c r="E254" s="2" t="n">
        <v>81</v>
      </c>
      <c r="F254" s="2" t="n">
        <v>41.65</v>
      </c>
      <c r="G254" s="2" t="n">
        <v>1.79</v>
      </c>
      <c r="H254" s="4" t="n">
        <v>8.720000000000001</v>
      </c>
      <c r="I254" s="4" t="n">
        <v>45.65</v>
      </c>
      <c r="J254" s="2" t="n">
        <v>30</v>
      </c>
      <c r="K254" s="4" t="n">
        <v>2.33</v>
      </c>
      <c r="L254" s="4" t="n">
        <v>13.67</v>
      </c>
      <c r="M254" s="4">
        <f>B254*(G254/100)*(J254/100)</f>
        <v/>
      </c>
      <c r="N254" s="4">
        <f>B254*(F254/360/100)*E254*(J254/100)</f>
        <v/>
      </c>
      <c r="O254" s="4">
        <f>K254-M254+L254-N254</f>
        <v/>
      </c>
    </row>
    <row r="255">
      <c r="A255" s="2" t="inlineStr">
        <is>
          <t>A77575454</t>
        </is>
      </c>
      <c r="B255" s="4" t="n">
        <v>612.33</v>
      </c>
      <c r="C255" s="3" t="n">
        <v>46008</v>
      </c>
      <c r="D255" s="3" t="n">
        <v>46061</v>
      </c>
      <c r="E255" s="2" t="n">
        <v>74</v>
      </c>
      <c r="F255" s="2" t="n">
        <v>11.72</v>
      </c>
      <c r="G255" s="2" t="n">
        <v>0.84</v>
      </c>
      <c r="H255" s="4" t="n">
        <v>5.14</v>
      </c>
      <c r="I255" s="4" t="n">
        <v>14.75</v>
      </c>
      <c r="J255" s="2" t="n">
        <v>40</v>
      </c>
      <c r="K255" s="4" t="n">
        <v>2.25</v>
      </c>
      <c r="L255" s="4" t="n">
        <v>5.96</v>
      </c>
      <c r="M255" s="4">
        <f>B255*(G255/100)*(J255/100)</f>
        <v/>
      </c>
      <c r="N255" s="4">
        <f>B255*(F255/360/100)*E255*(J255/100)</f>
        <v/>
      </c>
      <c r="O255" s="4">
        <f>K255-M255+L255-N255</f>
        <v/>
      </c>
    </row>
    <row r="256">
      <c r="A256" s="2" t="inlineStr">
        <is>
          <t>A83994559</t>
        </is>
      </c>
      <c r="B256" s="4" t="n">
        <v>997.77</v>
      </c>
      <c r="C256" s="3" t="n">
        <v>45993</v>
      </c>
      <c r="D256" s="3" t="n">
        <v>46133</v>
      </c>
      <c r="E256" s="2" t="n">
        <v>24</v>
      </c>
      <c r="F256" s="2" t="n">
        <v>17.35</v>
      </c>
      <c r="G256" s="2" t="n">
        <v>2.19</v>
      </c>
      <c r="H256" s="4" t="n">
        <v>21.85</v>
      </c>
      <c r="I256" s="4" t="n">
        <v>11.54</v>
      </c>
      <c r="J256" s="2" t="n">
        <v>40</v>
      </c>
      <c r="K256" s="4" t="n">
        <v>8.98</v>
      </c>
      <c r="L256" s="4" t="n">
        <v>4.7</v>
      </c>
      <c r="M256" s="4">
        <f>B256*(G256/100)*(J256/100)</f>
        <v/>
      </c>
      <c r="N256" s="4">
        <f>B256*(F256/360/100)*E256*(J256/100)</f>
        <v/>
      </c>
      <c r="O256" s="4">
        <f>K256-M256+L256-N256</f>
        <v/>
      </c>
    </row>
    <row r="257">
      <c r="A257" s="2" t="inlineStr">
        <is>
          <t>A89559900</t>
        </is>
      </c>
      <c r="B257" s="4" t="n">
        <v>411.36</v>
      </c>
      <c r="C257" s="3" t="n">
        <v>45999</v>
      </c>
      <c r="D257" s="3" t="n">
        <v>46091</v>
      </c>
      <c r="E257" s="2" t="n">
        <v>53</v>
      </c>
      <c r="F257" s="2" t="n">
        <v>16.92</v>
      </c>
      <c r="G257" s="2" t="n">
        <v>2.27</v>
      </c>
      <c r="H257" s="4" t="n">
        <v>9.34</v>
      </c>
      <c r="I257" s="4" t="n">
        <v>10.25</v>
      </c>
      <c r="J257" s="2" t="n">
        <v>30</v>
      </c>
      <c r="K257" s="4" t="n">
        <v>2.82</v>
      </c>
      <c r="L257" s="4" t="n">
        <v>3.08</v>
      </c>
      <c r="M257" s="4">
        <f>B257*(G257/100)*(J257/100)</f>
        <v/>
      </c>
      <c r="N257" s="4">
        <f>B257*(F257/360/100)*E257*(J257/100)</f>
        <v/>
      </c>
      <c r="O257" s="4">
        <f>K257-M257+L257-N257</f>
        <v/>
      </c>
    </row>
    <row r="258">
      <c r="A258" s="2" t="inlineStr">
        <is>
          <t>B39178717</t>
        </is>
      </c>
      <c r="B258" s="4" t="n">
        <v>8939.49</v>
      </c>
      <c r="C258" s="3" t="n">
        <v>46017</v>
      </c>
      <c r="D258" s="3" t="n">
        <v>46057</v>
      </c>
      <c r="E258" s="2" t="n">
        <v>17</v>
      </c>
      <c r="F258" s="2" t="n">
        <v>45.15</v>
      </c>
      <c r="G258" s="2" t="n">
        <v>2.87</v>
      </c>
      <c r="H258" s="4" t="n">
        <v>256.56</v>
      </c>
      <c r="I258" s="4" t="n">
        <v>190.6</v>
      </c>
      <c r="J258" s="2" t="n">
        <v>60</v>
      </c>
      <c r="K258" s="4" t="n">
        <v>154.15</v>
      </c>
      <c r="L258" s="4" t="n">
        <v>114.62</v>
      </c>
      <c r="M258" s="4">
        <f>B258*(G258/100)*(J258/100)</f>
        <v/>
      </c>
      <c r="N258" s="4">
        <f>B258*(F258/360/100)*E258*(J258/100)</f>
        <v/>
      </c>
      <c r="O258" s="4">
        <f>K258-M258+L258-N258</f>
        <v/>
      </c>
    </row>
    <row r="259">
      <c r="A259" s="2" t="inlineStr">
        <is>
          <t>B81129641</t>
        </is>
      </c>
      <c r="B259" s="4" t="n">
        <v>796.26</v>
      </c>
      <c r="C259" s="3" t="n">
        <v>46004</v>
      </c>
      <c r="D259" s="3" t="n">
        <v>46100</v>
      </c>
      <c r="E259" s="2" t="n">
        <v>31</v>
      </c>
      <c r="F259" s="2" t="n">
        <v>27.65</v>
      </c>
      <c r="G259" s="2" t="n">
        <v>1.08</v>
      </c>
      <c r="H259" s="4" t="n">
        <v>8.6</v>
      </c>
      <c r="I259" s="4" t="n">
        <v>18.96</v>
      </c>
      <c r="J259" s="2" t="n">
        <v>50</v>
      </c>
      <c r="K259" s="4" t="n">
        <v>4.44</v>
      </c>
      <c r="L259" s="4" t="n">
        <v>9.25</v>
      </c>
      <c r="M259" s="4">
        <f>B259*(G259/100)*(J259/100)</f>
        <v/>
      </c>
      <c r="N259" s="4">
        <f>B259*(F259/360/100)*E259*(J259/100)</f>
        <v/>
      </c>
      <c r="O259" s="4">
        <f>K259-M259+L259-N259</f>
        <v/>
      </c>
    </row>
    <row r="260">
      <c r="A260" s="2" t="inlineStr">
        <is>
          <t>B64401496</t>
        </is>
      </c>
      <c r="B260" s="4" t="n">
        <v>348.92</v>
      </c>
      <c r="C260" s="3" t="n">
        <v>45996</v>
      </c>
      <c r="D260" s="3" t="n">
        <v>46059</v>
      </c>
      <c r="E260" s="2" t="n">
        <v>23</v>
      </c>
      <c r="F260" s="2" t="n">
        <v>48.39</v>
      </c>
      <c r="G260" s="2" t="n">
        <v>0.66</v>
      </c>
      <c r="H260" s="4" t="n">
        <v>2.3</v>
      </c>
      <c r="I260" s="4" t="n">
        <v>10.79</v>
      </c>
      <c r="J260" s="2" t="n">
        <v>70</v>
      </c>
      <c r="K260" s="4" t="n">
        <v>1.49</v>
      </c>
      <c r="L260" s="4" t="n">
        <v>7.65</v>
      </c>
      <c r="M260" s="4">
        <f>B260*(G260/100)*(J260/100)</f>
        <v/>
      </c>
      <c r="N260" s="4">
        <f>B260*(F260/360/100)*E260*(J260/100)</f>
        <v/>
      </c>
      <c r="O260" s="4">
        <f>K260-M260+L260-N260</f>
        <v/>
      </c>
    </row>
    <row r="261">
      <c r="A261" s="2" t="inlineStr">
        <is>
          <t>B05881384</t>
        </is>
      </c>
      <c r="B261" s="4" t="n">
        <v>989.4299999999999</v>
      </c>
      <c r="C261" s="3" t="n">
        <v>46003</v>
      </c>
      <c r="D261" s="3" t="n">
        <v>46100</v>
      </c>
      <c r="E261" s="2" t="n">
        <v>57</v>
      </c>
      <c r="F261" s="2" t="n">
        <v>39.36</v>
      </c>
      <c r="G261" s="2" t="n">
        <v>2.57</v>
      </c>
      <c r="H261" s="4" t="n">
        <v>25.43</v>
      </c>
      <c r="I261" s="4" t="n">
        <v>61.66</v>
      </c>
      <c r="J261" s="2" t="n">
        <v>40</v>
      </c>
      <c r="K261" s="4" t="n">
        <v>10.11</v>
      </c>
      <c r="L261" s="4" t="n">
        <v>24.51</v>
      </c>
      <c r="M261" s="4">
        <f>B261*(G261/100)*(J261/100)</f>
        <v/>
      </c>
      <c r="N261" s="4">
        <f>B261*(F261/360/100)*E261*(J261/100)</f>
        <v/>
      </c>
      <c r="O261" s="4">
        <f>K261-M261+L261-N261</f>
        <v/>
      </c>
    </row>
    <row r="262">
      <c r="A262" s="2" t="inlineStr">
        <is>
          <t>A71708856</t>
        </is>
      </c>
      <c r="B262" s="4" t="n">
        <v>951.5700000000001</v>
      </c>
      <c r="C262" s="3" t="n">
        <v>46016</v>
      </c>
      <c r="D262" s="3" t="n">
        <v>46140</v>
      </c>
      <c r="E262" s="2" t="n">
        <v>86</v>
      </c>
      <c r="F262" s="2" t="n">
        <v>20.06</v>
      </c>
      <c r="G262" s="2" t="n">
        <v>1.66</v>
      </c>
      <c r="H262" s="4" t="n">
        <v>15.8</v>
      </c>
      <c r="I262" s="4" t="n">
        <v>45.6</v>
      </c>
      <c r="J262" s="2" t="n">
        <v>60</v>
      </c>
      <c r="K262" s="4" t="n">
        <v>9.18</v>
      </c>
      <c r="L262" s="4" t="n">
        <v>27.11</v>
      </c>
      <c r="M262" s="4">
        <f>B262*(G262/100)*(J262/100)</f>
        <v/>
      </c>
      <c r="N262" s="4">
        <f>B262*(F262/360/100)*E262*(J262/100)</f>
        <v/>
      </c>
      <c r="O262" s="4">
        <f>K262-M262+L262-N262</f>
        <v/>
      </c>
    </row>
    <row r="263">
      <c r="A263" s="2" t="inlineStr">
        <is>
          <t>A58630456</t>
        </is>
      </c>
      <c r="B263" s="4" t="n">
        <v>4744.7</v>
      </c>
      <c r="C263" s="3" t="n">
        <v>46011</v>
      </c>
      <c r="D263" s="3" t="n">
        <v>46157</v>
      </c>
      <c r="E263" s="2" t="n">
        <v>47</v>
      </c>
      <c r="F263" s="2" t="n">
        <v>16.39</v>
      </c>
      <c r="G263" s="2" t="n">
        <v>1.03</v>
      </c>
      <c r="H263" s="4" t="n">
        <v>48.87</v>
      </c>
      <c r="I263" s="4" t="n">
        <v>101.53</v>
      </c>
      <c r="J263" s="2" t="n">
        <v>40</v>
      </c>
      <c r="K263" s="4" t="n">
        <v>19.52</v>
      </c>
      <c r="L263" s="4" t="n">
        <v>40.51</v>
      </c>
      <c r="M263" s="4">
        <f>B263*(G263/100)*(J263/100)</f>
        <v/>
      </c>
      <c r="N263" s="4">
        <f>B263*(F263/360/100)*E263*(J263/100)</f>
        <v/>
      </c>
      <c r="O263" s="4">
        <f>K263-M263+L263-N263</f>
        <v/>
      </c>
    </row>
    <row r="264">
      <c r="A264" s="2" t="inlineStr">
        <is>
          <t>A39063221</t>
        </is>
      </c>
      <c r="B264" s="4" t="n">
        <v>679.28</v>
      </c>
      <c r="C264" s="3" t="n">
        <v>46006</v>
      </c>
      <c r="D264" s="3" t="n">
        <v>46150</v>
      </c>
      <c r="E264" s="2" t="n">
        <v>80</v>
      </c>
      <c r="F264" s="2" t="n">
        <v>36.6</v>
      </c>
      <c r="G264" s="2" t="n">
        <v>0.55</v>
      </c>
      <c r="H264" s="4" t="n">
        <v>3.74</v>
      </c>
      <c r="I264" s="4" t="n">
        <v>55.25</v>
      </c>
      <c r="J264" s="2" t="n">
        <v>40</v>
      </c>
      <c r="K264" s="4" t="n">
        <v>1.6</v>
      </c>
      <c r="L264" s="4" t="n">
        <v>22.23</v>
      </c>
      <c r="M264" s="4">
        <f>B264*(G264/100)*(J264/100)</f>
        <v/>
      </c>
      <c r="N264" s="4">
        <f>B264*(F264/360/100)*E264*(J264/100)</f>
        <v/>
      </c>
      <c r="O264" s="4">
        <f>K264-M264+L264-N264</f>
        <v/>
      </c>
    </row>
    <row r="265">
      <c r="A265" s="2" t="inlineStr">
        <is>
          <t>A53714136</t>
        </is>
      </c>
      <c r="B265" s="4" t="n">
        <v>737.61</v>
      </c>
      <c r="C265" s="3" t="n">
        <v>46000</v>
      </c>
      <c r="D265" s="3" t="n">
        <v>46073</v>
      </c>
      <c r="E265" s="2" t="n">
        <v>41</v>
      </c>
      <c r="F265" s="2" t="n">
        <v>29.17</v>
      </c>
      <c r="G265" s="2" t="n">
        <v>2.47</v>
      </c>
      <c r="H265" s="4" t="n">
        <v>18.22</v>
      </c>
      <c r="I265" s="4" t="n">
        <v>24.5</v>
      </c>
      <c r="J265" s="2" t="n">
        <v>60</v>
      </c>
      <c r="K265" s="4" t="n">
        <v>10.65</v>
      </c>
      <c r="L265" s="4" t="n">
        <v>14.67</v>
      </c>
      <c r="M265" s="4">
        <f>B265*(G265/100)*(J265/100)</f>
        <v/>
      </c>
      <c r="N265" s="4">
        <f>B265*(F265/360/100)*E265*(J265/100)</f>
        <v/>
      </c>
      <c r="O265" s="4">
        <f>K265-M265+L265-N265</f>
        <v/>
      </c>
    </row>
    <row r="266">
      <c r="A266" s="2" t="inlineStr">
        <is>
          <t>B24639776</t>
        </is>
      </c>
      <c r="B266" s="4" t="n">
        <v>466.31</v>
      </c>
      <c r="C266" s="3" t="n">
        <v>46007</v>
      </c>
      <c r="D266" s="3" t="n">
        <v>46193</v>
      </c>
      <c r="E266" s="2" t="n">
        <v>47</v>
      </c>
      <c r="F266" s="2" t="n">
        <v>15.52</v>
      </c>
      <c r="G266" s="2" t="n">
        <v>0.93</v>
      </c>
      <c r="H266" s="4" t="n">
        <v>4.34</v>
      </c>
      <c r="I266" s="4" t="n">
        <v>9.449999999999999</v>
      </c>
      <c r="J266" s="2" t="n">
        <v>30</v>
      </c>
      <c r="K266" s="4" t="n">
        <v>1.47</v>
      </c>
      <c r="L266" s="4" t="n">
        <v>2.9</v>
      </c>
      <c r="M266" s="4">
        <f>B266*(G266/100)*(J266/100)</f>
        <v/>
      </c>
      <c r="N266" s="4">
        <f>B266*(F266/360/100)*E266*(J266/100)</f>
        <v/>
      </c>
      <c r="O266" s="4">
        <f>K266-M266+L266-N266</f>
        <v/>
      </c>
    </row>
    <row r="267">
      <c r="A267" s="2" t="inlineStr">
        <is>
          <t>B09286084</t>
        </is>
      </c>
      <c r="B267" s="4" t="n">
        <v>521.02</v>
      </c>
      <c r="C267" s="3" t="n">
        <v>46009</v>
      </c>
      <c r="D267" s="3" t="n">
        <v>46193</v>
      </c>
      <c r="E267" s="2" t="n">
        <v>80</v>
      </c>
      <c r="F267" s="2" t="n">
        <v>10.35</v>
      </c>
      <c r="G267" s="2" t="n">
        <v>0.63</v>
      </c>
      <c r="H267" s="4" t="n">
        <v>3.28</v>
      </c>
      <c r="I267" s="4" t="n">
        <v>11.98</v>
      </c>
      <c r="J267" s="2" t="n">
        <v>60</v>
      </c>
      <c r="K267" s="4" t="n">
        <v>2.18</v>
      </c>
      <c r="L267" s="4" t="n">
        <v>7.05</v>
      </c>
      <c r="M267" s="4">
        <f>B267*(G267/100)*(J267/100)</f>
        <v/>
      </c>
      <c r="N267" s="4">
        <f>B267*(F267/360/100)*E267*(J267/100)</f>
        <v/>
      </c>
      <c r="O267" s="4">
        <f>K267-M267+L267-N267</f>
        <v/>
      </c>
    </row>
    <row r="268">
      <c r="A268" s="2" t="inlineStr">
        <is>
          <t>B55804374</t>
        </is>
      </c>
      <c r="B268" s="4" t="n">
        <v>556.42</v>
      </c>
      <c r="C268" s="3" t="n">
        <v>46004</v>
      </c>
      <c r="D268" s="3" t="n">
        <v>46064</v>
      </c>
      <c r="E268" s="2" t="n">
        <v>66</v>
      </c>
      <c r="F268" s="2" t="n">
        <v>26.35</v>
      </c>
      <c r="G268" s="2" t="n">
        <v>2.54</v>
      </c>
      <c r="H268" s="4" t="n">
        <v>14.13</v>
      </c>
      <c r="I268" s="4" t="n">
        <v>26.88</v>
      </c>
      <c r="J268" s="2" t="n">
        <v>30</v>
      </c>
      <c r="K268" s="4" t="n">
        <v>4.29</v>
      </c>
      <c r="L268" s="4" t="n">
        <v>8.140000000000001</v>
      </c>
      <c r="M268" s="4">
        <f>B268*(G268/100)*(J268/100)</f>
        <v/>
      </c>
      <c r="N268" s="4">
        <f>B268*(F268/360/100)*E268*(J268/100)</f>
        <v/>
      </c>
      <c r="O268" s="4">
        <f>K268-M268+L268-N268</f>
        <v/>
      </c>
    </row>
    <row r="269">
      <c r="A269" s="2" t="inlineStr">
        <is>
          <t>B42360172</t>
        </is>
      </c>
      <c r="B269" s="4" t="n">
        <v>542.3</v>
      </c>
      <c r="C269" s="3" t="n">
        <v>45995</v>
      </c>
      <c r="D269" s="3" t="n">
        <v>46068</v>
      </c>
      <c r="E269" s="2" t="n">
        <v>87</v>
      </c>
      <c r="F269" s="2" t="n">
        <v>10.57</v>
      </c>
      <c r="G269" s="2" t="n">
        <v>0.71</v>
      </c>
      <c r="H269" s="4" t="n">
        <v>3.85</v>
      </c>
      <c r="I269" s="4" t="n">
        <v>13.85</v>
      </c>
      <c r="J269" s="2" t="n">
        <v>60</v>
      </c>
      <c r="K269" s="4" t="n">
        <v>2.37</v>
      </c>
      <c r="L269" s="4" t="n">
        <v>8.550000000000001</v>
      </c>
      <c r="M269" s="4">
        <f>B269*(G269/100)*(J269/100)</f>
        <v/>
      </c>
      <c r="N269" s="4">
        <f>B269*(F269/360/100)*E269*(J269/100)</f>
        <v/>
      </c>
      <c r="O269" s="4">
        <f>K269-M269+L269-N269</f>
        <v/>
      </c>
    </row>
    <row r="270">
      <c r="A270" s="2" t="inlineStr">
        <is>
          <t>A66238414</t>
        </is>
      </c>
      <c r="B270" s="4" t="n">
        <v>476.17</v>
      </c>
      <c r="C270" s="3" t="n">
        <v>46010</v>
      </c>
      <c r="D270" s="3" t="n">
        <v>46058</v>
      </c>
      <c r="E270" s="2" t="n">
        <v>69</v>
      </c>
      <c r="F270" s="2" t="n">
        <v>45.26</v>
      </c>
      <c r="G270" s="2" t="n">
        <v>1.6</v>
      </c>
      <c r="H270" s="4" t="n">
        <v>7.62</v>
      </c>
      <c r="I270" s="4" t="n">
        <v>41.31</v>
      </c>
      <c r="J270" s="2" t="n">
        <v>30</v>
      </c>
      <c r="K270" s="4" t="n">
        <v>2.46</v>
      </c>
      <c r="L270" s="4" t="n">
        <v>12.32</v>
      </c>
      <c r="M270" s="4">
        <f>B270*(G270/100)*(J270/100)</f>
        <v/>
      </c>
      <c r="N270" s="4">
        <f>B270*(F270/360/100)*E270*(J270/100)</f>
        <v/>
      </c>
      <c r="O270" s="4">
        <f>K270-M270+L270-N270</f>
        <v/>
      </c>
    </row>
    <row r="271">
      <c r="A271" s="2" t="inlineStr">
        <is>
          <t>B86871338</t>
        </is>
      </c>
      <c r="B271" s="4" t="n">
        <v>222.58</v>
      </c>
      <c r="C271" s="3" t="n">
        <v>46012</v>
      </c>
      <c r="D271" s="3" t="n">
        <v>46089</v>
      </c>
      <c r="E271" s="2" t="n">
        <v>50</v>
      </c>
      <c r="F271" s="2" t="n">
        <v>49.04</v>
      </c>
      <c r="G271" s="2" t="n">
        <v>0.7</v>
      </c>
      <c r="H271" s="4" t="n">
        <v>1.56</v>
      </c>
      <c r="I271" s="4" t="n">
        <v>15.16</v>
      </c>
      <c r="J271" s="2" t="n">
        <v>60</v>
      </c>
      <c r="K271" s="4" t="n">
        <v>0.87</v>
      </c>
      <c r="L271" s="4" t="n">
        <v>9.24</v>
      </c>
      <c r="M271" s="4">
        <f>B271*(G271/100)*(J271/100)</f>
        <v/>
      </c>
      <c r="N271" s="4">
        <f>B271*(F271/360/100)*E271*(J271/100)</f>
        <v/>
      </c>
      <c r="O271" s="4">
        <f>K271-M271+L271-N271</f>
        <v/>
      </c>
    </row>
    <row r="272">
      <c r="A272" s="2" t="inlineStr">
        <is>
          <t>B03779904</t>
        </is>
      </c>
      <c r="B272" s="4" t="n">
        <v>9388.969999999999</v>
      </c>
      <c r="C272" s="3" t="n">
        <v>46013</v>
      </c>
      <c r="D272" s="3" t="n">
        <v>46066</v>
      </c>
      <c r="E272" s="2" t="n">
        <v>79</v>
      </c>
      <c r="F272" s="2" t="n">
        <v>12.72</v>
      </c>
      <c r="G272" s="2" t="n">
        <v>1.21</v>
      </c>
      <c r="H272" s="4" t="n">
        <v>113.61</v>
      </c>
      <c r="I272" s="4" t="n">
        <v>262.08</v>
      </c>
      <c r="J272" s="2" t="n">
        <v>20</v>
      </c>
      <c r="K272" s="4" t="n">
        <v>22.94</v>
      </c>
      <c r="L272" s="4" t="n">
        <v>52.39</v>
      </c>
      <c r="M272" s="4">
        <f>B272*(G272/100)*(J272/100)</f>
        <v/>
      </c>
      <c r="N272" s="4">
        <f>B272*(F272/360/100)*E272*(J272/100)</f>
        <v/>
      </c>
      <c r="O272" s="4">
        <f>K272-M272+L272-N272</f>
        <v/>
      </c>
    </row>
    <row r="273">
      <c r="A273" s="2" t="inlineStr">
        <is>
          <t>A40186320</t>
        </is>
      </c>
      <c r="B273" s="4" t="n">
        <v>8012.49</v>
      </c>
      <c r="C273" s="3" t="n">
        <v>45997</v>
      </c>
      <c r="D273" s="3" t="n">
        <v>46086</v>
      </c>
      <c r="E273" s="2" t="n">
        <v>22</v>
      </c>
      <c r="F273" s="2" t="n">
        <v>42.56</v>
      </c>
      <c r="G273" s="2" t="n">
        <v>1.17</v>
      </c>
      <c r="H273" s="4" t="n">
        <v>93.75</v>
      </c>
      <c r="I273" s="4" t="n">
        <v>208.4</v>
      </c>
      <c r="J273" s="2" t="n">
        <v>20</v>
      </c>
      <c r="K273" s="4" t="n">
        <v>18.53</v>
      </c>
      <c r="L273" s="4" t="n">
        <v>41.79</v>
      </c>
      <c r="M273" s="4">
        <f>B273*(G273/100)*(J273/100)</f>
        <v/>
      </c>
      <c r="N273" s="4">
        <f>B273*(F273/360/100)*E273*(J273/100)</f>
        <v/>
      </c>
      <c r="O273" s="4">
        <f>K273-M273+L273-N273</f>
        <v/>
      </c>
    </row>
    <row r="274">
      <c r="A274" s="2" t="inlineStr">
        <is>
          <t>A08053188</t>
        </is>
      </c>
      <c r="B274" s="4" t="n">
        <v>207.78</v>
      </c>
      <c r="C274" s="3" t="n">
        <v>46004</v>
      </c>
      <c r="D274" s="3" t="n">
        <v>46042</v>
      </c>
      <c r="E274" s="2" t="n">
        <v>85</v>
      </c>
      <c r="F274" s="2" t="n">
        <v>39.35</v>
      </c>
      <c r="G274" s="2" t="n">
        <v>2.92</v>
      </c>
      <c r="H274" s="4" t="n">
        <v>6.07</v>
      </c>
      <c r="I274" s="4" t="n">
        <v>19.3</v>
      </c>
      <c r="J274" s="2" t="n">
        <v>60</v>
      </c>
      <c r="K274" s="4" t="n">
        <v>3.84</v>
      </c>
      <c r="L274" s="4" t="n">
        <v>11.72</v>
      </c>
      <c r="M274" s="4">
        <f>B274*(G274/100)*(J274/100)</f>
        <v/>
      </c>
      <c r="N274" s="4">
        <f>B274*(F274/360/100)*E274*(J274/100)</f>
        <v/>
      </c>
      <c r="O274" s="4">
        <f>K274-M274+L274-N274</f>
        <v/>
      </c>
    </row>
    <row r="275">
      <c r="A275" s="2" t="inlineStr">
        <is>
          <t>A21855870</t>
        </is>
      </c>
      <c r="B275" s="4" t="n">
        <v>376.09</v>
      </c>
      <c r="C275" s="3" t="n">
        <v>45995</v>
      </c>
      <c r="D275" s="3" t="n">
        <v>46149</v>
      </c>
      <c r="E275" s="2" t="n">
        <v>39</v>
      </c>
      <c r="F275" s="2" t="n">
        <v>33.4</v>
      </c>
      <c r="G275" s="2" t="n">
        <v>1.28</v>
      </c>
      <c r="H275" s="4" t="n">
        <v>4.81</v>
      </c>
      <c r="I275" s="4" t="n">
        <v>13.61</v>
      </c>
      <c r="J275" s="2" t="n">
        <v>50</v>
      </c>
      <c r="K275" s="4" t="n">
        <v>2.34</v>
      </c>
      <c r="L275" s="4" t="n">
        <v>6.56</v>
      </c>
      <c r="M275" s="4">
        <f>B275*(G275/100)*(J275/100)</f>
        <v/>
      </c>
      <c r="N275" s="4">
        <f>B275*(F275/360/100)*E275*(J275/100)</f>
        <v/>
      </c>
      <c r="O275" s="4">
        <f>K275-M275+L275-N275</f>
        <v/>
      </c>
    </row>
    <row r="276">
      <c r="A276" s="2" t="inlineStr">
        <is>
          <t>A53525598</t>
        </is>
      </c>
      <c r="B276" s="4" t="n">
        <v>889.13</v>
      </c>
      <c r="C276" s="3" t="n">
        <v>46015</v>
      </c>
      <c r="D276" s="3" t="n">
        <v>46031</v>
      </c>
      <c r="E276" s="2" t="n">
        <v>71</v>
      </c>
      <c r="F276" s="2" t="n">
        <v>16.05</v>
      </c>
      <c r="G276" s="2" t="n">
        <v>0.6</v>
      </c>
      <c r="H276" s="4" t="n">
        <v>5.33</v>
      </c>
      <c r="I276" s="4" t="n">
        <v>28.14</v>
      </c>
      <c r="J276" s="2" t="n">
        <v>70</v>
      </c>
      <c r="K276" s="4" t="n">
        <v>3.5</v>
      </c>
      <c r="L276" s="4" t="n">
        <v>19.85</v>
      </c>
      <c r="M276" s="4">
        <f>B276*(G276/100)*(J276/100)</f>
        <v/>
      </c>
      <c r="N276" s="4">
        <f>B276*(F276/360/100)*E276*(J276/100)</f>
        <v/>
      </c>
      <c r="O276" s="4">
        <f>K276-M276+L276-N276</f>
        <v/>
      </c>
    </row>
    <row r="277">
      <c r="A277" s="2" t="inlineStr">
        <is>
          <t>A51401594</t>
        </is>
      </c>
      <c r="B277" s="4" t="n">
        <v>7032.55</v>
      </c>
      <c r="C277" s="3" t="n">
        <v>46016</v>
      </c>
      <c r="D277" s="3" t="n">
        <v>46187</v>
      </c>
      <c r="E277" s="2" t="n">
        <v>53</v>
      </c>
      <c r="F277" s="2" t="n">
        <v>45.71</v>
      </c>
      <c r="G277" s="2" t="n">
        <v>1.37</v>
      </c>
      <c r="H277" s="4" t="n">
        <v>96.34999999999999</v>
      </c>
      <c r="I277" s="4" t="n">
        <v>473.26</v>
      </c>
      <c r="J277" s="2" t="n">
        <v>30</v>
      </c>
      <c r="K277" s="4" t="n">
        <v>28.69</v>
      </c>
      <c r="L277" s="4" t="n">
        <v>142.1</v>
      </c>
      <c r="M277" s="4">
        <f>B277*(G277/100)*(J277/100)</f>
        <v/>
      </c>
      <c r="N277" s="4">
        <f>B277*(F277/360/100)*E277*(J277/100)</f>
        <v/>
      </c>
      <c r="O277" s="4">
        <f>K277-M277+L277-N277</f>
        <v/>
      </c>
    </row>
    <row r="278">
      <c r="A278" s="2" t="inlineStr">
        <is>
          <t>A11532729</t>
        </is>
      </c>
      <c r="B278" s="4" t="n">
        <v>161.95</v>
      </c>
      <c r="C278" s="3" t="n">
        <v>45992</v>
      </c>
      <c r="D278" s="3" t="n">
        <v>46197</v>
      </c>
      <c r="E278" s="2" t="n">
        <v>32</v>
      </c>
      <c r="F278" s="2" t="n">
        <v>12.64</v>
      </c>
      <c r="G278" s="2" t="n">
        <v>0.92</v>
      </c>
      <c r="H278" s="4" t="n">
        <v>1.49</v>
      </c>
      <c r="I278" s="4" t="n">
        <v>1.82</v>
      </c>
      <c r="J278" s="2" t="n">
        <v>60</v>
      </c>
      <c r="K278" s="4" t="n">
        <v>0.75</v>
      </c>
      <c r="L278" s="4" t="n">
        <v>1.28</v>
      </c>
      <c r="M278" s="4">
        <f>B278*(G278/100)*(J278/100)</f>
        <v/>
      </c>
      <c r="N278" s="4">
        <f>B278*(F278/360/100)*E278*(J278/100)</f>
        <v/>
      </c>
      <c r="O278" s="4">
        <f>K278-M278+L278-N278</f>
        <v/>
      </c>
    </row>
    <row r="279">
      <c r="A279" s="2" t="inlineStr">
        <is>
          <t>A81893948</t>
        </is>
      </c>
      <c r="B279" s="4" t="n">
        <v>793.9400000000001</v>
      </c>
      <c r="C279" s="3" t="n">
        <v>45993</v>
      </c>
      <c r="D279" s="3" t="n">
        <v>46177</v>
      </c>
      <c r="E279" s="2" t="n">
        <v>62</v>
      </c>
      <c r="F279" s="2" t="n">
        <v>12.29</v>
      </c>
      <c r="G279" s="2" t="n">
        <v>2.99</v>
      </c>
      <c r="H279" s="4" t="n">
        <v>23.74</v>
      </c>
      <c r="I279" s="4" t="n">
        <v>16.8</v>
      </c>
      <c r="J279" s="2" t="n">
        <v>20</v>
      </c>
      <c r="K279" s="4" t="n">
        <v>4.81</v>
      </c>
      <c r="L279" s="4" t="n">
        <v>3.51</v>
      </c>
      <c r="M279" s="4">
        <f>B279*(G279/100)*(J279/100)</f>
        <v/>
      </c>
      <c r="N279" s="4">
        <f>B279*(F279/360/100)*E279*(J279/100)</f>
        <v/>
      </c>
      <c r="O279" s="4">
        <f>K279-M279+L279-N279</f>
        <v/>
      </c>
    </row>
    <row r="280">
      <c r="A280" s="2" t="inlineStr">
        <is>
          <t>A58589660</t>
        </is>
      </c>
      <c r="B280" s="4" t="n">
        <v>6756.08</v>
      </c>
      <c r="C280" s="3" t="n">
        <v>46009</v>
      </c>
      <c r="D280" s="3" t="n">
        <v>46042</v>
      </c>
      <c r="E280" s="2" t="n">
        <v>45</v>
      </c>
      <c r="F280" s="2" t="n">
        <v>44.28</v>
      </c>
      <c r="G280" s="2" t="n">
        <v>0.7</v>
      </c>
      <c r="H280" s="4" t="n">
        <v>47.29</v>
      </c>
      <c r="I280" s="4" t="n">
        <v>373.95</v>
      </c>
      <c r="J280" s="2" t="n">
        <v>20</v>
      </c>
      <c r="K280" s="4" t="n">
        <v>9.17</v>
      </c>
      <c r="L280" s="4" t="n">
        <v>74.91</v>
      </c>
      <c r="M280" s="4">
        <f>B280*(G280/100)*(J280/100)</f>
        <v/>
      </c>
      <c r="N280" s="4">
        <f>B280*(F280/360/100)*E280*(J280/100)</f>
        <v/>
      </c>
      <c r="O280" s="4">
        <f>K280-M280+L280-N280</f>
        <v/>
      </c>
    </row>
    <row r="281">
      <c r="A281" s="2" t="inlineStr">
        <is>
          <t>A77557910</t>
        </is>
      </c>
      <c r="B281" s="4" t="n">
        <v>253.36</v>
      </c>
      <c r="C281" s="3" t="n">
        <v>45996</v>
      </c>
      <c r="D281" s="3" t="n">
        <v>46145</v>
      </c>
      <c r="E281" s="2" t="n">
        <v>22</v>
      </c>
      <c r="F281" s="2" t="n">
        <v>41.3</v>
      </c>
      <c r="G281" s="2" t="n">
        <v>2.88</v>
      </c>
      <c r="H281" s="4" t="n">
        <v>7.3</v>
      </c>
      <c r="I281" s="4" t="n">
        <v>6.39</v>
      </c>
      <c r="J281" s="2" t="n">
        <v>20</v>
      </c>
      <c r="K281" s="4" t="n">
        <v>1.6</v>
      </c>
      <c r="L281" s="4" t="n">
        <v>1.52</v>
      </c>
      <c r="M281" s="4">
        <f>B281*(G281/100)*(J281/100)</f>
        <v/>
      </c>
      <c r="N281" s="4">
        <f>B281*(F281/360/100)*E281*(J281/100)</f>
        <v/>
      </c>
      <c r="O281" s="4">
        <f>K281-M281+L281-N281</f>
        <v/>
      </c>
    </row>
    <row r="282">
      <c r="A282" s="2" t="inlineStr">
        <is>
          <t>A15943154</t>
        </is>
      </c>
      <c r="B282" s="4" t="n">
        <v>8062.74</v>
      </c>
      <c r="C282" s="3" t="n">
        <v>46008</v>
      </c>
      <c r="D282" s="3" t="n">
        <v>46158</v>
      </c>
      <c r="E282" s="2" t="n">
        <v>37</v>
      </c>
      <c r="F282" s="2" t="n">
        <v>15.36</v>
      </c>
      <c r="G282" s="2" t="n">
        <v>2.26</v>
      </c>
      <c r="H282" s="4" t="n">
        <v>182.22</v>
      </c>
      <c r="I282" s="4" t="n">
        <v>127.28</v>
      </c>
      <c r="J282" s="2" t="n">
        <v>20</v>
      </c>
      <c r="K282" s="4" t="n">
        <v>36.7</v>
      </c>
      <c r="L282" s="4" t="n">
        <v>25.55</v>
      </c>
      <c r="M282" s="4">
        <f>B282*(G282/100)*(J282/100)</f>
        <v/>
      </c>
      <c r="N282" s="4">
        <f>B282*(F282/360/100)*E282*(J282/100)</f>
        <v/>
      </c>
      <c r="O282" s="4">
        <f>K282-M282+L282-N282</f>
        <v/>
      </c>
    </row>
    <row r="283">
      <c r="A283" s="2" t="inlineStr">
        <is>
          <t>A22700331</t>
        </is>
      </c>
      <c r="B283" s="4" t="n">
        <v>978.47</v>
      </c>
      <c r="C283" s="3" t="n">
        <v>46006</v>
      </c>
      <c r="D283" s="3" t="n">
        <v>46189</v>
      </c>
      <c r="E283" s="2" t="n">
        <v>47</v>
      </c>
      <c r="F283" s="2" t="n">
        <v>36.43</v>
      </c>
      <c r="G283" s="2" t="n">
        <v>1.5</v>
      </c>
      <c r="H283" s="4" t="n">
        <v>14.68</v>
      </c>
      <c r="I283" s="4" t="n">
        <v>46.54</v>
      </c>
      <c r="J283" s="2" t="n">
        <v>50</v>
      </c>
      <c r="K283" s="4" t="n">
        <v>7.18</v>
      </c>
      <c r="L283" s="4" t="n">
        <v>23.57</v>
      </c>
      <c r="M283" s="4">
        <f>B283*(G283/100)*(J283/100)</f>
        <v/>
      </c>
      <c r="N283" s="4">
        <f>B283*(F283/360/100)*E283*(J283/100)</f>
        <v/>
      </c>
      <c r="O283" s="4">
        <f>K283-M283+L283-N283</f>
        <v/>
      </c>
    </row>
    <row r="284">
      <c r="A284" s="2" t="inlineStr">
        <is>
          <t>A92089211</t>
        </is>
      </c>
      <c r="B284" s="4" t="n">
        <v>578.78</v>
      </c>
      <c r="C284" s="3" t="n">
        <v>46007</v>
      </c>
      <c r="D284" s="3" t="n">
        <v>46130</v>
      </c>
      <c r="E284" s="2" t="n">
        <v>66</v>
      </c>
      <c r="F284" s="2" t="n">
        <v>13</v>
      </c>
      <c r="G284" s="2" t="n">
        <v>1.74</v>
      </c>
      <c r="H284" s="4" t="n">
        <v>10.07</v>
      </c>
      <c r="I284" s="4" t="n">
        <v>13.79</v>
      </c>
      <c r="J284" s="2" t="n">
        <v>70</v>
      </c>
      <c r="K284" s="4" t="n">
        <v>7.26</v>
      </c>
      <c r="L284" s="4" t="n">
        <v>9.789999999999999</v>
      </c>
      <c r="M284" s="4">
        <f>B284*(G284/100)*(J284/100)</f>
        <v/>
      </c>
      <c r="N284" s="4">
        <f>B284*(F284/360/100)*E284*(J284/100)</f>
        <v/>
      </c>
      <c r="O284" s="4">
        <f>K284-M284+L284-N284</f>
        <v/>
      </c>
    </row>
    <row r="285">
      <c r="A285" s="2" t="inlineStr">
        <is>
          <t>A99313980</t>
        </is>
      </c>
      <c r="B285" s="4" t="n">
        <v>446.72</v>
      </c>
      <c r="C285" s="3" t="n">
        <v>46000</v>
      </c>
      <c r="D285" s="3" t="n">
        <v>46107</v>
      </c>
      <c r="E285" s="2" t="n">
        <v>37</v>
      </c>
      <c r="F285" s="2" t="n">
        <v>31.46</v>
      </c>
      <c r="G285" s="2" t="n">
        <v>0.9</v>
      </c>
      <c r="H285" s="4" t="n">
        <v>4.02</v>
      </c>
      <c r="I285" s="4" t="n">
        <v>14.44</v>
      </c>
      <c r="J285" s="2" t="n">
        <v>40</v>
      </c>
      <c r="K285" s="4" t="n">
        <v>1.77</v>
      </c>
      <c r="L285" s="4" t="n">
        <v>5.6</v>
      </c>
      <c r="M285" s="4">
        <f>B285*(G285/100)*(J285/100)</f>
        <v/>
      </c>
      <c r="N285" s="4">
        <f>B285*(F285/360/100)*E285*(J285/100)</f>
        <v/>
      </c>
      <c r="O285" s="4">
        <f>K285-M285+L285-N285</f>
        <v/>
      </c>
    </row>
    <row r="286">
      <c r="A286" s="2" t="inlineStr">
        <is>
          <t>B73164069</t>
        </is>
      </c>
      <c r="B286" s="4" t="n">
        <v>716.79</v>
      </c>
      <c r="C286" s="3" t="n">
        <v>46001</v>
      </c>
      <c r="D286" s="3" t="n">
        <v>46127</v>
      </c>
      <c r="E286" s="2" t="n">
        <v>74</v>
      </c>
      <c r="F286" s="2" t="n">
        <v>12.45</v>
      </c>
      <c r="G286" s="2" t="n">
        <v>1.68</v>
      </c>
      <c r="H286" s="4" t="n">
        <v>12.04</v>
      </c>
      <c r="I286" s="4" t="n">
        <v>18.34</v>
      </c>
      <c r="J286" s="2" t="n">
        <v>40</v>
      </c>
      <c r="K286" s="4" t="n">
        <v>5.12</v>
      </c>
      <c r="L286" s="4" t="n">
        <v>7.51</v>
      </c>
      <c r="M286" s="4">
        <f>B286*(G286/100)*(J286/100)</f>
        <v/>
      </c>
      <c r="N286" s="4">
        <f>B286*(F286/360/100)*E286*(J286/100)</f>
        <v/>
      </c>
      <c r="O286" s="4">
        <f>K286-M286+L286-N286</f>
        <v/>
      </c>
    </row>
    <row r="287">
      <c r="A287" s="2" t="inlineStr">
        <is>
          <t>A89697470</t>
        </is>
      </c>
      <c r="B287" s="4" t="n">
        <v>590.41</v>
      </c>
      <c r="C287" s="3" t="n">
        <v>46002</v>
      </c>
      <c r="D287" s="3" t="n">
        <v>46026</v>
      </c>
      <c r="E287" s="2" t="n">
        <v>52</v>
      </c>
      <c r="F287" s="2" t="n">
        <v>38.67</v>
      </c>
      <c r="G287" s="2" t="n">
        <v>1.42</v>
      </c>
      <c r="H287" s="4" t="n">
        <v>8.380000000000001</v>
      </c>
      <c r="I287" s="4" t="n">
        <v>32.98</v>
      </c>
      <c r="J287" s="2" t="n">
        <v>60</v>
      </c>
      <c r="K287" s="4" t="n">
        <v>5.18</v>
      </c>
      <c r="L287" s="4" t="n">
        <v>19.54</v>
      </c>
      <c r="M287" s="4">
        <f>B287*(G287/100)*(J287/100)</f>
        <v/>
      </c>
      <c r="N287" s="4">
        <f>B287*(F287/360/100)*E287*(J287/100)</f>
        <v/>
      </c>
      <c r="O287" s="4">
        <f>K287-M287+L287-N287</f>
        <v/>
      </c>
    </row>
    <row r="288">
      <c r="A288" s="2" t="inlineStr">
        <is>
          <t>B37044744</t>
        </is>
      </c>
      <c r="B288" s="4" t="n">
        <v>818.46</v>
      </c>
      <c r="C288" s="3" t="n">
        <v>46000</v>
      </c>
      <c r="D288" s="3" t="n">
        <v>46023</v>
      </c>
      <c r="E288" s="2" t="n">
        <v>74</v>
      </c>
      <c r="F288" s="2" t="n">
        <v>18.4</v>
      </c>
      <c r="G288" s="2" t="n">
        <v>0.9</v>
      </c>
      <c r="H288" s="4" t="n">
        <v>7.37</v>
      </c>
      <c r="I288" s="4" t="n">
        <v>30.96</v>
      </c>
      <c r="J288" s="2" t="n">
        <v>50</v>
      </c>
      <c r="K288" s="4" t="n">
        <v>3.76</v>
      </c>
      <c r="L288" s="4" t="n">
        <v>15.66</v>
      </c>
      <c r="M288" s="4">
        <f>B288*(G288/100)*(J288/100)</f>
        <v/>
      </c>
      <c r="N288" s="4">
        <f>B288*(F288/360/100)*E288*(J288/100)</f>
        <v/>
      </c>
      <c r="O288" s="4">
        <f>K288-M288+L288-N288</f>
        <v/>
      </c>
    </row>
    <row r="289">
      <c r="A289" s="2" t="inlineStr">
        <is>
          <t>B10393105</t>
        </is>
      </c>
      <c r="B289" s="4" t="n">
        <v>1376.25</v>
      </c>
      <c r="C289" s="3" t="n">
        <v>45994</v>
      </c>
      <c r="D289" s="3" t="n">
        <v>46054</v>
      </c>
      <c r="E289" s="2" t="n">
        <v>12</v>
      </c>
      <c r="F289" s="2" t="n">
        <v>48.57</v>
      </c>
      <c r="G289" s="2" t="n">
        <v>1.02</v>
      </c>
      <c r="H289" s="4" t="n">
        <v>14.04</v>
      </c>
      <c r="I289" s="4" t="n">
        <v>22.28</v>
      </c>
      <c r="J289" s="2" t="n">
        <v>40</v>
      </c>
      <c r="K289" s="4" t="n">
        <v>5.67</v>
      </c>
      <c r="L289" s="4" t="n">
        <v>8.630000000000001</v>
      </c>
      <c r="M289" s="4">
        <f>B289*(G289/100)*(J289/100)</f>
        <v/>
      </c>
      <c r="N289" s="4">
        <f>B289*(F289/360/100)*E289*(J289/100)</f>
        <v/>
      </c>
      <c r="O289" s="4">
        <f>K289-M289+L289-N289</f>
        <v/>
      </c>
    </row>
    <row r="290">
      <c r="A290" s="2" t="inlineStr">
        <is>
          <t>A61568053</t>
        </is>
      </c>
      <c r="B290" s="4" t="n">
        <v>226.51</v>
      </c>
      <c r="C290" s="3" t="n">
        <v>46001</v>
      </c>
      <c r="D290" s="3" t="n">
        <v>46122</v>
      </c>
      <c r="E290" s="2" t="n">
        <v>83</v>
      </c>
      <c r="F290" s="2" t="n">
        <v>33.51</v>
      </c>
      <c r="G290" s="2" t="n">
        <v>1.01</v>
      </c>
      <c r="H290" s="4" t="n">
        <v>2.29</v>
      </c>
      <c r="I290" s="4" t="n">
        <v>17.5</v>
      </c>
      <c r="J290" s="2" t="n">
        <v>20</v>
      </c>
      <c r="K290" s="4" t="n">
        <v>0.21</v>
      </c>
      <c r="L290" s="4" t="n">
        <v>3.48</v>
      </c>
      <c r="M290" s="4">
        <f>B290*(G290/100)*(J290/100)</f>
        <v/>
      </c>
      <c r="N290" s="4">
        <f>B290*(F290/360/100)*E290*(J290/100)</f>
        <v/>
      </c>
      <c r="O290" s="4">
        <f>K290-M290+L290-N290</f>
        <v/>
      </c>
    </row>
    <row r="291">
      <c r="A291" s="2" t="inlineStr">
        <is>
          <t>A11123351</t>
        </is>
      </c>
      <c r="B291" s="4" t="n">
        <v>803.46</v>
      </c>
      <c r="C291" s="3" t="n">
        <v>45998</v>
      </c>
      <c r="D291" s="3" t="n">
        <v>46044</v>
      </c>
      <c r="E291" s="2" t="n">
        <v>73</v>
      </c>
      <c r="F291" s="2" t="n">
        <v>10.81</v>
      </c>
      <c r="G291" s="2" t="n">
        <v>2.35</v>
      </c>
      <c r="H291" s="4" t="n">
        <v>18.88</v>
      </c>
      <c r="I291" s="4" t="n">
        <v>17.61</v>
      </c>
      <c r="J291" s="2" t="n">
        <v>30</v>
      </c>
      <c r="K291" s="4" t="n">
        <v>5.38</v>
      </c>
      <c r="L291" s="4" t="n">
        <v>5.08</v>
      </c>
      <c r="M291" s="4">
        <f>B291*(G291/100)*(J291/100)</f>
        <v/>
      </c>
      <c r="N291" s="4">
        <f>B291*(F291/360/100)*E291*(J291/100)</f>
        <v/>
      </c>
      <c r="O291" s="4">
        <f>K291-M291+L291-N291</f>
        <v/>
      </c>
    </row>
    <row r="292">
      <c r="A292" s="2" t="inlineStr">
        <is>
          <t>A94521830</t>
        </is>
      </c>
      <c r="B292" s="4" t="n">
        <v>718.77</v>
      </c>
      <c r="C292" s="3" t="n">
        <v>45997</v>
      </c>
      <c r="D292" s="3" t="n">
        <v>46050</v>
      </c>
      <c r="E292" s="2" t="n">
        <v>74</v>
      </c>
      <c r="F292" s="2" t="n">
        <v>17.12</v>
      </c>
      <c r="G292" s="2" t="n">
        <v>0.86</v>
      </c>
      <c r="H292" s="4" t="n">
        <v>6.18</v>
      </c>
      <c r="I292" s="4" t="n">
        <v>25.29</v>
      </c>
      <c r="J292" s="2" t="n">
        <v>30</v>
      </c>
      <c r="K292" s="4" t="n">
        <v>1.81</v>
      </c>
      <c r="L292" s="4" t="n">
        <v>7.71</v>
      </c>
      <c r="M292" s="4">
        <f>B292*(G292/100)*(J292/100)</f>
        <v/>
      </c>
      <c r="N292" s="4">
        <f>B292*(F292/360/100)*E292*(J292/100)</f>
        <v/>
      </c>
      <c r="O292" s="4">
        <f>K292-M292+L292-N292</f>
        <v/>
      </c>
    </row>
    <row r="293">
      <c r="A293" s="2" t="inlineStr">
        <is>
          <t>B18749690</t>
        </is>
      </c>
      <c r="B293" s="4" t="n">
        <v>142.48</v>
      </c>
      <c r="C293" s="3" t="n">
        <v>46009</v>
      </c>
      <c r="D293" s="3" t="n">
        <v>46201</v>
      </c>
      <c r="E293" s="2" t="n">
        <v>59</v>
      </c>
      <c r="F293" s="2" t="n">
        <v>46.25</v>
      </c>
      <c r="G293" s="2" t="n">
        <v>1.27</v>
      </c>
      <c r="H293" s="4" t="n">
        <v>1.81</v>
      </c>
      <c r="I293" s="4" t="n">
        <v>10.8</v>
      </c>
      <c r="J293" s="2" t="n">
        <v>40</v>
      </c>
      <c r="K293" s="4" t="n">
        <v>0.98</v>
      </c>
      <c r="L293" s="4" t="n">
        <v>4.08</v>
      </c>
      <c r="M293" s="4">
        <f>B293*(G293/100)*(J293/100)</f>
        <v/>
      </c>
      <c r="N293" s="4">
        <f>B293*(F293/360/100)*E293*(J293/100)</f>
        <v/>
      </c>
      <c r="O293" s="4">
        <f>K293-M293+L293-N293</f>
        <v/>
      </c>
    </row>
    <row r="294">
      <c r="A294" s="2" t="inlineStr">
        <is>
          <t>B86895555</t>
        </is>
      </c>
      <c r="B294" s="4" t="n">
        <v>155.8</v>
      </c>
      <c r="C294" s="3" t="n">
        <v>46006</v>
      </c>
      <c r="D294" s="3" t="n">
        <v>46130</v>
      </c>
      <c r="E294" s="2" t="n">
        <v>48</v>
      </c>
      <c r="F294" s="2" t="n">
        <v>18.54</v>
      </c>
      <c r="G294" s="2" t="n">
        <v>1.48</v>
      </c>
      <c r="H294" s="4" t="n">
        <v>2.31</v>
      </c>
      <c r="I294" s="4" t="n">
        <v>3.85</v>
      </c>
      <c r="J294" s="2" t="n">
        <v>40</v>
      </c>
      <c r="K294" s="4" t="n">
        <v>0.65</v>
      </c>
      <c r="L294" s="4" t="n">
        <v>1.44</v>
      </c>
      <c r="M294" s="4">
        <f>B294*(G294/100)*(J294/100)</f>
        <v/>
      </c>
      <c r="N294" s="4">
        <f>B294*(F294/360/100)*E294*(J294/100)</f>
        <v/>
      </c>
      <c r="O294" s="4">
        <f>K294-M294+L294-N294</f>
        <v/>
      </c>
    </row>
    <row r="295">
      <c r="A295" s="2" t="inlineStr">
        <is>
          <t>A30503948</t>
        </is>
      </c>
      <c r="B295" s="4" t="n">
        <v>468.54</v>
      </c>
      <c r="C295" s="3" t="n">
        <v>46019</v>
      </c>
      <c r="D295" s="3" t="n">
        <v>46061</v>
      </c>
      <c r="E295" s="2" t="n">
        <v>77</v>
      </c>
      <c r="F295" s="2" t="n">
        <v>27.2</v>
      </c>
      <c r="G295" s="2" t="n">
        <v>0.82</v>
      </c>
      <c r="H295" s="4" t="n">
        <v>3.84</v>
      </c>
      <c r="I295" s="4" t="n">
        <v>27.26</v>
      </c>
      <c r="J295" s="2" t="n">
        <v>30</v>
      </c>
      <c r="K295" s="4" t="n">
        <v>1.05</v>
      </c>
      <c r="L295" s="4" t="n">
        <v>8.42</v>
      </c>
      <c r="M295" s="4">
        <f>B295*(G295/100)*(J295/100)</f>
        <v/>
      </c>
      <c r="N295" s="4">
        <f>B295*(F295/360/100)*E295*(J295/100)</f>
        <v/>
      </c>
      <c r="O295" s="4">
        <f>K295-M295+L295-N295</f>
        <v/>
      </c>
    </row>
    <row r="296">
      <c r="A296" s="2" t="inlineStr">
        <is>
          <t>B65585843</t>
        </is>
      </c>
      <c r="B296" s="4" t="n">
        <v>690.85</v>
      </c>
      <c r="C296" s="3" t="n">
        <v>45998</v>
      </c>
      <c r="D296" s="3" t="n">
        <v>46188</v>
      </c>
      <c r="E296" s="2" t="n">
        <v>15</v>
      </c>
      <c r="F296" s="2" t="n">
        <v>39.41</v>
      </c>
      <c r="G296" s="2" t="n">
        <v>1.11</v>
      </c>
      <c r="H296" s="4" t="n">
        <v>7.67</v>
      </c>
      <c r="I296" s="4" t="n">
        <v>11.34</v>
      </c>
      <c r="J296" s="2" t="n">
        <v>50</v>
      </c>
      <c r="K296" s="4" t="n">
        <v>3.59</v>
      </c>
      <c r="L296" s="4" t="n">
        <v>5.83</v>
      </c>
      <c r="M296" s="4">
        <f>B296*(G296/100)*(J296/100)</f>
        <v/>
      </c>
      <c r="N296" s="4">
        <f>B296*(F296/360/100)*E296*(J296/100)</f>
        <v/>
      </c>
      <c r="O296" s="4">
        <f>K296-M296+L296-N296</f>
        <v/>
      </c>
    </row>
    <row r="297">
      <c r="A297" s="2" t="inlineStr">
        <is>
          <t>B30455039</t>
        </is>
      </c>
      <c r="B297" s="4" t="n">
        <v>2107.19</v>
      </c>
      <c r="C297" s="3" t="n">
        <v>46013</v>
      </c>
      <c r="D297" s="3" t="n">
        <v>46170</v>
      </c>
      <c r="E297" s="2" t="n">
        <v>43</v>
      </c>
      <c r="F297" s="2" t="n">
        <v>37.48</v>
      </c>
      <c r="G297" s="2" t="n">
        <v>2.74</v>
      </c>
      <c r="H297" s="4" t="n">
        <v>57.74</v>
      </c>
      <c r="I297" s="4" t="n">
        <v>94.33</v>
      </c>
      <c r="J297" s="2" t="n">
        <v>40</v>
      </c>
      <c r="K297" s="4" t="n">
        <v>23.17</v>
      </c>
      <c r="L297" s="4" t="n">
        <v>37.46</v>
      </c>
      <c r="M297" s="4">
        <f>B297*(G297/100)*(J297/100)</f>
        <v/>
      </c>
      <c r="N297" s="4">
        <f>B297*(F297/360/100)*E297*(J297/100)</f>
        <v/>
      </c>
      <c r="O297" s="4">
        <f>K297-M297+L297-N297</f>
        <v/>
      </c>
    </row>
    <row r="298">
      <c r="A298" s="2" t="inlineStr">
        <is>
          <t>A44254780</t>
        </is>
      </c>
      <c r="B298" s="4" t="n">
        <v>224.36</v>
      </c>
      <c r="C298" s="3" t="n">
        <v>46008</v>
      </c>
      <c r="D298" s="3" t="n">
        <v>46133</v>
      </c>
      <c r="E298" s="2" t="n">
        <v>66</v>
      </c>
      <c r="F298" s="2" t="n">
        <v>14.9</v>
      </c>
      <c r="G298" s="2" t="n">
        <v>1.19</v>
      </c>
      <c r="H298" s="4" t="n">
        <v>2.67</v>
      </c>
      <c r="I298" s="4" t="n">
        <v>6.13</v>
      </c>
      <c r="J298" s="2" t="n">
        <v>60</v>
      </c>
      <c r="K298" s="4" t="n">
        <v>1.69</v>
      </c>
      <c r="L298" s="4" t="n">
        <v>3.52</v>
      </c>
      <c r="M298" s="4">
        <f>B298*(G298/100)*(J298/100)</f>
        <v/>
      </c>
      <c r="N298" s="4">
        <f>B298*(F298/360/100)*E298*(J298/100)</f>
        <v/>
      </c>
      <c r="O298" s="4">
        <f>K298-M298+L298-N298</f>
        <v/>
      </c>
    </row>
    <row r="299">
      <c r="A299" s="2" t="inlineStr">
        <is>
          <t>A23855489</t>
        </is>
      </c>
      <c r="B299" s="4" t="n">
        <v>716.61</v>
      </c>
      <c r="C299" s="3" t="n">
        <v>45996</v>
      </c>
      <c r="D299" s="3" t="n">
        <v>46045</v>
      </c>
      <c r="E299" s="2" t="n">
        <v>34</v>
      </c>
      <c r="F299" s="2" t="n">
        <v>13.25</v>
      </c>
      <c r="G299" s="2" t="n">
        <v>2.23</v>
      </c>
      <c r="H299" s="4" t="n">
        <v>15.98</v>
      </c>
      <c r="I299" s="4" t="n">
        <v>8.970000000000001</v>
      </c>
      <c r="J299" s="2" t="n">
        <v>70</v>
      </c>
      <c r="K299" s="4" t="n">
        <v>11.48</v>
      </c>
      <c r="L299" s="4" t="n">
        <v>6.55</v>
      </c>
      <c r="M299" s="4">
        <f>B299*(G299/100)*(J299/100)</f>
        <v/>
      </c>
      <c r="N299" s="4">
        <f>B299*(F299/360/100)*E299*(J299/100)</f>
        <v/>
      </c>
      <c r="O299" s="4">
        <f>K299-M299+L299-N299</f>
        <v/>
      </c>
    </row>
    <row r="300">
      <c r="A300" s="2" t="inlineStr">
        <is>
          <t>B00755270</t>
        </is>
      </c>
      <c r="B300" s="4" t="n">
        <v>686.52</v>
      </c>
      <c r="C300" s="3" t="n">
        <v>46017</v>
      </c>
      <c r="D300" s="3" t="n">
        <v>46095</v>
      </c>
      <c r="E300" s="2" t="n">
        <v>37</v>
      </c>
      <c r="F300" s="2" t="n">
        <v>14.91</v>
      </c>
      <c r="G300" s="2" t="n">
        <v>2.54</v>
      </c>
      <c r="H300" s="4" t="n">
        <v>17.44</v>
      </c>
      <c r="I300" s="4" t="n">
        <v>10.52</v>
      </c>
      <c r="J300" s="2" t="n">
        <v>20</v>
      </c>
      <c r="K300" s="4" t="n">
        <v>3.23</v>
      </c>
      <c r="L300" s="4" t="n">
        <v>1.91</v>
      </c>
      <c r="M300" s="4">
        <f>B300*(G300/100)*(J300/100)</f>
        <v/>
      </c>
      <c r="N300" s="4">
        <f>B300*(F300/360/100)*E300*(J300/100)</f>
        <v/>
      </c>
      <c r="O300" s="4">
        <f>K300-M300+L300-N300</f>
        <v/>
      </c>
    </row>
    <row r="301">
      <c r="A301" s="2" t="inlineStr">
        <is>
          <t>B56898139</t>
        </is>
      </c>
      <c r="B301" s="4" t="n">
        <v>194.79</v>
      </c>
      <c r="C301" s="3" t="n">
        <v>45997</v>
      </c>
      <c r="D301" s="3" t="n">
        <v>46175</v>
      </c>
      <c r="E301" s="2" t="n">
        <v>88</v>
      </c>
      <c r="F301" s="2" t="n">
        <v>19.82</v>
      </c>
      <c r="G301" s="2" t="n">
        <v>1.53</v>
      </c>
      <c r="H301" s="4" t="n">
        <v>2.98</v>
      </c>
      <c r="I301" s="4" t="n">
        <v>9.44</v>
      </c>
      <c r="J301" s="2" t="n">
        <v>40</v>
      </c>
      <c r="K301" s="4" t="n">
        <v>1.12</v>
      </c>
      <c r="L301" s="4" t="n">
        <v>3.8</v>
      </c>
      <c r="M301" s="4">
        <f>B301*(G301/100)*(J301/100)</f>
        <v/>
      </c>
      <c r="N301" s="4">
        <f>B301*(F301/360/100)*E301*(J301/100)</f>
        <v/>
      </c>
      <c r="O301" s="4">
        <f>K301-M301+L301-N301</f>
        <v/>
      </c>
    </row>
    <row r="302">
      <c r="A302" s="2" t="inlineStr">
        <is>
          <t>A12373125</t>
        </is>
      </c>
      <c r="B302" s="4" t="n">
        <v>828.2</v>
      </c>
      <c r="C302" s="3" t="n">
        <v>46007</v>
      </c>
      <c r="D302" s="3" t="n">
        <v>46196</v>
      </c>
      <c r="E302" s="2" t="n">
        <v>48</v>
      </c>
      <c r="F302" s="2" t="n">
        <v>47.71</v>
      </c>
      <c r="G302" s="2" t="n">
        <v>1.86</v>
      </c>
      <c r="H302" s="4" t="n">
        <v>15.4</v>
      </c>
      <c r="I302" s="4" t="n">
        <v>52.68</v>
      </c>
      <c r="J302" s="2" t="n">
        <v>70</v>
      </c>
      <c r="K302" s="4" t="n">
        <v>10.98</v>
      </c>
      <c r="L302" s="4" t="n">
        <v>37.15</v>
      </c>
      <c r="M302" s="4">
        <f>B302*(G302/100)*(J302/100)</f>
        <v/>
      </c>
      <c r="N302" s="4">
        <f>B302*(F302/360/100)*E302*(J302/100)</f>
        <v/>
      </c>
      <c r="O302" s="4">
        <f>K302-M302+L302-N302</f>
        <v/>
      </c>
    </row>
    <row r="303">
      <c r="A303" s="2" t="inlineStr">
        <is>
          <t>B80087530</t>
        </is>
      </c>
      <c r="B303" s="4" t="n">
        <v>7749.48</v>
      </c>
      <c r="C303" s="3" t="n">
        <v>46014</v>
      </c>
      <c r="D303" s="3" t="n">
        <v>46181</v>
      </c>
      <c r="E303" s="2" t="n">
        <v>52</v>
      </c>
      <c r="F303" s="2" t="n">
        <v>28.91</v>
      </c>
      <c r="G303" s="2" t="n">
        <v>2.46</v>
      </c>
      <c r="H303" s="4" t="n">
        <v>190.64</v>
      </c>
      <c r="I303" s="4" t="n">
        <v>323.61</v>
      </c>
      <c r="J303" s="2" t="n">
        <v>50</v>
      </c>
      <c r="K303" s="4" t="n">
        <v>95.22</v>
      </c>
      <c r="L303" s="4" t="n">
        <v>161.88</v>
      </c>
      <c r="M303" s="4">
        <f>B303*(G303/100)*(J303/100)</f>
        <v/>
      </c>
      <c r="N303" s="4">
        <f>B303*(F303/360/100)*E303*(J303/100)</f>
        <v/>
      </c>
      <c r="O303" s="4">
        <f>K303-M303+L303-N303</f>
        <v/>
      </c>
    </row>
    <row r="304">
      <c r="A304" s="2" t="inlineStr">
        <is>
          <t>B31847530</t>
        </is>
      </c>
      <c r="B304" s="4" t="n">
        <v>741.97</v>
      </c>
      <c r="C304" s="3" t="n">
        <v>45995</v>
      </c>
      <c r="D304" s="3" t="n">
        <v>46072</v>
      </c>
      <c r="E304" s="2" t="n">
        <v>15</v>
      </c>
      <c r="F304" s="2" t="n">
        <v>27.95</v>
      </c>
      <c r="G304" s="2" t="n">
        <v>2.27</v>
      </c>
      <c r="H304" s="4" t="n">
        <v>16.84</v>
      </c>
      <c r="I304" s="4" t="n">
        <v>8.640000000000001</v>
      </c>
      <c r="J304" s="2" t="n">
        <v>60</v>
      </c>
      <c r="K304" s="4" t="n">
        <v>9.91</v>
      </c>
      <c r="L304" s="4" t="n">
        <v>5.38</v>
      </c>
      <c r="M304" s="4">
        <f>B304*(G304/100)*(J304/100)</f>
        <v/>
      </c>
      <c r="N304" s="4">
        <f>B304*(F304/360/100)*E304*(J304/100)</f>
        <v/>
      </c>
      <c r="O304" s="4">
        <f>K304-M304+L304-N304</f>
        <v/>
      </c>
    </row>
    <row r="305">
      <c r="A305" s="2" t="inlineStr">
        <is>
          <t>A46655315</t>
        </is>
      </c>
      <c r="B305" s="4" t="n">
        <v>5327.69</v>
      </c>
      <c r="C305" s="3" t="n">
        <v>45997</v>
      </c>
      <c r="D305" s="3" t="n">
        <v>46092</v>
      </c>
      <c r="E305" s="2" t="n">
        <v>48</v>
      </c>
      <c r="F305" s="2" t="n">
        <v>41.54</v>
      </c>
      <c r="G305" s="2" t="n">
        <v>2.73</v>
      </c>
      <c r="H305" s="4" t="n">
        <v>145.45</v>
      </c>
      <c r="I305" s="4" t="n">
        <v>295.08</v>
      </c>
      <c r="J305" s="2" t="n">
        <v>50</v>
      </c>
      <c r="K305" s="4" t="n">
        <v>72.93000000000001</v>
      </c>
      <c r="L305" s="4" t="n">
        <v>147.68</v>
      </c>
      <c r="M305" s="4">
        <f>B305*(G305/100)*(J305/100)</f>
        <v/>
      </c>
      <c r="N305" s="4">
        <f>B305*(F305/360/100)*E305*(J305/100)</f>
        <v/>
      </c>
      <c r="O305" s="4">
        <f>K305-M305+L305-N305</f>
        <v/>
      </c>
    </row>
    <row r="306">
      <c r="A306" s="2" t="inlineStr">
        <is>
          <t>B07291666</t>
        </is>
      </c>
      <c r="B306" s="4" t="n">
        <v>895.88</v>
      </c>
      <c r="C306" s="3" t="n">
        <v>46004</v>
      </c>
      <c r="D306" s="3" t="n">
        <v>46064</v>
      </c>
      <c r="E306" s="2" t="n">
        <v>30</v>
      </c>
      <c r="F306" s="2" t="n">
        <v>47.39</v>
      </c>
      <c r="G306" s="2" t="n">
        <v>1.4</v>
      </c>
      <c r="H306" s="4" t="n">
        <v>12.54</v>
      </c>
      <c r="I306" s="4" t="n">
        <v>35.38</v>
      </c>
      <c r="J306" s="2" t="n">
        <v>60</v>
      </c>
      <c r="K306" s="4" t="n">
        <v>7.34</v>
      </c>
      <c r="L306" s="4" t="n">
        <v>20.95</v>
      </c>
      <c r="M306" s="4">
        <f>B306*(G306/100)*(J306/100)</f>
        <v/>
      </c>
      <c r="N306" s="4">
        <f>B306*(F306/360/100)*E306*(J306/100)</f>
        <v/>
      </c>
      <c r="O306" s="4">
        <f>K306-M306+L306-N306</f>
        <v/>
      </c>
    </row>
    <row r="307">
      <c r="A307" s="2" t="inlineStr">
        <is>
          <t>A90912344</t>
        </is>
      </c>
      <c r="B307" s="4" t="n">
        <v>702.5599999999999</v>
      </c>
      <c r="C307" s="3" t="n">
        <v>45997</v>
      </c>
      <c r="D307" s="3" t="n">
        <v>46120</v>
      </c>
      <c r="E307" s="2" t="n">
        <v>71</v>
      </c>
      <c r="F307" s="2" t="n">
        <v>27.07</v>
      </c>
      <c r="G307" s="2" t="n">
        <v>1.92</v>
      </c>
      <c r="H307" s="4" t="n">
        <v>13.49</v>
      </c>
      <c r="I307" s="4" t="n">
        <v>37.51</v>
      </c>
      <c r="J307" s="2" t="n">
        <v>20</v>
      </c>
      <c r="K307" s="4" t="n">
        <v>2.99</v>
      </c>
      <c r="L307" s="4" t="n">
        <v>7.6</v>
      </c>
      <c r="M307" s="4">
        <f>B307*(G307/100)*(J307/100)</f>
        <v/>
      </c>
      <c r="N307" s="4">
        <f>B307*(F307/360/100)*E307*(J307/100)</f>
        <v/>
      </c>
      <c r="O307" s="4">
        <f>K307-M307+L307-N307</f>
        <v/>
      </c>
    </row>
    <row r="308">
      <c r="A308" s="2" t="inlineStr">
        <is>
          <t>B00755270</t>
        </is>
      </c>
      <c r="B308" s="4" t="n">
        <v>756.92</v>
      </c>
      <c r="C308" s="3" t="n">
        <v>46012</v>
      </c>
      <c r="D308" s="3" t="n">
        <v>46194</v>
      </c>
      <c r="E308" s="2" t="n">
        <v>71</v>
      </c>
      <c r="F308" s="2" t="n">
        <v>42.77</v>
      </c>
      <c r="G308" s="2" t="n">
        <v>0.51</v>
      </c>
      <c r="H308" s="4" t="n">
        <v>3.86</v>
      </c>
      <c r="I308" s="4" t="n">
        <v>63.85</v>
      </c>
      <c r="J308" s="2" t="n">
        <v>30</v>
      </c>
      <c r="K308" s="4" t="n">
        <v>1.23</v>
      </c>
      <c r="L308" s="4" t="n">
        <v>19.18</v>
      </c>
      <c r="M308" s="4">
        <f>B308*(G308/100)*(J308/100)</f>
        <v/>
      </c>
      <c r="N308" s="4">
        <f>B308*(F308/360/100)*E308*(J308/100)</f>
        <v/>
      </c>
      <c r="O308" s="4">
        <f>K308-M308+L308-N308</f>
        <v/>
      </c>
    </row>
    <row r="309">
      <c r="A309" s="2" t="inlineStr">
        <is>
          <t>A74106243</t>
        </is>
      </c>
      <c r="B309" s="4" t="n">
        <v>740.42</v>
      </c>
      <c r="C309" s="3" t="n">
        <v>46005</v>
      </c>
      <c r="D309" s="3" t="n">
        <v>46108</v>
      </c>
      <c r="E309" s="2" t="n">
        <v>41</v>
      </c>
      <c r="F309" s="2" t="n">
        <v>49.49</v>
      </c>
      <c r="G309" s="2" t="n">
        <v>1.92</v>
      </c>
      <c r="H309" s="4" t="n">
        <v>14.22</v>
      </c>
      <c r="I309" s="4" t="n">
        <v>41.73</v>
      </c>
      <c r="J309" s="2" t="n">
        <v>70</v>
      </c>
      <c r="K309" s="4" t="n">
        <v>9.76</v>
      </c>
      <c r="L309" s="4" t="n">
        <v>29.39</v>
      </c>
      <c r="M309" s="4">
        <f>B309*(G309/100)*(J309/100)</f>
        <v/>
      </c>
      <c r="N309" s="4">
        <f>B309*(F309/360/100)*E309*(J309/100)</f>
        <v/>
      </c>
      <c r="O309" s="4">
        <f>K309-M309+L309-N309</f>
        <v/>
      </c>
    </row>
    <row r="310">
      <c r="A310" s="2" t="inlineStr">
        <is>
          <t>B21061059</t>
        </is>
      </c>
      <c r="B310" s="4" t="n">
        <v>231.4</v>
      </c>
      <c r="C310" s="3" t="n">
        <v>46001</v>
      </c>
      <c r="D310" s="3" t="n">
        <v>46069</v>
      </c>
      <c r="E310" s="2" t="n">
        <v>49</v>
      </c>
      <c r="F310" s="2" t="n">
        <v>23.97</v>
      </c>
      <c r="G310" s="2" t="n">
        <v>1.84</v>
      </c>
      <c r="H310" s="4" t="n">
        <v>4.26</v>
      </c>
      <c r="I310" s="4" t="n">
        <v>7.55</v>
      </c>
      <c r="J310" s="2" t="n">
        <v>50</v>
      </c>
      <c r="K310" s="4" t="n">
        <v>2.3</v>
      </c>
      <c r="L310" s="4" t="n">
        <v>3.51</v>
      </c>
      <c r="M310" s="4">
        <f>B310*(G310/100)*(J310/100)</f>
        <v/>
      </c>
      <c r="N310" s="4">
        <f>B310*(F310/360/100)*E310*(J310/100)</f>
        <v/>
      </c>
      <c r="O310" s="4">
        <f>K310-M310+L310-N310</f>
        <v/>
      </c>
    </row>
    <row r="311">
      <c r="A311" s="2" t="inlineStr">
        <is>
          <t>B65881267</t>
        </is>
      </c>
      <c r="B311" s="4" t="n">
        <v>2786.9</v>
      </c>
      <c r="C311" s="3" t="n">
        <v>46008</v>
      </c>
      <c r="D311" s="3" t="n">
        <v>46176</v>
      </c>
      <c r="E311" s="2" t="n">
        <v>51</v>
      </c>
      <c r="F311" s="2" t="n">
        <v>16.59</v>
      </c>
      <c r="G311" s="2" t="n">
        <v>1.88</v>
      </c>
      <c r="H311" s="4" t="n">
        <v>52.39</v>
      </c>
      <c r="I311" s="4" t="n">
        <v>65.5</v>
      </c>
      <c r="J311" s="2" t="n">
        <v>20</v>
      </c>
      <c r="K311" s="4" t="n">
        <v>10.38</v>
      </c>
      <c r="L311" s="4" t="n">
        <v>13</v>
      </c>
      <c r="M311" s="4">
        <f>B311*(G311/100)*(J311/100)</f>
        <v/>
      </c>
      <c r="N311" s="4">
        <f>B311*(F311/360/100)*E311*(J311/100)</f>
        <v/>
      </c>
      <c r="O311" s="4">
        <f>K311-M311+L311-N311</f>
        <v/>
      </c>
    </row>
    <row r="312">
      <c r="A312" s="2" t="inlineStr">
        <is>
          <t>B15687725</t>
        </is>
      </c>
      <c r="B312" s="4" t="n">
        <v>9791.360000000001</v>
      </c>
      <c r="C312" s="3" t="n">
        <v>46002</v>
      </c>
      <c r="D312" s="3" t="n">
        <v>46195</v>
      </c>
      <c r="E312" s="2" t="n">
        <v>26</v>
      </c>
      <c r="F312" s="2" t="n">
        <v>31.61</v>
      </c>
      <c r="G312" s="2" t="n">
        <v>2.02</v>
      </c>
      <c r="H312" s="4" t="n">
        <v>197.79</v>
      </c>
      <c r="I312" s="4" t="n">
        <v>223.53</v>
      </c>
      <c r="J312" s="2" t="n">
        <v>60</v>
      </c>
      <c r="K312" s="4" t="n">
        <v>118.74</v>
      </c>
      <c r="L312" s="4" t="n">
        <v>134.04</v>
      </c>
      <c r="M312" s="4">
        <f>B312*(G312/100)*(J312/100)</f>
        <v/>
      </c>
      <c r="N312" s="4">
        <f>B312*(F312/360/100)*E312*(J312/100)</f>
        <v/>
      </c>
      <c r="O312" s="4">
        <f>K312-M312+L312-N312</f>
        <v/>
      </c>
    </row>
    <row r="313">
      <c r="A313" s="2" t="inlineStr">
        <is>
          <t>A94663659</t>
        </is>
      </c>
      <c r="B313" s="4" t="n">
        <v>628.3200000000001</v>
      </c>
      <c r="C313" s="3" t="n">
        <v>46014</v>
      </c>
      <c r="D313" s="3" t="n">
        <v>46126</v>
      </c>
      <c r="E313" s="2" t="n">
        <v>64</v>
      </c>
      <c r="F313" s="2" t="n">
        <v>31.57</v>
      </c>
      <c r="G313" s="2" t="n">
        <v>2.02</v>
      </c>
      <c r="H313" s="4" t="n">
        <v>12.69</v>
      </c>
      <c r="I313" s="4" t="n">
        <v>35.26</v>
      </c>
      <c r="J313" s="2" t="n">
        <v>30</v>
      </c>
      <c r="K313" s="4" t="n">
        <v>4.02</v>
      </c>
      <c r="L313" s="4" t="n">
        <v>10.75</v>
      </c>
      <c r="M313" s="4">
        <f>B313*(G313/100)*(J313/100)</f>
        <v/>
      </c>
      <c r="N313" s="4">
        <f>B313*(F313/360/100)*E313*(J313/100)</f>
        <v/>
      </c>
      <c r="O313" s="4">
        <f>K313-M313+L313-N313</f>
        <v/>
      </c>
    </row>
    <row r="314">
      <c r="A314" s="2" t="inlineStr">
        <is>
          <t>A63628922</t>
        </is>
      </c>
      <c r="B314" s="4" t="n">
        <v>158.58</v>
      </c>
      <c r="C314" s="3" t="n">
        <v>45998</v>
      </c>
      <c r="D314" s="3" t="n">
        <v>46106</v>
      </c>
      <c r="E314" s="2" t="n">
        <v>57</v>
      </c>
      <c r="F314" s="2" t="n">
        <v>38</v>
      </c>
      <c r="G314" s="2" t="n">
        <v>0.72</v>
      </c>
      <c r="H314" s="4" t="n">
        <v>1.14</v>
      </c>
      <c r="I314" s="4" t="n">
        <v>9.539999999999999</v>
      </c>
      <c r="J314" s="2" t="n">
        <v>20</v>
      </c>
      <c r="K314" s="4" t="n">
        <v>0.43</v>
      </c>
      <c r="L314" s="4" t="n">
        <v>2.17</v>
      </c>
      <c r="M314" s="4">
        <f>B314*(G314/100)*(J314/100)</f>
        <v/>
      </c>
      <c r="N314" s="4">
        <f>B314*(F314/360/100)*E314*(J314/100)</f>
        <v/>
      </c>
      <c r="O314" s="4">
        <f>K314-M314+L314-N314</f>
        <v/>
      </c>
    </row>
    <row r="315">
      <c r="A315" s="2" t="inlineStr">
        <is>
          <t>A76206578</t>
        </is>
      </c>
      <c r="B315" s="4" t="n">
        <v>4710.35</v>
      </c>
      <c r="C315" s="3" t="n">
        <v>46018</v>
      </c>
      <c r="D315" s="3" t="n">
        <v>46188</v>
      </c>
      <c r="E315" s="2" t="n">
        <v>69</v>
      </c>
      <c r="F315" s="2" t="n">
        <v>10.65</v>
      </c>
      <c r="G315" s="2" t="n">
        <v>1.38</v>
      </c>
      <c r="H315" s="4" t="n">
        <v>65</v>
      </c>
      <c r="I315" s="4" t="n">
        <v>96.15000000000001</v>
      </c>
      <c r="J315" s="2" t="n">
        <v>40</v>
      </c>
      <c r="K315" s="4" t="n">
        <v>26.01</v>
      </c>
      <c r="L315" s="4" t="n">
        <v>38.32</v>
      </c>
      <c r="M315" s="4">
        <f>B315*(G315/100)*(J315/100)</f>
        <v/>
      </c>
      <c r="N315" s="4">
        <f>B315*(F315/360/100)*E315*(J315/100)</f>
        <v/>
      </c>
      <c r="O315" s="4">
        <f>K315-M315+L315-N315</f>
        <v/>
      </c>
    </row>
    <row r="316">
      <c r="A316" s="2" t="inlineStr">
        <is>
          <t>B82570616</t>
        </is>
      </c>
      <c r="B316" s="4" t="n">
        <v>213.4</v>
      </c>
      <c r="C316" s="3" t="n">
        <v>45996</v>
      </c>
      <c r="D316" s="3" t="n">
        <v>46191</v>
      </c>
      <c r="E316" s="2" t="n">
        <v>20</v>
      </c>
      <c r="F316" s="2" t="n">
        <v>41.44</v>
      </c>
      <c r="G316" s="2" t="n">
        <v>1.58</v>
      </c>
      <c r="H316" s="4" t="n">
        <v>3.37</v>
      </c>
      <c r="I316" s="4" t="n">
        <v>4.91</v>
      </c>
      <c r="J316" s="2" t="n">
        <v>60</v>
      </c>
      <c r="K316" s="4" t="n">
        <v>2.12</v>
      </c>
      <c r="L316" s="4" t="n">
        <v>2.68</v>
      </c>
      <c r="M316" s="4">
        <f>B316*(G316/100)*(J316/100)</f>
        <v/>
      </c>
      <c r="N316" s="4">
        <f>B316*(F316/360/100)*E316*(J316/100)</f>
        <v/>
      </c>
      <c r="O316" s="4">
        <f>K316-M316+L316-N316</f>
        <v/>
      </c>
    </row>
    <row r="317">
      <c r="A317" s="2" t="inlineStr">
        <is>
          <t>A28060446</t>
        </is>
      </c>
      <c r="B317" s="4" t="n">
        <v>194.38</v>
      </c>
      <c r="C317" s="3" t="n">
        <v>46017</v>
      </c>
      <c r="D317" s="3" t="n">
        <v>46151</v>
      </c>
      <c r="E317" s="2" t="n">
        <v>76</v>
      </c>
      <c r="F317" s="2" t="n">
        <v>43.17</v>
      </c>
      <c r="G317" s="2" t="n">
        <v>2.7</v>
      </c>
      <c r="H317" s="4" t="n">
        <v>5.25</v>
      </c>
      <c r="I317" s="4" t="n">
        <v>17.72</v>
      </c>
      <c r="J317" s="2" t="n">
        <v>60</v>
      </c>
      <c r="K317" s="4" t="n">
        <v>3.42</v>
      </c>
      <c r="L317" s="4" t="n">
        <v>10.34</v>
      </c>
      <c r="M317" s="4">
        <f>B317*(G317/100)*(J317/100)</f>
        <v/>
      </c>
      <c r="N317" s="4">
        <f>B317*(F317/360/100)*E317*(J317/100)</f>
        <v/>
      </c>
      <c r="O317" s="4">
        <f>K317-M317+L317-N317</f>
        <v/>
      </c>
    </row>
    <row r="318">
      <c r="A318" s="2" t="inlineStr">
        <is>
          <t>B07073880</t>
        </is>
      </c>
      <c r="B318" s="4" t="n">
        <v>423.74</v>
      </c>
      <c r="C318" s="3" t="n">
        <v>46006</v>
      </c>
      <c r="D318" s="3" t="n">
        <v>46130</v>
      </c>
      <c r="E318" s="2" t="n">
        <v>83</v>
      </c>
      <c r="F318" s="2" t="n">
        <v>37.34</v>
      </c>
      <c r="G318" s="2" t="n">
        <v>0.73</v>
      </c>
      <c r="H318" s="4" t="n">
        <v>3.09</v>
      </c>
      <c r="I318" s="4" t="n">
        <v>36.48</v>
      </c>
      <c r="J318" s="2" t="n">
        <v>70</v>
      </c>
      <c r="K318" s="4" t="n">
        <v>2.42</v>
      </c>
      <c r="L318" s="4" t="n">
        <v>25.63</v>
      </c>
      <c r="M318" s="4">
        <f>B318*(G318/100)*(J318/100)</f>
        <v/>
      </c>
      <c r="N318" s="4">
        <f>B318*(F318/360/100)*E318*(J318/100)</f>
        <v/>
      </c>
      <c r="O318" s="4">
        <f>K318-M318+L318-N318</f>
        <v/>
      </c>
    </row>
    <row r="319">
      <c r="A319" s="2" t="inlineStr">
        <is>
          <t>B43920097</t>
        </is>
      </c>
      <c r="B319" s="4" t="n">
        <v>541.5</v>
      </c>
      <c r="C319" s="3" t="n">
        <v>46003</v>
      </c>
      <c r="D319" s="3" t="n">
        <v>46128</v>
      </c>
      <c r="E319" s="2" t="n">
        <v>52</v>
      </c>
      <c r="F319" s="2" t="n">
        <v>12.7</v>
      </c>
      <c r="G319" s="2" t="n">
        <v>2.22</v>
      </c>
      <c r="H319" s="4" t="n">
        <v>12.02</v>
      </c>
      <c r="I319" s="4" t="n">
        <v>9.93</v>
      </c>
      <c r="J319" s="2" t="n">
        <v>30</v>
      </c>
      <c r="K319" s="4" t="n">
        <v>3.47</v>
      </c>
      <c r="L319" s="4" t="n">
        <v>3.05</v>
      </c>
      <c r="M319" s="4">
        <f>B319*(G319/100)*(J319/100)</f>
        <v/>
      </c>
      <c r="N319" s="4">
        <f>B319*(F319/360/100)*E319*(J319/100)</f>
        <v/>
      </c>
      <c r="O319" s="4">
        <f>K319-M319+L319-N319</f>
        <v/>
      </c>
    </row>
    <row r="320">
      <c r="A320" s="2" t="inlineStr">
        <is>
          <t>B34710294</t>
        </is>
      </c>
      <c r="B320" s="4" t="n">
        <v>4912.99</v>
      </c>
      <c r="C320" s="3" t="n">
        <v>46018</v>
      </c>
      <c r="D320" s="3" t="n">
        <v>46136</v>
      </c>
      <c r="E320" s="2" t="n">
        <v>70</v>
      </c>
      <c r="F320" s="2" t="n">
        <v>26.36</v>
      </c>
      <c r="G320" s="2" t="n">
        <v>1.74</v>
      </c>
      <c r="H320" s="4" t="n">
        <v>85.48999999999999</v>
      </c>
      <c r="I320" s="4" t="n">
        <v>251.82</v>
      </c>
      <c r="J320" s="2" t="n">
        <v>50</v>
      </c>
      <c r="K320" s="4" t="n">
        <v>42.56</v>
      </c>
      <c r="L320" s="4" t="n">
        <v>126.09</v>
      </c>
      <c r="M320" s="4">
        <f>B320*(G320/100)*(J320/100)</f>
        <v/>
      </c>
      <c r="N320" s="4">
        <f>B320*(F320/360/100)*E320*(J320/100)</f>
        <v/>
      </c>
      <c r="O320" s="4">
        <f>K320-M320+L320-N320</f>
        <v/>
      </c>
    </row>
    <row r="321">
      <c r="A321" s="2" t="inlineStr">
        <is>
          <t>B83741355</t>
        </is>
      </c>
      <c r="B321" s="4" t="n">
        <v>426.18</v>
      </c>
      <c r="C321" s="3" t="n">
        <v>46007</v>
      </c>
      <c r="D321" s="3" t="n">
        <v>46043</v>
      </c>
      <c r="E321" s="2" t="n">
        <v>56</v>
      </c>
      <c r="F321" s="2" t="n">
        <v>21.15</v>
      </c>
      <c r="G321" s="2" t="n">
        <v>1.07</v>
      </c>
      <c r="H321" s="4" t="n">
        <v>4.56</v>
      </c>
      <c r="I321" s="4" t="n">
        <v>14.02</v>
      </c>
      <c r="J321" s="2" t="n">
        <v>40</v>
      </c>
      <c r="K321" s="4" t="n">
        <v>1.53</v>
      </c>
      <c r="L321" s="4" t="n">
        <v>5.42</v>
      </c>
      <c r="M321" s="4">
        <f>B321*(G321/100)*(J321/100)</f>
        <v/>
      </c>
      <c r="N321" s="4">
        <f>B321*(F321/360/100)*E321*(J321/100)</f>
        <v/>
      </c>
      <c r="O321" s="4">
        <f>K321-M321+L321-N321</f>
        <v/>
      </c>
    </row>
    <row r="322">
      <c r="A322" s="2" t="inlineStr">
        <is>
          <t>B23121122</t>
        </is>
      </c>
      <c r="B322" s="4" t="n">
        <v>9755.42</v>
      </c>
      <c r="C322" s="3" t="n">
        <v>46014</v>
      </c>
      <c r="D322" s="3" t="n">
        <v>46057</v>
      </c>
      <c r="E322" s="2" t="n">
        <v>81</v>
      </c>
      <c r="F322" s="2" t="n">
        <v>23</v>
      </c>
      <c r="G322" s="2" t="n">
        <v>0.78</v>
      </c>
      <c r="H322" s="4" t="n">
        <v>76.09</v>
      </c>
      <c r="I322" s="4" t="n">
        <v>504.84</v>
      </c>
      <c r="J322" s="2" t="n">
        <v>40</v>
      </c>
      <c r="K322" s="4" t="n">
        <v>30.66</v>
      </c>
      <c r="L322" s="4" t="n">
        <v>201.97</v>
      </c>
      <c r="M322" s="4">
        <f>B322*(G322/100)*(J322/100)</f>
        <v/>
      </c>
      <c r="N322" s="4">
        <f>B322*(F322/360/100)*E322*(J322/100)</f>
        <v/>
      </c>
      <c r="O322" s="4">
        <f>K322-M322+L322-N322</f>
        <v/>
      </c>
    </row>
    <row r="323">
      <c r="A323" s="2" t="inlineStr">
        <is>
          <t>B50666140</t>
        </is>
      </c>
      <c r="B323" s="4" t="n">
        <v>2237.37</v>
      </c>
      <c r="C323" s="3" t="n">
        <v>46008</v>
      </c>
      <c r="D323" s="3" t="n">
        <v>46124</v>
      </c>
      <c r="E323" s="2" t="n">
        <v>70</v>
      </c>
      <c r="F323" s="2" t="n">
        <v>45.24</v>
      </c>
      <c r="G323" s="2" t="n">
        <v>1.97</v>
      </c>
      <c r="H323" s="4" t="n">
        <v>44.08</v>
      </c>
      <c r="I323" s="4" t="n">
        <v>196.81</v>
      </c>
      <c r="J323" s="2" t="n">
        <v>60</v>
      </c>
      <c r="K323" s="4" t="n">
        <v>26.53</v>
      </c>
      <c r="L323" s="4" t="n">
        <v>118.26</v>
      </c>
      <c r="M323" s="4">
        <f>B323*(G323/100)*(J323/100)</f>
        <v/>
      </c>
      <c r="N323" s="4">
        <f>B323*(F323/360/100)*E323*(J323/100)</f>
        <v/>
      </c>
      <c r="O323" s="4">
        <f>K323-M323+L323-N323</f>
        <v/>
      </c>
    </row>
    <row r="324">
      <c r="A324" s="2" t="inlineStr">
        <is>
          <t>A84327401</t>
        </is>
      </c>
      <c r="B324" s="4" t="n">
        <v>3975.08</v>
      </c>
      <c r="C324" s="3" t="n">
        <v>46016</v>
      </c>
      <c r="D324" s="3" t="n">
        <v>46096</v>
      </c>
      <c r="E324" s="2" t="n">
        <v>69</v>
      </c>
      <c r="F324" s="2" t="n">
        <v>12.12</v>
      </c>
      <c r="G324" s="2" t="n">
        <v>2.19</v>
      </c>
      <c r="H324" s="4" t="n">
        <v>87.05</v>
      </c>
      <c r="I324" s="4" t="n">
        <v>92.34</v>
      </c>
      <c r="J324" s="2" t="n">
        <v>20</v>
      </c>
      <c r="K324" s="4" t="n">
        <v>17.57</v>
      </c>
      <c r="L324" s="4" t="n">
        <v>18.45</v>
      </c>
      <c r="M324" s="4">
        <f>B324*(G324/100)*(J324/100)</f>
        <v/>
      </c>
      <c r="N324" s="4">
        <f>B324*(F324/360/100)*E324*(J324/100)</f>
        <v/>
      </c>
      <c r="O324" s="4">
        <f>K324-M324+L324-N324</f>
        <v/>
      </c>
    </row>
    <row r="325">
      <c r="A325" s="2" t="inlineStr">
        <is>
          <t>B89654455</t>
        </is>
      </c>
      <c r="B325" s="4" t="n">
        <v>642.71</v>
      </c>
      <c r="C325" s="3" t="n">
        <v>45999</v>
      </c>
      <c r="D325" s="3" t="n">
        <v>46040</v>
      </c>
      <c r="E325" s="2" t="n">
        <v>24</v>
      </c>
      <c r="F325" s="2" t="n">
        <v>25.36</v>
      </c>
      <c r="G325" s="2" t="n">
        <v>0.5600000000000001</v>
      </c>
      <c r="H325" s="4" t="n">
        <v>3.6</v>
      </c>
      <c r="I325" s="4" t="n">
        <v>10.87</v>
      </c>
      <c r="J325" s="2" t="n">
        <v>30</v>
      </c>
      <c r="K325" s="4" t="n">
        <v>1.22</v>
      </c>
      <c r="L325" s="4" t="n">
        <v>3.17</v>
      </c>
      <c r="M325" s="4">
        <f>B325*(G325/100)*(J325/100)</f>
        <v/>
      </c>
      <c r="N325" s="4">
        <f>B325*(F325/360/100)*E325*(J325/100)</f>
        <v/>
      </c>
      <c r="O325" s="4">
        <f>K325-M325+L325-N325</f>
        <v/>
      </c>
    </row>
    <row r="326">
      <c r="A326" s="2" t="inlineStr">
        <is>
          <t>B55595910</t>
        </is>
      </c>
      <c r="B326" s="4" t="n">
        <v>240.16</v>
      </c>
      <c r="C326" s="3" t="n">
        <v>45994</v>
      </c>
      <c r="D326" s="3" t="n">
        <v>46023</v>
      </c>
      <c r="E326" s="2" t="n">
        <v>45</v>
      </c>
      <c r="F326" s="2" t="n">
        <v>21.02</v>
      </c>
      <c r="G326" s="2" t="n">
        <v>0.64</v>
      </c>
      <c r="H326" s="4" t="n">
        <v>1.54</v>
      </c>
      <c r="I326" s="4" t="n">
        <v>6.31</v>
      </c>
      <c r="J326" s="2" t="n">
        <v>70</v>
      </c>
      <c r="K326" s="4" t="n">
        <v>0.91</v>
      </c>
      <c r="L326" s="4" t="n">
        <v>4.46</v>
      </c>
      <c r="M326" s="4">
        <f>B326*(G326/100)*(J326/100)</f>
        <v/>
      </c>
      <c r="N326" s="4">
        <f>B326*(F326/360/100)*E326*(J326/100)</f>
        <v/>
      </c>
      <c r="O326" s="4">
        <f>K326-M326+L326-N326</f>
        <v/>
      </c>
    </row>
    <row r="327">
      <c r="A327" s="2" t="inlineStr">
        <is>
          <t>A28175548</t>
        </is>
      </c>
      <c r="B327" s="4" t="n">
        <v>476.12</v>
      </c>
      <c r="C327" s="3" t="n">
        <v>46006</v>
      </c>
      <c r="D327" s="3" t="n">
        <v>46049</v>
      </c>
      <c r="E327" s="2" t="n">
        <v>63</v>
      </c>
      <c r="F327" s="2" t="n">
        <v>45.48</v>
      </c>
      <c r="G327" s="2" t="n">
        <v>2.51</v>
      </c>
      <c r="H327" s="4" t="n">
        <v>11.95</v>
      </c>
      <c r="I327" s="4" t="n">
        <v>37.89</v>
      </c>
      <c r="J327" s="2" t="n">
        <v>60</v>
      </c>
      <c r="K327" s="4" t="n">
        <v>7.47</v>
      </c>
      <c r="L327" s="4" t="n">
        <v>22.46</v>
      </c>
      <c r="M327" s="4">
        <f>B327*(G327/100)*(J327/100)</f>
        <v/>
      </c>
      <c r="N327" s="4">
        <f>B327*(F327/360/100)*E327*(J327/100)</f>
        <v/>
      </c>
      <c r="O327" s="4">
        <f>K327-M327+L327-N327</f>
        <v/>
      </c>
    </row>
    <row r="328">
      <c r="A328" s="2" t="inlineStr">
        <is>
          <t>B38381423</t>
        </is>
      </c>
      <c r="B328" s="4" t="n">
        <v>228.04</v>
      </c>
      <c r="C328" s="3" t="n">
        <v>45992</v>
      </c>
      <c r="D328" s="3" t="n">
        <v>46029</v>
      </c>
      <c r="E328" s="2" t="n">
        <v>36</v>
      </c>
      <c r="F328" s="2" t="n">
        <v>16.28</v>
      </c>
      <c r="G328" s="2" t="n">
        <v>0.9399999999999999</v>
      </c>
      <c r="H328" s="4" t="n">
        <v>2.14</v>
      </c>
      <c r="I328" s="4" t="n">
        <v>3.71</v>
      </c>
      <c r="J328" s="2" t="n">
        <v>70</v>
      </c>
      <c r="K328" s="4" t="n">
        <v>1.36</v>
      </c>
      <c r="L328" s="4" t="n">
        <v>2.43</v>
      </c>
      <c r="M328" s="4">
        <f>B328*(G328/100)*(J328/100)</f>
        <v/>
      </c>
      <c r="N328" s="4">
        <f>B328*(F328/360/100)*E328*(J328/100)</f>
        <v/>
      </c>
      <c r="O328" s="4">
        <f>K328-M328+L328-N328</f>
        <v/>
      </c>
    </row>
    <row r="329">
      <c r="A329" s="2" t="inlineStr">
        <is>
          <t>A88641215</t>
        </is>
      </c>
      <c r="B329" s="4" t="n">
        <v>8290.200000000001</v>
      </c>
      <c r="C329" s="3" t="n">
        <v>46004</v>
      </c>
      <c r="D329" s="3" t="n">
        <v>46192</v>
      </c>
      <c r="E329" s="2" t="n">
        <v>23</v>
      </c>
      <c r="F329" s="2" t="n">
        <v>24.08</v>
      </c>
      <c r="G329" s="2" t="n">
        <v>1.16</v>
      </c>
      <c r="H329" s="4" t="n">
        <v>96.17</v>
      </c>
      <c r="I329" s="4" t="n">
        <v>127.54</v>
      </c>
      <c r="J329" s="2" t="n">
        <v>20</v>
      </c>
      <c r="K329" s="4" t="n">
        <v>19.53</v>
      </c>
      <c r="L329" s="4" t="n">
        <v>25.68</v>
      </c>
      <c r="M329" s="4">
        <f>B329*(G329/100)*(J329/100)</f>
        <v/>
      </c>
      <c r="N329" s="4">
        <f>B329*(F329/360/100)*E329*(J329/100)</f>
        <v/>
      </c>
      <c r="O329" s="4">
        <f>K329-M329+L329-N329</f>
        <v/>
      </c>
    </row>
    <row r="330">
      <c r="A330" s="2" t="inlineStr">
        <is>
          <t>A91178584</t>
        </is>
      </c>
      <c r="B330" s="4" t="n">
        <v>474.44</v>
      </c>
      <c r="C330" s="3" t="n">
        <v>46004</v>
      </c>
      <c r="D330" s="3" t="n">
        <v>46074</v>
      </c>
      <c r="E330" s="2" t="n">
        <v>70</v>
      </c>
      <c r="F330" s="2" t="n">
        <v>39.34</v>
      </c>
      <c r="G330" s="2" t="n">
        <v>2.44</v>
      </c>
      <c r="H330" s="4" t="n">
        <v>11.58</v>
      </c>
      <c r="I330" s="4" t="n">
        <v>36.29</v>
      </c>
      <c r="J330" s="2" t="n">
        <v>20</v>
      </c>
      <c r="K330" s="4" t="n">
        <v>2.51</v>
      </c>
      <c r="L330" s="4" t="n">
        <v>7.31</v>
      </c>
      <c r="M330" s="4">
        <f>B330*(G330/100)*(J330/100)</f>
        <v/>
      </c>
      <c r="N330" s="4">
        <f>B330*(F330/360/100)*E330*(J330/100)</f>
        <v/>
      </c>
      <c r="O330" s="4">
        <f>K330-M330+L330-N330</f>
        <v/>
      </c>
    </row>
    <row r="331">
      <c r="A331" s="2" t="inlineStr">
        <is>
          <t>A97986289</t>
        </is>
      </c>
      <c r="B331" s="4" t="n">
        <v>547.96</v>
      </c>
      <c r="C331" s="3" t="n">
        <v>46009</v>
      </c>
      <c r="D331" s="3" t="n">
        <v>46120</v>
      </c>
      <c r="E331" s="2" t="n">
        <v>22</v>
      </c>
      <c r="F331" s="2" t="n">
        <v>24.02</v>
      </c>
      <c r="G331" s="2" t="n">
        <v>1.44</v>
      </c>
      <c r="H331" s="4" t="n">
        <v>7.89</v>
      </c>
      <c r="I331" s="4" t="n">
        <v>8.039999999999999</v>
      </c>
      <c r="J331" s="2" t="n">
        <v>40</v>
      </c>
      <c r="K331" s="4" t="n">
        <v>2.97</v>
      </c>
      <c r="L331" s="4" t="n">
        <v>3.25</v>
      </c>
      <c r="M331" s="4">
        <f>B331*(G331/100)*(J331/100)</f>
        <v/>
      </c>
      <c r="N331" s="4">
        <f>B331*(F331/360/100)*E331*(J331/100)</f>
        <v/>
      </c>
      <c r="O331" s="4">
        <f>K331-M331+L331-N331</f>
        <v/>
      </c>
    </row>
    <row r="332">
      <c r="A332" s="2" t="inlineStr">
        <is>
          <t>A40233317</t>
        </is>
      </c>
      <c r="B332" s="4" t="n">
        <v>959.42</v>
      </c>
      <c r="C332" s="3" t="n">
        <v>45997</v>
      </c>
      <c r="D332" s="3" t="n">
        <v>46179</v>
      </c>
      <c r="E332" s="2" t="n">
        <v>47</v>
      </c>
      <c r="F332" s="2" t="n">
        <v>13.72</v>
      </c>
      <c r="G332" s="2" t="n">
        <v>0.83</v>
      </c>
      <c r="H332" s="4" t="n">
        <v>7.96</v>
      </c>
      <c r="I332" s="4" t="n">
        <v>17.19</v>
      </c>
      <c r="J332" s="2" t="n">
        <v>30</v>
      </c>
      <c r="K332" s="4" t="n">
        <v>2.51</v>
      </c>
      <c r="L332" s="4" t="n">
        <v>5.06</v>
      </c>
      <c r="M332" s="4">
        <f>B332*(G332/100)*(J332/100)</f>
        <v/>
      </c>
      <c r="N332" s="4">
        <f>B332*(F332/360/100)*E332*(J332/100)</f>
        <v/>
      </c>
      <c r="O332" s="4">
        <f>K332-M332+L332-N332</f>
        <v/>
      </c>
    </row>
    <row r="333">
      <c r="A333" s="2" t="inlineStr">
        <is>
          <t>A53714136</t>
        </is>
      </c>
      <c r="B333" s="4" t="n">
        <v>8380.879999999999</v>
      </c>
      <c r="C333" s="3" t="n">
        <v>46005</v>
      </c>
      <c r="D333" s="3" t="n">
        <v>46086</v>
      </c>
      <c r="E333" s="2" t="n">
        <v>58</v>
      </c>
      <c r="F333" s="2" t="n">
        <v>33.76</v>
      </c>
      <c r="G333" s="2" t="n">
        <v>0.5600000000000001</v>
      </c>
      <c r="H333" s="4" t="n">
        <v>46.93</v>
      </c>
      <c r="I333" s="4" t="n">
        <v>455.85</v>
      </c>
      <c r="J333" s="2" t="n">
        <v>20</v>
      </c>
      <c r="K333" s="4" t="n">
        <v>9.279999999999999</v>
      </c>
      <c r="L333" s="4" t="n">
        <v>91.08</v>
      </c>
      <c r="M333" s="4">
        <f>B333*(G333/100)*(J333/100)</f>
        <v/>
      </c>
      <c r="N333" s="4">
        <f>B333*(F333/360/100)*E333*(J333/100)</f>
        <v/>
      </c>
      <c r="O333" s="4">
        <f>K333-M333+L333-N333</f>
        <v/>
      </c>
    </row>
    <row r="334">
      <c r="A334" s="2" t="inlineStr">
        <is>
          <t>B99167751</t>
        </is>
      </c>
      <c r="B334" s="4" t="n">
        <v>676.63</v>
      </c>
      <c r="C334" s="3" t="n">
        <v>46019</v>
      </c>
      <c r="D334" s="3" t="n">
        <v>46176</v>
      </c>
      <c r="E334" s="2" t="n">
        <v>87</v>
      </c>
      <c r="F334" s="2" t="n">
        <v>24.77</v>
      </c>
      <c r="G334" s="2" t="n">
        <v>2.33</v>
      </c>
      <c r="H334" s="4" t="n">
        <v>15.77</v>
      </c>
      <c r="I334" s="4" t="n">
        <v>40.5</v>
      </c>
      <c r="J334" s="2" t="n">
        <v>20</v>
      </c>
      <c r="K334" s="4" t="n">
        <v>3.04</v>
      </c>
      <c r="L334" s="4" t="n">
        <v>8.24</v>
      </c>
      <c r="M334" s="4">
        <f>B334*(G334/100)*(J334/100)</f>
        <v/>
      </c>
      <c r="N334" s="4">
        <f>B334*(F334/360/100)*E334*(J334/100)</f>
        <v/>
      </c>
      <c r="O334" s="4">
        <f>K334-M334+L334-N334</f>
        <v/>
      </c>
    </row>
    <row r="335">
      <c r="A335" s="2" t="inlineStr">
        <is>
          <t>A04550291</t>
        </is>
      </c>
      <c r="B335" s="4" t="n">
        <v>359.51</v>
      </c>
      <c r="C335" s="3" t="n">
        <v>46004</v>
      </c>
      <c r="D335" s="3" t="n">
        <v>46135</v>
      </c>
      <c r="E335" s="2" t="n">
        <v>43</v>
      </c>
      <c r="F335" s="2" t="n">
        <v>13.46</v>
      </c>
      <c r="G335" s="2" t="n">
        <v>1.89</v>
      </c>
      <c r="H335" s="4" t="n">
        <v>6.79</v>
      </c>
      <c r="I335" s="4" t="n">
        <v>5.78</v>
      </c>
      <c r="J335" s="2" t="n">
        <v>30</v>
      </c>
      <c r="K335" s="4" t="n">
        <v>2.24</v>
      </c>
      <c r="L335" s="4" t="n">
        <v>1.75</v>
      </c>
      <c r="M335" s="4">
        <f>B335*(G335/100)*(J335/100)</f>
        <v/>
      </c>
      <c r="N335" s="4">
        <f>B335*(F335/360/100)*E335*(J335/100)</f>
        <v/>
      </c>
      <c r="O335" s="4">
        <f>K335-M335+L335-N335</f>
        <v/>
      </c>
    </row>
    <row r="336">
      <c r="A336" s="2" t="inlineStr">
        <is>
          <t>A07060948</t>
        </is>
      </c>
      <c r="B336" s="4" t="n">
        <v>611.08</v>
      </c>
      <c r="C336" s="3" t="n">
        <v>46005</v>
      </c>
      <c r="D336" s="3" t="n">
        <v>46032</v>
      </c>
      <c r="E336" s="2" t="n">
        <v>57</v>
      </c>
      <c r="F336" s="2" t="n">
        <v>33.3</v>
      </c>
      <c r="G336" s="2" t="n">
        <v>2.3</v>
      </c>
      <c r="H336" s="4" t="n">
        <v>14.05</v>
      </c>
      <c r="I336" s="4" t="n">
        <v>32.22</v>
      </c>
      <c r="J336" s="2" t="n">
        <v>70</v>
      </c>
      <c r="K336" s="4" t="n">
        <v>9.890000000000001</v>
      </c>
      <c r="L336" s="4" t="n">
        <v>22.52</v>
      </c>
      <c r="M336" s="4">
        <f>B336*(G336/100)*(J336/100)</f>
        <v/>
      </c>
      <c r="N336" s="4">
        <f>B336*(F336/360/100)*E336*(J336/100)</f>
        <v/>
      </c>
      <c r="O336" s="4">
        <f>K336-M336+L336-N336</f>
        <v/>
      </c>
    </row>
    <row r="337">
      <c r="A337" s="2" t="inlineStr">
        <is>
          <t>B70553437</t>
        </is>
      </c>
      <c r="B337" s="4" t="n">
        <v>308.32</v>
      </c>
      <c r="C337" s="3" t="n">
        <v>46002</v>
      </c>
      <c r="D337" s="3" t="n">
        <v>46195</v>
      </c>
      <c r="E337" s="2" t="n">
        <v>53</v>
      </c>
      <c r="F337" s="2" t="n">
        <v>21.18</v>
      </c>
      <c r="G337" s="2" t="n">
        <v>0.82</v>
      </c>
      <c r="H337" s="4" t="n">
        <v>2.53</v>
      </c>
      <c r="I337" s="4" t="n">
        <v>9.609999999999999</v>
      </c>
      <c r="J337" s="2" t="n">
        <v>40</v>
      </c>
      <c r="K337" s="4" t="n">
        <v>0.72</v>
      </c>
      <c r="L337" s="4" t="n">
        <v>4.14</v>
      </c>
      <c r="M337" s="4">
        <f>B337*(G337/100)*(J337/100)</f>
        <v/>
      </c>
      <c r="N337" s="4">
        <f>B337*(F337/360/100)*E337*(J337/100)</f>
        <v/>
      </c>
      <c r="O337" s="4">
        <f>K337-M337+L337-N337</f>
        <v/>
      </c>
    </row>
    <row r="338">
      <c r="A338" s="2" t="inlineStr">
        <is>
          <t>A87389155</t>
        </is>
      </c>
      <c r="B338" s="4" t="n">
        <v>273.5</v>
      </c>
      <c r="C338" s="3" t="n">
        <v>46003</v>
      </c>
      <c r="D338" s="3" t="n">
        <v>46054</v>
      </c>
      <c r="E338" s="2" t="n">
        <v>68</v>
      </c>
      <c r="F338" s="2" t="n">
        <v>39</v>
      </c>
      <c r="G338" s="2" t="n">
        <v>0.88</v>
      </c>
      <c r="H338" s="4" t="n">
        <v>2.41</v>
      </c>
      <c r="I338" s="4" t="n">
        <v>20.15</v>
      </c>
      <c r="J338" s="2" t="n">
        <v>70</v>
      </c>
      <c r="K338" s="4" t="n">
        <v>1.44</v>
      </c>
      <c r="L338" s="4" t="n">
        <v>14.05</v>
      </c>
      <c r="M338" s="4">
        <f>B338*(G338/100)*(J338/100)</f>
        <v/>
      </c>
      <c r="N338" s="4">
        <f>B338*(F338/360/100)*E338*(J338/100)</f>
        <v/>
      </c>
      <c r="O338" s="4">
        <f>K338-M338+L338-N338</f>
        <v/>
      </c>
    </row>
    <row r="339">
      <c r="A339" s="2" t="inlineStr">
        <is>
          <t>A15344900</t>
        </is>
      </c>
      <c r="B339" s="4" t="n">
        <v>465.31</v>
      </c>
      <c r="C339" s="3" t="n">
        <v>46013</v>
      </c>
      <c r="D339" s="3" t="n">
        <v>46166</v>
      </c>
      <c r="E339" s="2" t="n">
        <v>26</v>
      </c>
      <c r="F339" s="2" t="n">
        <v>27.16</v>
      </c>
      <c r="G339" s="2" t="n">
        <v>0.54</v>
      </c>
      <c r="H339" s="4" t="n">
        <v>2.51</v>
      </c>
      <c r="I339" s="4" t="n">
        <v>9.130000000000001</v>
      </c>
      <c r="J339" s="2" t="n">
        <v>50</v>
      </c>
      <c r="K339" s="4" t="n">
        <v>1.49</v>
      </c>
      <c r="L339" s="4" t="n">
        <v>4.65</v>
      </c>
      <c r="M339" s="4">
        <f>B339*(G339/100)*(J339/100)</f>
        <v/>
      </c>
      <c r="N339" s="4">
        <f>B339*(F339/360/100)*E339*(J339/100)</f>
        <v/>
      </c>
      <c r="O339" s="4">
        <f>K339-M339+L339-N339</f>
        <v/>
      </c>
    </row>
    <row r="340">
      <c r="A340" s="2" t="inlineStr">
        <is>
          <t>B13637077</t>
        </is>
      </c>
      <c r="B340" s="4" t="n">
        <v>990.53</v>
      </c>
      <c r="C340" s="3" t="n">
        <v>46007</v>
      </c>
      <c r="D340" s="3" t="n">
        <v>46166</v>
      </c>
      <c r="E340" s="2" t="n">
        <v>56</v>
      </c>
      <c r="F340" s="2" t="n">
        <v>19.96</v>
      </c>
      <c r="G340" s="2" t="n">
        <v>1.16</v>
      </c>
      <c r="H340" s="4" t="n">
        <v>11.49</v>
      </c>
      <c r="I340" s="4" t="n">
        <v>30.75</v>
      </c>
      <c r="J340" s="2" t="n">
        <v>30</v>
      </c>
      <c r="K340" s="4" t="n">
        <v>3.15</v>
      </c>
      <c r="L340" s="4" t="n">
        <v>9.5</v>
      </c>
      <c r="M340" s="4">
        <f>B340*(G340/100)*(J340/100)</f>
        <v/>
      </c>
      <c r="N340" s="4">
        <f>B340*(F340/360/100)*E340*(J340/100)</f>
        <v/>
      </c>
      <c r="O340" s="4">
        <f>K340-M340+L340-N340</f>
        <v/>
      </c>
    </row>
    <row r="341">
      <c r="A341" s="2" t="inlineStr">
        <is>
          <t>A92050707</t>
        </is>
      </c>
      <c r="B341" s="4" t="n">
        <v>788.64</v>
      </c>
      <c r="C341" s="3" t="n">
        <v>46011</v>
      </c>
      <c r="D341" s="3" t="n">
        <v>46134</v>
      </c>
      <c r="E341" s="2" t="n">
        <v>31</v>
      </c>
      <c r="F341" s="2" t="n">
        <v>34.89</v>
      </c>
      <c r="G341" s="2" t="n">
        <v>0.77</v>
      </c>
      <c r="H341" s="4" t="n">
        <v>6.07</v>
      </c>
      <c r="I341" s="4" t="n">
        <v>23.69</v>
      </c>
      <c r="J341" s="2" t="n">
        <v>70</v>
      </c>
      <c r="K341" s="4" t="n">
        <v>4.18</v>
      </c>
      <c r="L341" s="4" t="n">
        <v>16.48</v>
      </c>
      <c r="M341" s="4">
        <f>B341*(G341/100)*(J341/100)</f>
        <v/>
      </c>
      <c r="N341" s="4">
        <f>B341*(F341/360/100)*E341*(J341/100)</f>
        <v/>
      </c>
      <c r="O341" s="4">
        <f>K341-M341+L341-N341</f>
        <v/>
      </c>
    </row>
    <row r="342">
      <c r="A342" s="2" t="inlineStr">
        <is>
          <t>B80863469</t>
        </is>
      </c>
      <c r="B342" s="4" t="n">
        <v>742.86</v>
      </c>
      <c r="C342" s="3" t="n">
        <v>45994</v>
      </c>
      <c r="D342" s="3" t="n">
        <v>46062</v>
      </c>
      <c r="E342" s="2" t="n">
        <v>31</v>
      </c>
      <c r="F342" s="2" t="n">
        <v>28.95</v>
      </c>
      <c r="G342" s="2" t="n">
        <v>1.23</v>
      </c>
      <c r="H342" s="4" t="n">
        <v>9.140000000000001</v>
      </c>
      <c r="I342" s="4" t="n">
        <v>18.52</v>
      </c>
      <c r="J342" s="2" t="n">
        <v>30</v>
      </c>
      <c r="K342" s="4" t="n">
        <v>2.77</v>
      </c>
      <c r="L342" s="4" t="n">
        <v>5.78</v>
      </c>
      <c r="M342" s="4">
        <f>B342*(G342/100)*(J342/100)</f>
        <v/>
      </c>
      <c r="N342" s="4">
        <f>B342*(F342/360/100)*E342*(J342/100)</f>
        <v/>
      </c>
      <c r="O342" s="4">
        <f>K342-M342+L342-N342</f>
        <v/>
      </c>
    </row>
    <row r="343">
      <c r="A343" s="2" t="inlineStr">
        <is>
          <t>A85619710</t>
        </is>
      </c>
      <c r="B343" s="4" t="n">
        <v>4633.67</v>
      </c>
      <c r="C343" s="3" t="n">
        <v>46010</v>
      </c>
      <c r="D343" s="3" t="n">
        <v>46186</v>
      </c>
      <c r="E343" s="2" t="n">
        <v>38</v>
      </c>
      <c r="F343" s="2" t="n">
        <v>14.35</v>
      </c>
      <c r="G343" s="2" t="n">
        <v>1.6</v>
      </c>
      <c r="H343" s="4" t="n">
        <v>74.14</v>
      </c>
      <c r="I343" s="4" t="n">
        <v>70.19</v>
      </c>
      <c r="J343" s="2" t="n">
        <v>70</v>
      </c>
      <c r="K343" s="4" t="n">
        <v>52</v>
      </c>
      <c r="L343" s="4" t="n">
        <v>49.06</v>
      </c>
      <c r="M343" s="4">
        <f>B343*(G343/100)*(J343/100)</f>
        <v/>
      </c>
      <c r="N343" s="4">
        <f>B343*(F343/360/100)*E343*(J343/100)</f>
        <v/>
      </c>
      <c r="O343" s="4">
        <f>K343-M343+L343-N343</f>
        <v/>
      </c>
    </row>
    <row r="344">
      <c r="A344" s="2" t="inlineStr">
        <is>
          <t>A97064084</t>
        </is>
      </c>
      <c r="B344" s="4" t="n">
        <v>981.2</v>
      </c>
      <c r="C344" s="3" t="n">
        <v>46017</v>
      </c>
      <c r="D344" s="3" t="n">
        <v>46076</v>
      </c>
      <c r="E344" s="2" t="n">
        <v>35</v>
      </c>
      <c r="F344" s="2" t="n">
        <v>33.85</v>
      </c>
      <c r="G344" s="2" t="n">
        <v>2.28</v>
      </c>
      <c r="H344" s="4" t="n">
        <v>22.37</v>
      </c>
      <c r="I344" s="4" t="n">
        <v>32.29</v>
      </c>
      <c r="J344" s="2" t="n">
        <v>50</v>
      </c>
      <c r="K344" s="4" t="n">
        <v>11.01</v>
      </c>
      <c r="L344" s="4" t="n">
        <v>16.02</v>
      </c>
      <c r="M344" s="4">
        <f>B344*(G344/100)*(J344/100)</f>
        <v/>
      </c>
      <c r="N344" s="4">
        <f>B344*(F344/360/100)*E344*(J344/100)</f>
        <v/>
      </c>
      <c r="O344" s="4">
        <f>K344-M344+L344-N344</f>
        <v/>
      </c>
    </row>
    <row r="345">
      <c r="A345" s="2" t="inlineStr">
        <is>
          <t>A35612278</t>
        </is>
      </c>
      <c r="B345" s="4" t="n">
        <v>2717.59</v>
      </c>
      <c r="C345" s="3" t="n">
        <v>46015</v>
      </c>
      <c r="D345" s="3" t="n">
        <v>46160</v>
      </c>
      <c r="E345" s="2" t="n">
        <v>34</v>
      </c>
      <c r="F345" s="2" t="n">
        <v>35.06</v>
      </c>
      <c r="G345" s="2" t="n">
        <v>2.18</v>
      </c>
      <c r="H345" s="4" t="n">
        <v>59.24</v>
      </c>
      <c r="I345" s="4" t="n">
        <v>89.98999999999999</v>
      </c>
      <c r="J345" s="2" t="n">
        <v>40</v>
      </c>
      <c r="K345" s="4" t="n">
        <v>23.8</v>
      </c>
      <c r="L345" s="4" t="n">
        <v>35.71</v>
      </c>
      <c r="M345" s="4">
        <f>B345*(G345/100)*(J345/100)</f>
        <v/>
      </c>
      <c r="N345" s="4">
        <f>B345*(F345/360/100)*E345*(J345/100)</f>
        <v/>
      </c>
      <c r="O345" s="4">
        <f>K345-M345+L345-N345</f>
        <v/>
      </c>
    </row>
    <row r="346">
      <c r="A346" s="2" t="inlineStr">
        <is>
          <t>B81129641</t>
        </is>
      </c>
      <c r="B346" s="4" t="n">
        <v>109.15</v>
      </c>
      <c r="C346" s="3" t="n">
        <v>45994</v>
      </c>
      <c r="D346" s="3" t="n">
        <v>46136</v>
      </c>
      <c r="E346" s="2" t="n">
        <v>55</v>
      </c>
      <c r="F346" s="2" t="n">
        <v>42.54</v>
      </c>
      <c r="G346" s="2" t="n">
        <v>0.88</v>
      </c>
      <c r="H346" s="4" t="n">
        <v>0.96</v>
      </c>
      <c r="I346" s="4" t="n">
        <v>7.09</v>
      </c>
      <c r="J346" s="2" t="n">
        <v>30</v>
      </c>
      <c r="K346" s="4" t="n">
        <v>0.08</v>
      </c>
      <c r="L346" s="4" t="n">
        <v>1.93</v>
      </c>
      <c r="M346" s="4">
        <f>B346*(G346/100)*(J346/100)</f>
        <v/>
      </c>
      <c r="N346" s="4">
        <f>B346*(F346/360/100)*E346*(J346/100)</f>
        <v/>
      </c>
      <c r="O346" s="4">
        <f>K346-M346+L346-N346</f>
        <v/>
      </c>
    </row>
    <row r="347">
      <c r="A347" s="2" t="inlineStr">
        <is>
          <t>A45284342</t>
        </is>
      </c>
      <c r="B347" s="4" t="n">
        <v>952.2</v>
      </c>
      <c r="C347" s="3" t="n">
        <v>46017</v>
      </c>
      <c r="D347" s="3" t="n">
        <v>46107</v>
      </c>
      <c r="E347" s="2" t="n">
        <v>78</v>
      </c>
      <c r="F347" s="2" t="n">
        <v>39.92</v>
      </c>
      <c r="G347" s="2" t="n">
        <v>2.68</v>
      </c>
      <c r="H347" s="4" t="n">
        <v>25.52</v>
      </c>
      <c r="I347" s="4" t="n">
        <v>82.36</v>
      </c>
      <c r="J347" s="2" t="n">
        <v>30</v>
      </c>
      <c r="K347" s="4" t="n">
        <v>7.69</v>
      </c>
      <c r="L347" s="4" t="n">
        <v>24.67</v>
      </c>
      <c r="M347" s="4">
        <f>B347*(G347/100)*(J347/100)</f>
        <v/>
      </c>
      <c r="N347" s="4">
        <f>B347*(F347/360/100)*E347*(J347/100)</f>
        <v/>
      </c>
      <c r="O347" s="4">
        <f>K347-M347+L347-N347</f>
        <v/>
      </c>
    </row>
    <row r="348">
      <c r="A348" s="2" t="inlineStr">
        <is>
          <t>A51769846</t>
        </is>
      </c>
      <c r="B348" s="4" t="n">
        <v>619.73</v>
      </c>
      <c r="C348" s="3" t="n">
        <v>46002</v>
      </c>
      <c r="D348" s="3" t="n">
        <v>46197</v>
      </c>
      <c r="E348" s="2" t="n">
        <v>85</v>
      </c>
      <c r="F348" s="2" t="n">
        <v>30.96</v>
      </c>
      <c r="G348" s="2" t="n">
        <v>2.97</v>
      </c>
      <c r="H348" s="4" t="n">
        <v>18.41</v>
      </c>
      <c r="I348" s="4" t="n">
        <v>45.3</v>
      </c>
      <c r="J348" s="2" t="n">
        <v>60</v>
      </c>
      <c r="K348" s="4" t="n">
        <v>10.92</v>
      </c>
      <c r="L348" s="4" t="n">
        <v>27.32</v>
      </c>
      <c r="M348" s="4">
        <f>B348*(G348/100)*(J348/100)</f>
        <v/>
      </c>
      <c r="N348" s="4">
        <f>B348*(F348/360/100)*E348*(J348/100)</f>
        <v/>
      </c>
      <c r="O348" s="4">
        <f>K348-M348+L348-N348</f>
        <v/>
      </c>
    </row>
    <row r="349">
      <c r="A349" s="2" t="inlineStr">
        <is>
          <t>B82073619</t>
        </is>
      </c>
      <c r="B349" s="4" t="n">
        <v>887.99</v>
      </c>
      <c r="C349" s="3" t="n">
        <v>45994</v>
      </c>
      <c r="D349" s="3" t="n">
        <v>46159</v>
      </c>
      <c r="E349" s="2" t="n">
        <v>21</v>
      </c>
      <c r="F349" s="2" t="n">
        <v>23.38</v>
      </c>
      <c r="G349" s="2" t="n">
        <v>0.88</v>
      </c>
      <c r="H349" s="4" t="n">
        <v>7.81</v>
      </c>
      <c r="I349" s="4" t="n">
        <v>12.11</v>
      </c>
      <c r="J349" s="2" t="n">
        <v>50</v>
      </c>
      <c r="K349" s="4" t="n">
        <v>3.95</v>
      </c>
      <c r="L349" s="4" t="n">
        <v>6.08</v>
      </c>
      <c r="M349" s="4">
        <f>B349*(G349/100)*(J349/100)</f>
        <v/>
      </c>
      <c r="N349" s="4">
        <f>B349*(F349/360/100)*E349*(J349/100)</f>
        <v/>
      </c>
      <c r="O349" s="4">
        <f>K349-M349+L349-N349</f>
        <v/>
      </c>
    </row>
    <row r="350">
      <c r="A350" s="2" t="inlineStr">
        <is>
          <t>B24227649</t>
        </is>
      </c>
      <c r="B350" s="4" t="n">
        <v>112.5</v>
      </c>
      <c r="C350" s="3" t="n">
        <v>46016</v>
      </c>
      <c r="D350" s="3" t="n">
        <v>46094</v>
      </c>
      <c r="E350" s="2" t="n">
        <v>17</v>
      </c>
      <c r="F350" s="2" t="n">
        <v>46.75</v>
      </c>
      <c r="G350" s="2" t="n">
        <v>1.11</v>
      </c>
      <c r="H350" s="4" t="n">
        <v>1.25</v>
      </c>
      <c r="I350" s="4" t="n">
        <v>2.48</v>
      </c>
      <c r="J350" s="2" t="n">
        <v>70</v>
      </c>
      <c r="K350" s="4" t="n">
        <v>1.14</v>
      </c>
      <c r="L350" s="4" t="n">
        <v>1.55</v>
      </c>
      <c r="M350" s="4">
        <f>B350*(G350/100)*(J350/100)</f>
        <v/>
      </c>
      <c r="N350" s="4">
        <f>B350*(F350/360/100)*E350*(J350/100)</f>
        <v/>
      </c>
      <c r="O350" s="4">
        <f>K350-M350+L350-N350</f>
        <v/>
      </c>
    </row>
    <row r="351">
      <c r="A351" s="2" t="inlineStr">
        <is>
          <t>A17474860</t>
        </is>
      </c>
      <c r="B351" s="4" t="n">
        <v>571.17</v>
      </c>
      <c r="C351" s="3" t="n">
        <v>45992</v>
      </c>
      <c r="D351" s="3" t="n">
        <v>46037</v>
      </c>
      <c r="E351" s="2" t="n">
        <v>87</v>
      </c>
      <c r="F351" s="2" t="n">
        <v>47.32</v>
      </c>
      <c r="G351" s="2" t="n">
        <v>2.03</v>
      </c>
      <c r="H351" s="4" t="n">
        <v>11.59</v>
      </c>
      <c r="I351" s="4" t="n">
        <v>65.31999999999999</v>
      </c>
      <c r="J351" s="2" t="n">
        <v>50</v>
      </c>
      <c r="K351" s="4" t="n">
        <v>6.03</v>
      </c>
      <c r="L351" s="4" t="n">
        <v>32.89</v>
      </c>
      <c r="M351" s="4">
        <f>B351*(G351/100)*(J351/100)</f>
        <v/>
      </c>
      <c r="N351" s="4">
        <f>B351*(F351/360/100)*E351*(J351/100)</f>
        <v/>
      </c>
      <c r="O351" s="4">
        <f>K351-M351+L351-N351</f>
        <v/>
      </c>
    </row>
    <row r="352">
      <c r="A352" s="2" t="inlineStr">
        <is>
          <t>B65377603</t>
        </is>
      </c>
      <c r="B352" s="4" t="n">
        <v>3440.84</v>
      </c>
      <c r="C352" s="3" t="n">
        <v>45995</v>
      </c>
      <c r="D352" s="3" t="n">
        <v>46128</v>
      </c>
      <c r="E352" s="2" t="n">
        <v>45</v>
      </c>
      <c r="F352" s="2" t="n">
        <v>17.23</v>
      </c>
      <c r="G352" s="2" t="n">
        <v>0.73</v>
      </c>
      <c r="H352" s="4" t="n">
        <v>25.12</v>
      </c>
      <c r="I352" s="4" t="n">
        <v>74.11</v>
      </c>
      <c r="J352" s="2" t="n">
        <v>70</v>
      </c>
      <c r="K352" s="4" t="n">
        <v>17.53</v>
      </c>
      <c r="L352" s="4" t="n">
        <v>51.61</v>
      </c>
      <c r="M352" s="4">
        <f>B352*(G352/100)*(J352/100)</f>
        <v/>
      </c>
      <c r="N352" s="4">
        <f>B352*(F352/360/100)*E352*(J352/100)</f>
        <v/>
      </c>
      <c r="O352" s="4">
        <f>K352-M352+L352-N352</f>
        <v/>
      </c>
    </row>
    <row r="353">
      <c r="A353" s="2" t="inlineStr">
        <is>
          <t>A62518559</t>
        </is>
      </c>
      <c r="B353" s="4" t="n">
        <v>451.74</v>
      </c>
      <c r="C353" s="3" t="n">
        <v>45995</v>
      </c>
      <c r="D353" s="3" t="n">
        <v>46059</v>
      </c>
      <c r="E353" s="2" t="n">
        <v>75</v>
      </c>
      <c r="F353" s="2" t="n">
        <v>25.79</v>
      </c>
      <c r="G353" s="2" t="n">
        <v>1.31</v>
      </c>
      <c r="H353" s="4" t="n">
        <v>5.92</v>
      </c>
      <c r="I353" s="4" t="n">
        <v>24.27</v>
      </c>
      <c r="J353" s="2" t="n">
        <v>30</v>
      </c>
      <c r="K353" s="4" t="n">
        <v>1.75</v>
      </c>
      <c r="L353" s="4" t="n">
        <v>7.38</v>
      </c>
      <c r="M353" s="4">
        <f>B353*(G353/100)*(J353/100)</f>
        <v/>
      </c>
      <c r="N353" s="4">
        <f>B353*(F353/360/100)*E353*(J353/100)</f>
        <v/>
      </c>
      <c r="O353" s="4">
        <f>K353-M353+L353-N353</f>
        <v/>
      </c>
    </row>
    <row r="354">
      <c r="A354" s="2" t="inlineStr">
        <is>
          <t>B38463795</t>
        </is>
      </c>
      <c r="B354" s="4" t="n">
        <v>502.49</v>
      </c>
      <c r="C354" s="3" t="n">
        <v>45997</v>
      </c>
      <c r="D354" s="3" t="n">
        <v>46174</v>
      </c>
      <c r="E354" s="2" t="n">
        <v>49</v>
      </c>
      <c r="F354" s="2" t="n">
        <v>48.82</v>
      </c>
      <c r="G354" s="2" t="n">
        <v>2.38</v>
      </c>
      <c r="H354" s="4" t="n">
        <v>11.96</v>
      </c>
      <c r="I354" s="4" t="n">
        <v>33.39</v>
      </c>
      <c r="J354" s="2" t="n">
        <v>60</v>
      </c>
      <c r="K354" s="4" t="n">
        <v>7.34</v>
      </c>
      <c r="L354" s="4" t="n">
        <v>20.22</v>
      </c>
      <c r="M354" s="4">
        <f>B354*(G354/100)*(J354/100)</f>
        <v/>
      </c>
      <c r="N354" s="4">
        <f>B354*(F354/360/100)*E354*(J354/100)</f>
        <v/>
      </c>
      <c r="O354" s="4">
        <f>K354-M354+L354-N354</f>
        <v/>
      </c>
    </row>
    <row r="355">
      <c r="A355" s="2" t="inlineStr">
        <is>
          <t>B86871338</t>
        </is>
      </c>
      <c r="B355" s="4" t="n">
        <v>816.1</v>
      </c>
      <c r="C355" s="3" t="n">
        <v>45996</v>
      </c>
      <c r="D355" s="3" t="n">
        <v>46024</v>
      </c>
      <c r="E355" s="2" t="n">
        <v>61</v>
      </c>
      <c r="F355" s="2" t="n">
        <v>41.94</v>
      </c>
      <c r="G355" s="2" t="n">
        <v>2.26</v>
      </c>
      <c r="H355" s="4" t="n">
        <v>18.44</v>
      </c>
      <c r="I355" s="4" t="n">
        <v>58</v>
      </c>
      <c r="J355" s="2" t="n">
        <v>60</v>
      </c>
      <c r="K355" s="4" t="n">
        <v>11.09</v>
      </c>
      <c r="L355" s="4" t="n">
        <v>34.57</v>
      </c>
      <c r="M355" s="4">
        <f>B355*(G355/100)*(J355/100)</f>
        <v/>
      </c>
      <c r="N355" s="4">
        <f>B355*(F355/360/100)*E355*(J355/100)</f>
        <v/>
      </c>
      <c r="O355" s="4">
        <f>K355-M355+L355-N355</f>
        <v/>
      </c>
    </row>
    <row r="356">
      <c r="A356" s="2" t="inlineStr">
        <is>
          <t>A91945379</t>
        </is>
      </c>
      <c r="B356" s="4" t="n">
        <v>6657.92</v>
      </c>
      <c r="C356" s="3" t="n">
        <v>45993</v>
      </c>
      <c r="D356" s="3" t="n">
        <v>46119</v>
      </c>
      <c r="E356" s="2" t="n">
        <v>27</v>
      </c>
      <c r="F356" s="2" t="n">
        <v>28.06</v>
      </c>
      <c r="G356" s="2" t="n">
        <v>1.95</v>
      </c>
      <c r="H356" s="4" t="n">
        <v>129.83</v>
      </c>
      <c r="I356" s="4" t="n">
        <v>140.12</v>
      </c>
      <c r="J356" s="2" t="n">
        <v>50</v>
      </c>
      <c r="K356" s="4" t="n">
        <v>64.63</v>
      </c>
      <c r="L356" s="4" t="n">
        <v>69.92</v>
      </c>
      <c r="M356" s="4">
        <f>B356*(G356/100)*(J356/100)</f>
        <v/>
      </c>
      <c r="N356" s="4">
        <f>B356*(F356/360/100)*E356*(J356/100)</f>
        <v/>
      </c>
      <c r="O356" s="4">
        <f>K356-M356+L356-N356</f>
        <v/>
      </c>
    </row>
    <row r="357">
      <c r="A357" s="2" t="inlineStr">
        <is>
          <t>B27888512</t>
        </is>
      </c>
      <c r="B357" s="4" t="n">
        <v>8152.34</v>
      </c>
      <c r="C357" s="3" t="n">
        <v>46005</v>
      </c>
      <c r="D357" s="3" t="n">
        <v>46131</v>
      </c>
      <c r="E357" s="2" t="n">
        <v>11</v>
      </c>
      <c r="F357" s="2" t="n">
        <v>23.54</v>
      </c>
      <c r="G357" s="2" t="n">
        <v>1.4</v>
      </c>
      <c r="H357" s="4" t="n">
        <v>114.13</v>
      </c>
      <c r="I357" s="4" t="n">
        <v>58.64</v>
      </c>
      <c r="J357" s="2" t="n">
        <v>60</v>
      </c>
      <c r="K357" s="4" t="n">
        <v>68.67</v>
      </c>
      <c r="L357" s="4" t="n">
        <v>35.44</v>
      </c>
      <c r="M357" s="4">
        <f>B357*(G357/100)*(J357/100)</f>
        <v/>
      </c>
      <c r="N357" s="4">
        <f>B357*(F357/360/100)*E357*(J357/100)</f>
        <v/>
      </c>
      <c r="O357" s="4">
        <f>K357-M357+L357-N357</f>
        <v/>
      </c>
    </row>
    <row r="358">
      <c r="A358" s="2" t="inlineStr">
        <is>
          <t>A14358012</t>
        </is>
      </c>
      <c r="B358" s="4" t="n">
        <v>818</v>
      </c>
      <c r="C358" s="3" t="n">
        <v>46012</v>
      </c>
      <c r="D358" s="3" t="n">
        <v>46030</v>
      </c>
      <c r="E358" s="2" t="n">
        <v>78</v>
      </c>
      <c r="F358" s="2" t="n">
        <v>28.91</v>
      </c>
      <c r="G358" s="2" t="n">
        <v>1.48</v>
      </c>
      <c r="H358" s="4" t="n">
        <v>12.11</v>
      </c>
      <c r="I358" s="4" t="n">
        <v>51.24</v>
      </c>
      <c r="J358" s="2" t="n">
        <v>60</v>
      </c>
      <c r="K358" s="4" t="n">
        <v>7.5</v>
      </c>
      <c r="L358" s="4" t="n">
        <v>30.84</v>
      </c>
      <c r="M358" s="4">
        <f>B358*(G358/100)*(J358/100)</f>
        <v/>
      </c>
      <c r="N358" s="4">
        <f>B358*(F358/360/100)*E358*(J358/100)</f>
        <v/>
      </c>
      <c r="O358" s="4">
        <f>K358-M358+L358-N358</f>
        <v/>
      </c>
    </row>
    <row r="359">
      <c r="A359" s="2" t="inlineStr">
        <is>
          <t>B22243305</t>
        </is>
      </c>
      <c r="B359" s="4" t="n">
        <v>775.67</v>
      </c>
      <c r="C359" s="3" t="n">
        <v>46014</v>
      </c>
      <c r="D359" s="3" t="n">
        <v>46139</v>
      </c>
      <c r="E359" s="2" t="n">
        <v>37</v>
      </c>
      <c r="F359" s="2" t="n">
        <v>21.53</v>
      </c>
      <c r="G359" s="2" t="n">
        <v>2.37</v>
      </c>
      <c r="H359" s="4" t="n">
        <v>18.38</v>
      </c>
      <c r="I359" s="4" t="n">
        <v>17.16</v>
      </c>
      <c r="J359" s="2" t="n">
        <v>20</v>
      </c>
      <c r="K359" s="4" t="n">
        <v>3.77</v>
      </c>
      <c r="L359" s="4" t="n">
        <v>3.16</v>
      </c>
      <c r="M359" s="4">
        <f>B359*(G359/100)*(J359/100)</f>
        <v/>
      </c>
      <c r="N359" s="4">
        <f>B359*(F359/360/100)*E359*(J359/100)</f>
        <v/>
      </c>
      <c r="O359" s="4">
        <f>K359-M359+L359-N359</f>
        <v/>
      </c>
    </row>
    <row r="360">
      <c r="A360" s="2" t="inlineStr">
        <is>
          <t>A35184746</t>
        </is>
      </c>
      <c r="B360" s="4" t="n">
        <v>734.15</v>
      </c>
      <c r="C360" s="3" t="n">
        <v>46017</v>
      </c>
      <c r="D360" s="3" t="n">
        <v>46190</v>
      </c>
      <c r="E360" s="2" t="n">
        <v>53</v>
      </c>
      <c r="F360" s="2" t="n">
        <v>29.92</v>
      </c>
      <c r="G360" s="2" t="n">
        <v>1.41</v>
      </c>
      <c r="H360" s="4" t="n">
        <v>10.35</v>
      </c>
      <c r="I360" s="4" t="n">
        <v>32.34</v>
      </c>
      <c r="J360" s="2" t="n">
        <v>30</v>
      </c>
      <c r="K360" s="4" t="n">
        <v>3.19</v>
      </c>
      <c r="L360" s="4" t="n">
        <v>9.66</v>
      </c>
      <c r="M360" s="4">
        <f>B360*(G360/100)*(J360/100)</f>
        <v/>
      </c>
      <c r="N360" s="4">
        <f>B360*(F360/360/100)*E360*(J360/100)</f>
        <v/>
      </c>
      <c r="O360" s="4">
        <f>K360-M360+L360-N360</f>
        <v/>
      </c>
    </row>
    <row r="361">
      <c r="A361" s="2" t="inlineStr">
        <is>
          <t>B63033707</t>
        </is>
      </c>
      <c r="B361" s="4" t="n">
        <v>822.9</v>
      </c>
      <c r="C361" s="3" t="n">
        <v>45997</v>
      </c>
      <c r="D361" s="3" t="n">
        <v>46133</v>
      </c>
      <c r="E361" s="2" t="n">
        <v>25</v>
      </c>
      <c r="F361" s="2" t="n">
        <v>29.22</v>
      </c>
      <c r="G361" s="2" t="n">
        <v>1.96</v>
      </c>
      <c r="H361" s="4" t="n">
        <v>16.13</v>
      </c>
      <c r="I361" s="4" t="n">
        <v>16.7</v>
      </c>
      <c r="J361" s="2" t="n">
        <v>20</v>
      </c>
      <c r="K361" s="4" t="n">
        <v>3.28</v>
      </c>
      <c r="L361" s="4" t="n">
        <v>3.43</v>
      </c>
      <c r="M361" s="4">
        <f>B361*(G361/100)*(J361/100)</f>
        <v/>
      </c>
      <c r="N361" s="4">
        <f>B361*(F361/360/100)*E361*(J361/100)</f>
        <v/>
      </c>
      <c r="O361" s="4">
        <f>K361-M361+L361-N361</f>
        <v/>
      </c>
    </row>
    <row r="362">
      <c r="A362" s="2" t="inlineStr">
        <is>
          <t>A14442952</t>
        </is>
      </c>
      <c r="B362" s="4" t="n">
        <v>592.3</v>
      </c>
      <c r="C362" s="3" t="n">
        <v>45995</v>
      </c>
      <c r="D362" s="3" t="n">
        <v>46045</v>
      </c>
      <c r="E362" s="2" t="n">
        <v>78</v>
      </c>
      <c r="F362" s="2" t="n">
        <v>32.99</v>
      </c>
      <c r="G362" s="2" t="n">
        <v>0.7</v>
      </c>
      <c r="H362" s="4" t="n">
        <v>4.15</v>
      </c>
      <c r="I362" s="4" t="n">
        <v>42.34</v>
      </c>
      <c r="J362" s="2" t="n">
        <v>60</v>
      </c>
      <c r="K362" s="4" t="n">
        <v>2.73</v>
      </c>
      <c r="L362" s="4" t="n">
        <v>25.65</v>
      </c>
      <c r="M362" s="4">
        <f>B362*(G362/100)*(J362/100)</f>
        <v/>
      </c>
      <c r="N362" s="4">
        <f>B362*(F362/360/100)*E362*(J362/100)</f>
        <v/>
      </c>
      <c r="O362" s="4">
        <f>K362-M362+L362-N362</f>
        <v/>
      </c>
    </row>
    <row r="363">
      <c r="A363" s="2" t="inlineStr">
        <is>
          <t>B83669934</t>
        </is>
      </c>
      <c r="B363" s="4" t="n">
        <v>994.04</v>
      </c>
      <c r="C363" s="3" t="n">
        <v>46018</v>
      </c>
      <c r="D363" s="3" t="n">
        <v>46163</v>
      </c>
      <c r="E363" s="2" t="n">
        <v>34</v>
      </c>
      <c r="F363" s="2" t="n">
        <v>46.32</v>
      </c>
      <c r="G363" s="2" t="n">
        <v>2.23</v>
      </c>
      <c r="H363" s="4" t="n">
        <v>22.17</v>
      </c>
      <c r="I363" s="4" t="n">
        <v>43.49</v>
      </c>
      <c r="J363" s="2" t="n">
        <v>30</v>
      </c>
      <c r="K363" s="4" t="n">
        <v>6.69</v>
      </c>
      <c r="L363" s="4" t="n">
        <v>13.25</v>
      </c>
      <c r="M363" s="4">
        <f>B363*(G363/100)*(J363/100)</f>
        <v/>
      </c>
      <c r="N363" s="4">
        <f>B363*(F363/360/100)*E363*(J363/100)</f>
        <v/>
      </c>
      <c r="O363" s="4">
        <f>K363-M363+L363-N363</f>
        <v/>
      </c>
    </row>
    <row r="364">
      <c r="A364" s="2" t="inlineStr">
        <is>
          <t>A89762365</t>
        </is>
      </c>
      <c r="B364" s="4" t="n">
        <v>9763.139999999999</v>
      </c>
      <c r="C364" s="3" t="n">
        <v>46015</v>
      </c>
      <c r="D364" s="3" t="n">
        <v>46099</v>
      </c>
      <c r="E364" s="2" t="n">
        <v>10</v>
      </c>
      <c r="F364" s="2" t="n">
        <v>26.72</v>
      </c>
      <c r="G364" s="2" t="n">
        <v>2.46</v>
      </c>
      <c r="H364" s="4" t="n">
        <v>240.17</v>
      </c>
      <c r="I364" s="4" t="n">
        <v>72.45999999999999</v>
      </c>
      <c r="J364" s="2" t="n">
        <v>20</v>
      </c>
      <c r="K364" s="4" t="n">
        <v>48.11</v>
      </c>
      <c r="L364" s="4" t="n">
        <v>14.58</v>
      </c>
      <c r="M364" s="4">
        <f>B364*(G364/100)*(J364/100)</f>
        <v/>
      </c>
      <c r="N364" s="4">
        <f>B364*(F364/360/100)*E364*(J364/100)</f>
        <v/>
      </c>
      <c r="O364" s="4">
        <f>K364-M364+L364-N364</f>
        <v/>
      </c>
    </row>
    <row r="365">
      <c r="A365" s="2" t="inlineStr">
        <is>
          <t>B56764875</t>
        </is>
      </c>
      <c r="B365" s="4" t="n">
        <v>6169.65</v>
      </c>
      <c r="C365" s="3" t="n">
        <v>46005</v>
      </c>
      <c r="D365" s="3" t="n">
        <v>46107</v>
      </c>
      <c r="E365" s="2" t="n">
        <v>68</v>
      </c>
      <c r="F365" s="2" t="n">
        <v>15.78</v>
      </c>
      <c r="G365" s="2" t="n">
        <v>0.8</v>
      </c>
      <c r="H365" s="4" t="n">
        <v>49.36</v>
      </c>
      <c r="I365" s="4" t="n">
        <v>183.9</v>
      </c>
      <c r="J365" s="2" t="n">
        <v>20</v>
      </c>
      <c r="K365" s="4" t="n">
        <v>9.65</v>
      </c>
      <c r="L365" s="4" t="n">
        <v>36.92</v>
      </c>
      <c r="M365" s="4">
        <f>B365*(G365/100)*(J365/100)</f>
        <v/>
      </c>
      <c r="N365" s="4">
        <f>B365*(F365/360/100)*E365*(J365/100)</f>
        <v/>
      </c>
      <c r="O365" s="4">
        <f>K365-M365+L365-N365</f>
        <v/>
      </c>
    </row>
    <row r="366">
      <c r="A366" s="2" t="inlineStr">
        <is>
          <t>B40372855</t>
        </is>
      </c>
      <c r="B366" s="4" t="n">
        <v>3632.94</v>
      </c>
      <c r="C366" s="3" t="n">
        <v>46009</v>
      </c>
      <c r="D366" s="3" t="n">
        <v>46194</v>
      </c>
      <c r="E366" s="2" t="n">
        <v>25</v>
      </c>
      <c r="F366" s="2" t="n">
        <v>24.34</v>
      </c>
      <c r="G366" s="2" t="n">
        <v>2.2</v>
      </c>
      <c r="H366" s="4" t="n">
        <v>79.92</v>
      </c>
      <c r="I366" s="4" t="n">
        <v>61.41</v>
      </c>
      <c r="J366" s="2" t="n">
        <v>20</v>
      </c>
      <c r="K366" s="4" t="n">
        <v>16.04</v>
      </c>
      <c r="L366" s="4" t="n">
        <v>12.49</v>
      </c>
      <c r="M366" s="4">
        <f>B366*(G366/100)*(J366/100)</f>
        <v/>
      </c>
      <c r="N366" s="4">
        <f>B366*(F366/360/100)*E366*(J366/100)</f>
        <v/>
      </c>
      <c r="O366" s="4">
        <f>K366-M366+L366-N366</f>
        <v/>
      </c>
    </row>
    <row r="367">
      <c r="A367" s="2" t="inlineStr">
        <is>
          <t>B80558786</t>
        </is>
      </c>
      <c r="B367" s="4" t="n">
        <v>468.93</v>
      </c>
      <c r="C367" s="3" t="n">
        <v>46005</v>
      </c>
      <c r="D367" s="3" t="n">
        <v>46027</v>
      </c>
      <c r="E367" s="2" t="n">
        <v>44</v>
      </c>
      <c r="F367" s="2" t="n">
        <v>10.89</v>
      </c>
      <c r="G367" s="2" t="n">
        <v>2.51</v>
      </c>
      <c r="H367" s="4" t="n">
        <v>11.77</v>
      </c>
      <c r="I367" s="4" t="n">
        <v>6.24</v>
      </c>
      <c r="J367" s="2" t="n">
        <v>60</v>
      </c>
      <c r="K367" s="4" t="n">
        <v>7.16</v>
      </c>
      <c r="L367" s="4" t="n">
        <v>3.49</v>
      </c>
      <c r="M367" s="4">
        <f>B367*(G367/100)*(J367/100)</f>
        <v/>
      </c>
      <c r="N367" s="4">
        <f>B367*(F367/360/100)*E367*(J367/100)</f>
        <v/>
      </c>
      <c r="O367" s="4">
        <f>K367-M367+L367-N367</f>
        <v/>
      </c>
    </row>
    <row r="368">
      <c r="A368" s="2" t="inlineStr">
        <is>
          <t>B73164069</t>
        </is>
      </c>
      <c r="B368" s="4" t="n">
        <v>478.19</v>
      </c>
      <c r="C368" s="3" t="n">
        <v>46007</v>
      </c>
      <c r="D368" s="3" t="n">
        <v>46099</v>
      </c>
      <c r="E368" s="2" t="n">
        <v>34</v>
      </c>
      <c r="F368" s="2" t="n">
        <v>32.81</v>
      </c>
      <c r="G368" s="2" t="n">
        <v>2.75</v>
      </c>
      <c r="H368" s="4" t="n">
        <v>13.15</v>
      </c>
      <c r="I368" s="4" t="n">
        <v>14.82</v>
      </c>
      <c r="J368" s="2" t="n">
        <v>30</v>
      </c>
      <c r="K368" s="4" t="n">
        <v>3.86</v>
      </c>
      <c r="L368" s="4" t="n">
        <v>4.74</v>
      </c>
      <c r="M368" s="4">
        <f>B368*(G368/100)*(J368/100)</f>
        <v/>
      </c>
      <c r="N368" s="4">
        <f>B368*(F368/360/100)*E368*(J368/100)</f>
        <v/>
      </c>
      <c r="O368" s="4">
        <f>K368-M368+L368-N368</f>
        <v/>
      </c>
    </row>
    <row r="369">
      <c r="A369" s="2" t="inlineStr">
        <is>
          <t>B47657785</t>
        </is>
      </c>
      <c r="B369" s="4" t="n">
        <v>143.96</v>
      </c>
      <c r="C369" s="3" t="n">
        <v>45999</v>
      </c>
      <c r="D369" s="3" t="n">
        <v>46168</v>
      </c>
      <c r="E369" s="2" t="n">
        <v>44</v>
      </c>
      <c r="F369" s="2" t="n">
        <v>38.68</v>
      </c>
      <c r="G369" s="2" t="n">
        <v>2.77</v>
      </c>
      <c r="H369" s="4" t="n">
        <v>3.99</v>
      </c>
      <c r="I369" s="4" t="n">
        <v>6.81</v>
      </c>
      <c r="J369" s="2" t="n">
        <v>50</v>
      </c>
      <c r="K369" s="4" t="n">
        <v>2.19</v>
      </c>
      <c r="L369" s="4" t="n">
        <v>3.51</v>
      </c>
      <c r="M369" s="4">
        <f>B369*(G369/100)*(J369/100)</f>
        <v/>
      </c>
      <c r="N369" s="4">
        <f>B369*(F369/360/100)*E369*(J369/100)</f>
        <v/>
      </c>
      <c r="O369" s="4">
        <f>K369-M369+L369-N369</f>
        <v/>
      </c>
    </row>
    <row r="370">
      <c r="A370" s="2" t="inlineStr">
        <is>
          <t>B36620852</t>
        </is>
      </c>
      <c r="B370" s="4" t="n">
        <v>847.28</v>
      </c>
      <c r="C370" s="3" t="n">
        <v>45994</v>
      </c>
      <c r="D370" s="3" t="n">
        <v>46062</v>
      </c>
      <c r="E370" s="2" t="n">
        <v>58</v>
      </c>
      <c r="F370" s="2" t="n">
        <v>20.33</v>
      </c>
      <c r="G370" s="2" t="n">
        <v>0.63</v>
      </c>
      <c r="H370" s="4" t="n">
        <v>5.34</v>
      </c>
      <c r="I370" s="4" t="n">
        <v>27.75</v>
      </c>
      <c r="J370" s="2" t="n">
        <v>30</v>
      </c>
      <c r="K370" s="4" t="n">
        <v>1.84</v>
      </c>
      <c r="L370" s="4" t="n">
        <v>8.57</v>
      </c>
      <c r="M370" s="4">
        <f>B370*(G370/100)*(J370/100)</f>
        <v/>
      </c>
      <c r="N370" s="4">
        <f>B370*(F370/360/100)*E370*(J370/100)</f>
        <v/>
      </c>
      <c r="O370" s="4">
        <f>K370-M370+L370-N370</f>
        <v/>
      </c>
    </row>
    <row r="371">
      <c r="A371" s="2" t="inlineStr">
        <is>
          <t>A26123274</t>
        </is>
      </c>
      <c r="B371" s="4" t="n">
        <v>1726.53</v>
      </c>
      <c r="C371" s="3" t="n">
        <v>45997</v>
      </c>
      <c r="D371" s="3" t="n">
        <v>46078</v>
      </c>
      <c r="E371" s="2" t="n">
        <v>15</v>
      </c>
      <c r="F371" s="2" t="n">
        <v>31.62</v>
      </c>
      <c r="G371" s="2" t="n">
        <v>2.86</v>
      </c>
      <c r="H371" s="4" t="n">
        <v>49.38</v>
      </c>
      <c r="I371" s="4" t="n">
        <v>22.75</v>
      </c>
      <c r="J371" s="2" t="n">
        <v>20</v>
      </c>
      <c r="K371" s="4" t="n">
        <v>10.02</v>
      </c>
      <c r="L371" s="4" t="n">
        <v>4.36</v>
      </c>
      <c r="M371" s="4">
        <f>B371*(G371/100)*(J371/100)</f>
        <v/>
      </c>
      <c r="N371" s="4">
        <f>B371*(F371/360/100)*E371*(J371/100)</f>
        <v/>
      </c>
      <c r="O371" s="4">
        <f>K371-M371+L371-N371</f>
        <v/>
      </c>
    </row>
    <row r="372">
      <c r="A372" s="2" t="inlineStr">
        <is>
          <t>B97041895</t>
        </is>
      </c>
      <c r="B372" s="4" t="n">
        <v>671.98</v>
      </c>
      <c r="C372" s="3" t="n">
        <v>46007</v>
      </c>
      <c r="D372" s="3" t="n">
        <v>46061</v>
      </c>
      <c r="E372" s="2" t="n">
        <v>41</v>
      </c>
      <c r="F372" s="2" t="n">
        <v>17.05</v>
      </c>
      <c r="G372" s="2" t="n">
        <v>0.89</v>
      </c>
      <c r="H372" s="4" t="n">
        <v>5.98</v>
      </c>
      <c r="I372" s="4" t="n">
        <v>13.05</v>
      </c>
      <c r="J372" s="2" t="n">
        <v>40</v>
      </c>
      <c r="K372" s="4" t="n">
        <v>2.25</v>
      </c>
      <c r="L372" s="4" t="n">
        <v>5.24</v>
      </c>
      <c r="M372" s="4">
        <f>B372*(G372/100)*(J372/100)</f>
        <v/>
      </c>
      <c r="N372" s="4">
        <f>B372*(F372/360/100)*E372*(J372/100)</f>
        <v/>
      </c>
      <c r="O372" s="4">
        <f>K372-M372+L372-N372</f>
        <v/>
      </c>
    </row>
    <row r="373">
      <c r="A373" s="2" t="inlineStr">
        <is>
          <t>B09652862</t>
        </is>
      </c>
      <c r="B373" s="4" t="n">
        <v>740.78</v>
      </c>
      <c r="C373" s="3" t="n">
        <v>46014</v>
      </c>
      <c r="D373" s="3" t="n">
        <v>46046</v>
      </c>
      <c r="E373" s="2" t="n">
        <v>19</v>
      </c>
      <c r="F373" s="2" t="n">
        <v>48.62</v>
      </c>
      <c r="G373" s="2" t="n">
        <v>2.95</v>
      </c>
      <c r="H373" s="4" t="n">
        <v>21.85</v>
      </c>
      <c r="I373" s="4" t="n">
        <v>19.01</v>
      </c>
      <c r="J373" s="2" t="n">
        <v>70</v>
      </c>
      <c r="K373" s="4" t="n">
        <v>15.59</v>
      </c>
      <c r="L373" s="4" t="n">
        <v>13.28</v>
      </c>
      <c r="M373" s="4">
        <f>B373*(G373/100)*(J373/100)</f>
        <v/>
      </c>
      <c r="N373" s="4">
        <f>B373*(F373/360/100)*E373*(J373/100)</f>
        <v/>
      </c>
      <c r="O373" s="4">
        <f>K373-M373+L373-N373</f>
        <v/>
      </c>
    </row>
    <row r="374">
      <c r="A374" s="2" t="inlineStr">
        <is>
          <t>A91563398</t>
        </is>
      </c>
      <c r="B374" s="4" t="n">
        <v>460.23</v>
      </c>
      <c r="C374" s="3" t="n">
        <v>46002</v>
      </c>
      <c r="D374" s="3" t="n">
        <v>46054</v>
      </c>
      <c r="E374" s="2" t="n">
        <v>36</v>
      </c>
      <c r="F374" s="2" t="n">
        <v>14.06</v>
      </c>
      <c r="G374" s="2" t="n">
        <v>0.97</v>
      </c>
      <c r="H374" s="4" t="n">
        <v>4.46</v>
      </c>
      <c r="I374" s="4" t="n">
        <v>6.47</v>
      </c>
      <c r="J374" s="2" t="n">
        <v>40</v>
      </c>
      <c r="K374" s="4" t="n">
        <v>1.96</v>
      </c>
      <c r="L374" s="4" t="n">
        <v>2.79</v>
      </c>
      <c r="M374" s="4">
        <f>B374*(G374/100)*(J374/100)</f>
        <v/>
      </c>
      <c r="N374" s="4">
        <f>B374*(F374/360/100)*E374*(J374/100)</f>
        <v/>
      </c>
      <c r="O374" s="4">
        <f>K374-M374+L374-N374</f>
        <v/>
      </c>
    </row>
    <row r="375">
      <c r="A375" s="2" t="inlineStr">
        <is>
          <t>B54261715</t>
        </is>
      </c>
      <c r="B375" s="4" t="n">
        <v>990.54</v>
      </c>
      <c r="C375" s="3" t="n">
        <v>46014</v>
      </c>
      <c r="D375" s="3" t="n">
        <v>46150</v>
      </c>
      <c r="E375" s="2" t="n">
        <v>41</v>
      </c>
      <c r="F375" s="2" t="n">
        <v>44.68</v>
      </c>
      <c r="G375" s="2" t="n">
        <v>2.36</v>
      </c>
      <c r="H375" s="4" t="n">
        <v>23.38</v>
      </c>
      <c r="I375" s="4" t="n">
        <v>50.4</v>
      </c>
      <c r="J375" s="2" t="n">
        <v>50</v>
      </c>
      <c r="K375" s="4" t="n">
        <v>11.71</v>
      </c>
      <c r="L375" s="4" t="n">
        <v>25.49</v>
      </c>
      <c r="M375" s="4">
        <f>B375*(G375/100)*(J375/100)</f>
        <v/>
      </c>
      <c r="N375" s="4">
        <f>B375*(F375/360/100)*E375*(J375/100)</f>
        <v/>
      </c>
      <c r="O375" s="4">
        <f>K375-M375+L375-N375</f>
        <v/>
      </c>
    </row>
    <row r="376">
      <c r="A376" s="2" t="inlineStr">
        <is>
          <t>B41722577</t>
        </is>
      </c>
      <c r="B376" s="4" t="n">
        <v>483.46</v>
      </c>
      <c r="C376" s="3" t="n">
        <v>46014</v>
      </c>
      <c r="D376" s="3" t="n">
        <v>46148</v>
      </c>
      <c r="E376" s="2" t="n">
        <v>77</v>
      </c>
      <c r="F376" s="2" t="n">
        <v>34.93</v>
      </c>
      <c r="G376" s="2" t="n">
        <v>2.63</v>
      </c>
      <c r="H376" s="4" t="n">
        <v>12.71</v>
      </c>
      <c r="I376" s="4" t="n">
        <v>36.12</v>
      </c>
      <c r="J376" s="2" t="n">
        <v>70</v>
      </c>
      <c r="K376" s="4" t="n">
        <v>8.82</v>
      </c>
      <c r="L376" s="4" t="n">
        <v>25.43</v>
      </c>
      <c r="M376" s="4">
        <f>B376*(G376/100)*(J376/100)</f>
        <v/>
      </c>
      <c r="N376" s="4">
        <f>B376*(F376/360/100)*E376*(J376/100)</f>
        <v/>
      </c>
      <c r="O376" s="4">
        <f>K376-M376+L376-N376</f>
        <v/>
      </c>
    </row>
    <row r="377">
      <c r="A377" s="2" t="inlineStr">
        <is>
          <t>B89382373</t>
        </is>
      </c>
      <c r="B377" s="4" t="n">
        <v>513.5</v>
      </c>
      <c r="C377" s="3" t="n">
        <v>46016</v>
      </c>
      <c r="D377" s="3" t="n">
        <v>46197</v>
      </c>
      <c r="E377" s="2" t="n">
        <v>16</v>
      </c>
      <c r="F377" s="2" t="n">
        <v>10.25</v>
      </c>
      <c r="G377" s="2" t="n">
        <v>2.98</v>
      </c>
      <c r="H377" s="4" t="n">
        <v>15.3</v>
      </c>
      <c r="I377" s="4" t="n">
        <v>2.34</v>
      </c>
      <c r="J377" s="2" t="n">
        <v>70</v>
      </c>
      <c r="K377" s="4" t="n">
        <v>10.88</v>
      </c>
      <c r="L377" s="4" t="n">
        <v>1.44</v>
      </c>
      <c r="M377" s="4">
        <f>B377*(G377/100)*(J377/100)</f>
        <v/>
      </c>
      <c r="N377" s="4">
        <f>B377*(F377/360/100)*E377*(J377/100)</f>
        <v/>
      </c>
      <c r="O377" s="4">
        <f>K377-M377+L377-N377</f>
        <v/>
      </c>
    </row>
    <row r="378">
      <c r="A378" s="2" t="inlineStr">
        <is>
          <t>A48673391</t>
        </is>
      </c>
      <c r="B378" s="4" t="n">
        <v>7166.91</v>
      </c>
      <c r="C378" s="3" t="n">
        <v>46006</v>
      </c>
      <c r="D378" s="3" t="n">
        <v>46057</v>
      </c>
      <c r="E378" s="2" t="n">
        <v>29</v>
      </c>
      <c r="F378" s="2" t="n">
        <v>45.39</v>
      </c>
      <c r="G378" s="2" t="n">
        <v>2.05</v>
      </c>
      <c r="H378" s="4" t="n">
        <v>146.92</v>
      </c>
      <c r="I378" s="4" t="n">
        <v>262.05</v>
      </c>
      <c r="J378" s="2" t="n">
        <v>40</v>
      </c>
      <c r="K378" s="4" t="n">
        <v>59</v>
      </c>
      <c r="L378" s="4" t="n">
        <v>104.95</v>
      </c>
      <c r="M378" s="4">
        <f>B378*(G378/100)*(J378/100)</f>
        <v/>
      </c>
      <c r="N378" s="4">
        <f>B378*(F378/360/100)*E378*(J378/100)</f>
        <v/>
      </c>
      <c r="O378" s="4">
        <f>K378-M378+L378-N378</f>
        <v/>
      </c>
    </row>
    <row r="379">
      <c r="A379" s="2" t="inlineStr">
        <is>
          <t>A73888019</t>
        </is>
      </c>
      <c r="B379" s="4" t="n">
        <v>9557.209999999999</v>
      </c>
      <c r="C379" s="3" t="n">
        <v>46014</v>
      </c>
      <c r="D379" s="3" t="n">
        <v>46117</v>
      </c>
      <c r="E379" s="2" t="n">
        <v>25</v>
      </c>
      <c r="F379" s="2" t="n">
        <v>10.86</v>
      </c>
      <c r="G379" s="2" t="n">
        <v>0.79</v>
      </c>
      <c r="H379" s="4" t="n">
        <v>75.5</v>
      </c>
      <c r="I379" s="4" t="n">
        <v>72.08</v>
      </c>
      <c r="J379" s="2" t="n">
        <v>40</v>
      </c>
      <c r="K379" s="4" t="n">
        <v>30.36</v>
      </c>
      <c r="L379" s="4" t="n">
        <v>28.89</v>
      </c>
      <c r="M379" s="4">
        <f>B379*(G379/100)*(J379/100)</f>
        <v/>
      </c>
      <c r="N379" s="4">
        <f>B379*(F379/360/100)*E379*(J379/100)</f>
        <v/>
      </c>
      <c r="O379" s="4">
        <f>K379-M379+L379-N379</f>
        <v/>
      </c>
    </row>
    <row r="380">
      <c r="A380" s="2" t="inlineStr">
        <is>
          <t>A23855489</t>
        </is>
      </c>
      <c r="B380" s="4" t="n">
        <v>502.18</v>
      </c>
      <c r="C380" s="3" t="n">
        <v>46002</v>
      </c>
      <c r="D380" s="3" t="n">
        <v>46078</v>
      </c>
      <c r="E380" s="2" t="n">
        <v>43</v>
      </c>
      <c r="F380" s="2" t="n">
        <v>24.69</v>
      </c>
      <c r="G380" s="2" t="n">
        <v>1.35</v>
      </c>
      <c r="H380" s="4" t="n">
        <v>6.78</v>
      </c>
      <c r="I380" s="4" t="n">
        <v>14.81</v>
      </c>
      <c r="J380" s="2" t="n">
        <v>60</v>
      </c>
      <c r="K380" s="4" t="n">
        <v>4.05</v>
      </c>
      <c r="L380" s="4" t="n">
        <v>9.01</v>
      </c>
      <c r="M380" s="4">
        <f>B380*(G380/100)*(J380/100)</f>
        <v/>
      </c>
      <c r="N380" s="4">
        <f>B380*(F380/360/100)*E380*(J380/100)</f>
        <v/>
      </c>
      <c r="O380" s="4">
        <f>K380-M380+L380-N380</f>
        <v/>
      </c>
    </row>
    <row r="381">
      <c r="A381" s="2" t="inlineStr">
        <is>
          <t>B78732192</t>
        </is>
      </c>
      <c r="B381" s="4" t="n">
        <v>703.73</v>
      </c>
      <c r="C381" s="3" t="n">
        <v>45997</v>
      </c>
      <c r="D381" s="3" t="n">
        <v>46131</v>
      </c>
      <c r="E381" s="2" t="n">
        <v>55</v>
      </c>
      <c r="F381" s="2" t="n">
        <v>24.06</v>
      </c>
      <c r="G381" s="2" t="n">
        <v>2.8</v>
      </c>
      <c r="H381" s="4" t="n">
        <v>19.7</v>
      </c>
      <c r="I381" s="4" t="n">
        <v>25.87</v>
      </c>
      <c r="J381" s="2" t="n">
        <v>60</v>
      </c>
      <c r="K381" s="4" t="n">
        <v>11.72</v>
      </c>
      <c r="L381" s="4" t="n">
        <v>15.51</v>
      </c>
      <c r="M381" s="4">
        <f>B381*(G381/100)*(J381/100)</f>
        <v/>
      </c>
      <c r="N381" s="4">
        <f>B381*(F381/360/100)*E381*(J381/100)</f>
        <v/>
      </c>
      <c r="O381" s="4">
        <f>K381-M381+L381-N381</f>
        <v/>
      </c>
    </row>
    <row r="382">
      <c r="A382" s="2" t="inlineStr">
        <is>
          <t>A99381919</t>
        </is>
      </c>
      <c r="B382" s="4" t="n">
        <v>866.09</v>
      </c>
      <c r="C382" s="3" t="n">
        <v>45997</v>
      </c>
      <c r="D382" s="3" t="n">
        <v>46083</v>
      </c>
      <c r="E382" s="2" t="n">
        <v>45</v>
      </c>
      <c r="F382" s="2" t="n">
        <v>32.07</v>
      </c>
      <c r="G382" s="2" t="n">
        <v>1.71</v>
      </c>
      <c r="H382" s="4" t="n">
        <v>14.81</v>
      </c>
      <c r="I382" s="4" t="n">
        <v>34.72</v>
      </c>
      <c r="J382" s="2" t="n">
        <v>40</v>
      </c>
      <c r="K382" s="4" t="n">
        <v>5.73</v>
      </c>
      <c r="L382" s="4" t="n">
        <v>13.77</v>
      </c>
      <c r="M382" s="4">
        <f>B382*(G382/100)*(J382/100)</f>
        <v/>
      </c>
      <c r="N382" s="4">
        <f>B382*(F382/360/100)*E382*(J382/100)</f>
        <v/>
      </c>
      <c r="O382" s="4">
        <f>K382-M382+L382-N382</f>
        <v/>
      </c>
    </row>
    <row r="383">
      <c r="A383" s="2" t="inlineStr">
        <is>
          <t>A26824603</t>
        </is>
      </c>
      <c r="B383" s="4" t="n">
        <v>851.99</v>
      </c>
      <c r="C383" s="3" t="n">
        <v>46016</v>
      </c>
      <c r="D383" s="3" t="n">
        <v>46146</v>
      </c>
      <c r="E383" s="2" t="n">
        <v>38</v>
      </c>
      <c r="F383" s="2" t="n">
        <v>28.91</v>
      </c>
      <c r="G383" s="2" t="n">
        <v>0.58</v>
      </c>
      <c r="H383" s="4" t="n">
        <v>4.94</v>
      </c>
      <c r="I383" s="4" t="n">
        <v>26</v>
      </c>
      <c r="J383" s="2" t="n">
        <v>60</v>
      </c>
      <c r="K383" s="4" t="n">
        <v>3.14</v>
      </c>
      <c r="L383" s="4" t="n">
        <v>15.57</v>
      </c>
      <c r="M383" s="4">
        <f>B383*(G383/100)*(J383/100)</f>
        <v/>
      </c>
      <c r="N383" s="4">
        <f>B383*(F383/360/100)*E383*(J383/100)</f>
        <v/>
      </c>
      <c r="O383" s="4">
        <f>K383-M383+L383-N383</f>
        <v/>
      </c>
    </row>
    <row r="384">
      <c r="A384" s="2" t="inlineStr">
        <is>
          <t>B75393804</t>
        </is>
      </c>
      <c r="B384" s="4" t="n">
        <v>303.24</v>
      </c>
      <c r="C384" s="3" t="n">
        <v>46004</v>
      </c>
      <c r="D384" s="3" t="n">
        <v>46103</v>
      </c>
      <c r="E384" s="2" t="n">
        <v>18</v>
      </c>
      <c r="F384" s="2" t="n">
        <v>16.89</v>
      </c>
      <c r="G384" s="2" t="n">
        <v>2.72</v>
      </c>
      <c r="H384" s="4" t="n">
        <v>8.25</v>
      </c>
      <c r="I384" s="4" t="n">
        <v>2.56</v>
      </c>
      <c r="J384" s="2" t="n">
        <v>60</v>
      </c>
      <c r="K384" s="4" t="n">
        <v>4.93</v>
      </c>
      <c r="L384" s="4" t="n">
        <v>1.68</v>
      </c>
      <c r="M384" s="4">
        <f>B384*(G384/100)*(J384/100)</f>
        <v/>
      </c>
      <c r="N384" s="4">
        <f>B384*(F384/360/100)*E384*(J384/100)</f>
        <v/>
      </c>
      <c r="O384" s="4">
        <f>K384-M384+L384-N384</f>
        <v/>
      </c>
    </row>
    <row r="385">
      <c r="A385" s="2" t="inlineStr">
        <is>
          <t>B68298716</t>
        </is>
      </c>
      <c r="B385" s="4" t="n">
        <v>649.52</v>
      </c>
      <c r="C385" s="3" t="n">
        <v>45993</v>
      </c>
      <c r="D385" s="3" t="n">
        <v>46043</v>
      </c>
      <c r="E385" s="2" t="n">
        <v>69</v>
      </c>
      <c r="F385" s="2" t="n">
        <v>19.15</v>
      </c>
      <c r="G385" s="2" t="n">
        <v>2.17</v>
      </c>
      <c r="H385" s="4" t="n">
        <v>14.09</v>
      </c>
      <c r="I385" s="4" t="n">
        <v>23.84</v>
      </c>
      <c r="J385" s="2" t="n">
        <v>30</v>
      </c>
      <c r="K385" s="4" t="n">
        <v>4.18</v>
      </c>
      <c r="L385" s="4" t="n">
        <v>6.95</v>
      </c>
      <c r="M385" s="4">
        <f>B385*(G385/100)*(J385/100)</f>
        <v/>
      </c>
      <c r="N385" s="4">
        <f>B385*(F385/360/100)*E385*(J385/100)</f>
        <v/>
      </c>
      <c r="O385" s="4">
        <f>K385-M385+L385-N385</f>
        <v/>
      </c>
    </row>
    <row r="386">
      <c r="A386" s="2" t="inlineStr">
        <is>
          <t>A38358129</t>
        </is>
      </c>
      <c r="B386" s="4" t="n">
        <v>944.26</v>
      </c>
      <c r="C386" s="3" t="n">
        <v>46013</v>
      </c>
      <c r="D386" s="3" t="n">
        <v>46146</v>
      </c>
      <c r="E386" s="2" t="n">
        <v>14</v>
      </c>
      <c r="F386" s="2" t="n">
        <v>48.73</v>
      </c>
      <c r="G386" s="2" t="n">
        <v>2.91</v>
      </c>
      <c r="H386" s="4" t="n">
        <v>27.48</v>
      </c>
      <c r="I386" s="4" t="n">
        <v>17.89</v>
      </c>
      <c r="J386" s="2" t="n">
        <v>60</v>
      </c>
      <c r="K386" s="4" t="n">
        <v>16.26</v>
      </c>
      <c r="L386" s="4" t="n">
        <v>10.96</v>
      </c>
      <c r="M386" s="4">
        <f>B386*(G386/100)*(J386/100)</f>
        <v/>
      </c>
      <c r="N386" s="4">
        <f>B386*(F386/360/100)*E386*(J386/100)</f>
        <v/>
      </c>
      <c r="O386" s="4">
        <f>K386-M386+L386-N386</f>
        <v/>
      </c>
    </row>
    <row r="387">
      <c r="A387" s="2" t="inlineStr">
        <is>
          <t>A75127506</t>
        </is>
      </c>
      <c r="B387" s="4" t="n">
        <v>9570.77</v>
      </c>
      <c r="C387" s="3" t="n">
        <v>46013</v>
      </c>
      <c r="D387" s="3" t="n">
        <v>46191</v>
      </c>
      <c r="E387" s="2" t="n">
        <v>14</v>
      </c>
      <c r="F387" s="2" t="n">
        <v>31.06</v>
      </c>
      <c r="G387" s="2" t="n">
        <v>0.91</v>
      </c>
      <c r="H387" s="4" t="n">
        <v>87.09</v>
      </c>
      <c r="I387" s="4" t="n">
        <v>115.6</v>
      </c>
      <c r="J387" s="2" t="n">
        <v>20</v>
      </c>
      <c r="K387" s="4" t="n">
        <v>17.7</v>
      </c>
      <c r="L387" s="4" t="n">
        <v>23.32</v>
      </c>
      <c r="M387" s="4">
        <f>B387*(G387/100)*(J387/100)</f>
        <v/>
      </c>
      <c r="N387" s="4">
        <f>B387*(F387/360/100)*E387*(J387/100)</f>
        <v/>
      </c>
      <c r="O387" s="4">
        <f>K387-M387+L387-N387</f>
        <v/>
      </c>
    </row>
    <row r="388">
      <c r="A388" s="2" t="inlineStr">
        <is>
          <t>B55804374</t>
        </is>
      </c>
      <c r="B388" s="4" t="n">
        <v>844.23</v>
      </c>
      <c r="C388" s="3" t="n">
        <v>46003</v>
      </c>
      <c r="D388" s="3" t="n">
        <v>46063</v>
      </c>
      <c r="E388" s="2" t="n">
        <v>87</v>
      </c>
      <c r="F388" s="2" t="n">
        <v>34.14</v>
      </c>
      <c r="G388" s="2" t="n">
        <v>1.08</v>
      </c>
      <c r="H388" s="4" t="n">
        <v>9.119999999999999</v>
      </c>
      <c r="I388" s="4" t="n">
        <v>69.65000000000001</v>
      </c>
      <c r="J388" s="2" t="n">
        <v>20</v>
      </c>
      <c r="K388" s="4" t="n">
        <v>1.53</v>
      </c>
      <c r="L388" s="4" t="n">
        <v>13.98</v>
      </c>
      <c r="M388" s="4">
        <f>B388*(G388/100)*(J388/100)</f>
        <v/>
      </c>
      <c r="N388" s="4">
        <f>B388*(F388/360/100)*E388*(J388/100)</f>
        <v/>
      </c>
      <c r="O388" s="4">
        <f>K388-M388+L388-N388</f>
        <v/>
      </c>
    </row>
    <row r="389">
      <c r="A389" s="2" t="inlineStr">
        <is>
          <t>A40233317</t>
        </is>
      </c>
      <c r="B389" s="4" t="n">
        <v>9549.059999999999</v>
      </c>
      <c r="C389" s="3" t="n">
        <v>45995</v>
      </c>
      <c r="D389" s="3" t="n">
        <v>46176</v>
      </c>
      <c r="E389" s="2" t="n">
        <v>31</v>
      </c>
      <c r="F389" s="2" t="n">
        <v>15.38</v>
      </c>
      <c r="G389" s="2" t="n">
        <v>1.95</v>
      </c>
      <c r="H389" s="4" t="n">
        <v>186.21</v>
      </c>
      <c r="I389" s="4" t="n">
        <v>126.47</v>
      </c>
      <c r="J389" s="2" t="n">
        <v>30</v>
      </c>
      <c r="K389" s="4" t="n">
        <v>55.91</v>
      </c>
      <c r="L389" s="4" t="n">
        <v>37.82</v>
      </c>
      <c r="M389" s="4">
        <f>B389*(G389/100)*(J389/100)</f>
        <v/>
      </c>
      <c r="N389" s="4">
        <f>B389*(F389/360/100)*E389*(J389/100)</f>
        <v/>
      </c>
      <c r="O389" s="4">
        <f>K389-M389+L389-N389</f>
        <v/>
      </c>
    </row>
    <row r="390">
      <c r="A390" s="2" t="inlineStr">
        <is>
          <t>B83741355</t>
        </is>
      </c>
      <c r="B390" s="4" t="n">
        <v>5795.02</v>
      </c>
      <c r="C390" s="3" t="n">
        <v>45998</v>
      </c>
      <c r="D390" s="3" t="n">
        <v>46168</v>
      </c>
      <c r="E390" s="2" t="n">
        <v>11</v>
      </c>
      <c r="F390" s="2" t="n">
        <v>40.05</v>
      </c>
      <c r="G390" s="2" t="n">
        <v>2.73</v>
      </c>
      <c r="H390" s="4" t="n">
        <v>158.2</v>
      </c>
      <c r="I390" s="4" t="n">
        <v>70.92</v>
      </c>
      <c r="J390" s="2" t="n">
        <v>70</v>
      </c>
      <c r="K390" s="4" t="n">
        <v>110.91</v>
      </c>
      <c r="L390" s="4" t="n">
        <v>49.55</v>
      </c>
      <c r="M390" s="4">
        <f>B390*(G390/100)*(J390/100)</f>
        <v/>
      </c>
      <c r="N390" s="4">
        <f>B390*(F390/360/100)*E390*(J390/100)</f>
        <v/>
      </c>
      <c r="O390" s="4">
        <f>K390-M390+L390-N390</f>
        <v/>
      </c>
    </row>
    <row r="391">
      <c r="A391" s="2" t="inlineStr">
        <is>
          <t>B09286084</t>
        </is>
      </c>
      <c r="B391" s="4" t="n">
        <v>112.59</v>
      </c>
      <c r="C391" s="3" t="n">
        <v>46004</v>
      </c>
      <c r="D391" s="3" t="n">
        <v>46163</v>
      </c>
      <c r="E391" s="2" t="n">
        <v>61</v>
      </c>
      <c r="F391" s="2" t="n">
        <v>31.26</v>
      </c>
      <c r="G391" s="2" t="n">
        <v>2.66</v>
      </c>
      <c r="H391" s="4" t="n">
        <v>2.99</v>
      </c>
      <c r="I391" s="4" t="n">
        <v>5.96</v>
      </c>
      <c r="J391" s="2" t="n">
        <v>60</v>
      </c>
      <c r="K391" s="4" t="n">
        <v>1.83</v>
      </c>
      <c r="L391" s="4" t="n">
        <v>3.37</v>
      </c>
      <c r="M391" s="4">
        <f>B391*(G391/100)*(J391/100)</f>
        <v/>
      </c>
      <c r="N391" s="4">
        <f>B391*(F391/360/100)*E391*(J391/100)</f>
        <v/>
      </c>
      <c r="O391" s="4">
        <f>K391-M391+L391-N391</f>
        <v/>
      </c>
    </row>
    <row r="392">
      <c r="A392" s="2" t="inlineStr">
        <is>
          <t>A15867466</t>
        </is>
      </c>
      <c r="B392" s="4" t="n">
        <v>287.1</v>
      </c>
      <c r="C392" s="3" t="n">
        <v>46003</v>
      </c>
      <c r="D392" s="3" t="n">
        <v>46134</v>
      </c>
      <c r="E392" s="2" t="n">
        <v>35</v>
      </c>
      <c r="F392" s="2" t="n">
        <v>46.4</v>
      </c>
      <c r="G392" s="2" t="n">
        <v>0.54</v>
      </c>
      <c r="H392" s="4" t="n">
        <v>1.55</v>
      </c>
      <c r="I392" s="4" t="n">
        <v>12.95</v>
      </c>
      <c r="J392" s="2" t="n">
        <v>30</v>
      </c>
      <c r="K392" s="4" t="n">
        <v>0.48</v>
      </c>
      <c r="L392" s="4" t="n">
        <v>3.99</v>
      </c>
      <c r="M392" s="4">
        <f>B392*(G392/100)*(J392/100)</f>
        <v/>
      </c>
      <c r="N392" s="4">
        <f>B392*(F392/360/100)*E392*(J392/100)</f>
        <v/>
      </c>
      <c r="O392" s="4">
        <f>K392-M392+L392-N392</f>
        <v/>
      </c>
    </row>
    <row r="393">
      <c r="A393" s="2" t="inlineStr">
        <is>
          <t>B36183561</t>
        </is>
      </c>
      <c r="B393" s="4" t="n">
        <v>5837.89</v>
      </c>
      <c r="C393" s="3" t="n">
        <v>45997</v>
      </c>
      <c r="D393" s="3" t="n">
        <v>46071</v>
      </c>
      <c r="E393" s="2" t="n">
        <v>37</v>
      </c>
      <c r="F393" s="2" t="n">
        <v>43.41</v>
      </c>
      <c r="G393" s="2" t="n">
        <v>1.68</v>
      </c>
      <c r="H393" s="4" t="n">
        <v>98.08</v>
      </c>
      <c r="I393" s="4" t="n">
        <v>260.46</v>
      </c>
      <c r="J393" s="2" t="n">
        <v>70</v>
      </c>
      <c r="K393" s="4" t="n">
        <v>68.48</v>
      </c>
      <c r="L393" s="4" t="n">
        <v>182.04</v>
      </c>
      <c r="M393" s="4">
        <f>B393*(G393/100)*(J393/100)</f>
        <v/>
      </c>
      <c r="N393" s="4">
        <f>B393*(F393/360/100)*E393*(J393/100)</f>
        <v/>
      </c>
      <c r="O393" s="4">
        <f>K393-M393+L393-N393</f>
        <v/>
      </c>
    </row>
    <row r="394">
      <c r="A394" s="2" t="inlineStr">
        <is>
          <t>B38637782</t>
        </is>
      </c>
      <c r="B394" s="4" t="n">
        <v>926.08</v>
      </c>
      <c r="C394" s="3" t="n">
        <v>46014</v>
      </c>
      <c r="D394" s="3" t="n">
        <v>46044</v>
      </c>
      <c r="E394" s="2" t="n">
        <v>71</v>
      </c>
      <c r="F394" s="2" t="n">
        <v>38.12</v>
      </c>
      <c r="G394" s="2" t="n">
        <v>2.73</v>
      </c>
      <c r="H394" s="4" t="n">
        <v>25.28</v>
      </c>
      <c r="I394" s="4" t="n">
        <v>69.62</v>
      </c>
      <c r="J394" s="2" t="n">
        <v>30</v>
      </c>
      <c r="K394" s="4" t="n">
        <v>7.86</v>
      </c>
      <c r="L394" s="4" t="n">
        <v>20.81</v>
      </c>
      <c r="M394" s="4">
        <f>B394*(G394/100)*(J394/100)</f>
        <v/>
      </c>
      <c r="N394" s="4">
        <f>B394*(F394/360/100)*E394*(J394/100)</f>
        <v/>
      </c>
      <c r="O394" s="4">
        <f>K394-M394+L394-N394</f>
        <v/>
      </c>
    </row>
    <row r="395">
      <c r="A395" s="2" t="inlineStr">
        <is>
          <t>A75740753</t>
        </is>
      </c>
      <c r="B395" s="4" t="n">
        <v>276.82</v>
      </c>
      <c r="C395" s="3" t="n">
        <v>45994</v>
      </c>
      <c r="D395" s="3" t="n">
        <v>46181</v>
      </c>
      <c r="E395" s="2" t="n">
        <v>78</v>
      </c>
      <c r="F395" s="2" t="n">
        <v>38.55</v>
      </c>
      <c r="G395" s="2" t="n">
        <v>2.74</v>
      </c>
      <c r="H395" s="4" t="n">
        <v>7.58</v>
      </c>
      <c r="I395" s="4" t="n">
        <v>23.12</v>
      </c>
      <c r="J395" s="2" t="n">
        <v>20</v>
      </c>
      <c r="K395" s="4" t="n">
        <v>1.34</v>
      </c>
      <c r="L395" s="4" t="n">
        <v>4.6</v>
      </c>
      <c r="M395" s="4">
        <f>B395*(G395/100)*(J395/100)</f>
        <v/>
      </c>
      <c r="N395" s="4">
        <f>B395*(F395/360/100)*E395*(J395/100)</f>
        <v/>
      </c>
      <c r="O395" s="4">
        <f>K395-M395+L395-N395</f>
        <v/>
      </c>
    </row>
    <row r="396">
      <c r="A396" s="2" t="inlineStr">
        <is>
          <t>B27653469</t>
        </is>
      </c>
      <c r="B396" s="4" t="n">
        <v>8948.629999999999</v>
      </c>
      <c r="C396" s="3" t="n">
        <v>46006</v>
      </c>
      <c r="D396" s="3" t="n">
        <v>46180</v>
      </c>
      <c r="E396" s="2" t="n">
        <v>87</v>
      </c>
      <c r="F396" s="2" t="n">
        <v>41.81</v>
      </c>
      <c r="G396" s="2" t="n">
        <v>2.33</v>
      </c>
      <c r="H396" s="4" t="n">
        <v>208.5</v>
      </c>
      <c r="I396" s="4" t="n">
        <v>904.1799999999999</v>
      </c>
      <c r="J396" s="2" t="n">
        <v>40</v>
      </c>
      <c r="K396" s="4" t="n">
        <v>83.23</v>
      </c>
      <c r="L396" s="4" t="n">
        <v>361.65</v>
      </c>
      <c r="M396" s="4">
        <f>B396*(G396/100)*(J396/100)</f>
        <v/>
      </c>
      <c r="N396" s="4">
        <f>B396*(F396/360/100)*E396*(J396/100)</f>
        <v/>
      </c>
      <c r="O396" s="4">
        <f>K396-M396+L396-N396</f>
        <v/>
      </c>
    </row>
    <row r="397">
      <c r="A397" s="2" t="inlineStr">
        <is>
          <t>B44792460</t>
        </is>
      </c>
      <c r="B397" s="4" t="n">
        <v>870.3</v>
      </c>
      <c r="C397" s="3" t="n">
        <v>45997</v>
      </c>
      <c r="D397" s="3" t="n">
        <v>46105</v>
      </c>
      <c r="E397" s="2" t="n">
        <v>62</v>
      </c>
      <c r="F397" s="2" t="n">
        <v>46</v>
      </c>
      <c r="G397" s="2" t="n">
        <v>1.7</v>
      </c>
      <c r="H397" s="4" t="n">
        <v>14.8</v>
      </c>
      <c r="I397" s="4" t="n">
        <v>68.95</v>
      </c>
      <c r="J397" s="2" t="n">
        <v>40</v>
      </c>
      <c r="K397" s="4" t="n">
        <v>6.01</v>
      </c>
      <c r="L397" s="4" t="n">
        <v>27.79</v>
      </c>
      <c r="M397" s="4">
        <f>B397*(G397/100)*(J397/100)</f>
        <v/>
      </c>
      <c r="N397" s="4">
        <f>B397*(F397/360/100)*E397*(J397/100)</f>
        <v/>
      </c>
      <c r="O397" s="4">
        <f>K397-M397+L397-N397</f>
        <v/>
      </c>
    </row>
    <row r="398">
      <c r="A398" s="2" t="inlineStr">
        <is>
          <t>B53934415</t>
        </is>
      </c>
      <c r="B398" s="4" t="n">
        <v>726.98</v>
      </c>
      <c r="C398" s="3" t="n">
        <v>46017</v>
      </c>
      <c r="D398" s="3" t="n">
        <v>46108</v>
      </c>
      <c r="E398" s="2" t="n">
        <v>47</v>
      </c>
      <c r="F398" s="2" t="n">
        <v>19.13</v>
      </c>
      <c r="G398" s="2" t="n">
        <v>2.85</v>
      </c>
      <c r="H398" s="4" t="n">
        <v>20.72</v>
      </c>
      <c r="I398" s="4" t="n">
        <v>18.16</v>
      </c>
      <c r="J398" s="2" t="n">
        <v>40</v>
      </c>
      <c r="K398" s="4" t="n">
        <v>8.58</v>
      </c>
      <c r="L398" s="4" t="n">
        <v>7.1</v>
      </c>
      <c r="M398" s="4">
        <f>B398*(G398/100)*(J398/100)</f>
        <v/>
      </c>
      <c r="N398" s="4">
        <f>B398*(F398/360/100)*E398*(J398/100)</f>
        <v/>
      </c>
      <c r="O398" s="4">
        <f>K398-M398+L398-N398</f>
        <v/>
      </c>
    </row>
    <row r="399">
      <c r="A399" s="2" t="inlineStr">
        <is>
          <t>B24639776</t>
        </is>
      </c>
      <c r="B399" s="4" t="n">
        <v>182.34</v>
      </c>
      <c r="C399" s="3" t="n">
        <v>46004</v>
      </c>
      <c r="D399" s="3" t="n">
        <v>46175</v>
      </c>
      <c r="E399" s="2" t="n">
        <v>57</v>
      </c>
      <c r="F399" s="2" t="n">
        <v>21.89</v>
      </c>
      <c r="G399" s="2" t="n">
        <v>2.27</v>
      </c>
      <c r="H399" s="4" t="n">
        <v>4.14</v>
      </c>
      <c r="I399" s="4" t="n">
        <v>6.32</v>
      </c>
      <c r="J399" s="2" t="n">
        <v>30</v>
      </c>
      <c r="K399" s="4" t="n">
        <v>1.3</v>
      </c>
      <c r="L399" s="4" t="n">
        <v>2.09</v>
      </c>
      <c r="M399" s="4">
        <f>B399*(G399/100)*(J399/100)</f>
        <v/>
      </c>
      <c r="N399" s="4">
        <f>B399*(F399/360/100)*E399*(J399/100)</f>
        <v/>
      </c>
      <c r="O399" s="4">
        <f>K399-M399+L399-N399</f>
        <v/>
      </c>
    </row>
    <row r="400">
      <c r="A400" s="2" t="inlineStr">
        <is>
          <t>B43920097</t>
        </is>
      </c>
      <c r="B400" s="4" t="n">
        <v>293.15</v>
      </c>
      <c r="C400" s="3" t="n">
        <v>45992</v>
      </c>
      <c r="D400" s="3" t="n">
        <v>46079</v>
      </c>
      <c r="E400" s="2" t="n">
        <v>50</v>
      </c>
      <c r="F400" s="2" t="n">
        <v>13.31</v>
      </c>
      <c r="G400" s="2" t="n">
        <v>0.62</v>
      </c>
      <c r="H400" s="4" t="n">
        <v>1.82</v>
      </c>
      <c r="I400" s="4" t="n">
        <v>5.42</v>
      </c>
      <c r="J400" s="2" t="n">
        <v>40</v>
      </c>
      <c r="K400" s="4" t="n">
        <v>0.78</v>
      </c>
      <c r="L400" s="4" t="n">
        <v>2.36</v>
      </c>
      <c r="M400" s="4">
        <f>B400*(G400/100)*(J400/100)</f>
        <v/>
      </c>
      <c r="N400" s="4">
        <f>B400*(F400/360/100)*E400*(J400/100)</f>
        <v/>
      </c>
      <c r="O400" s="4">
        <f>K400-M400+L400-N400</f>
        <v/>
      </c>
    </row>
    <row r="401">
      <c r="A401" s="2" t="inlineStr">
        <is>
          <t>B58558391</t>
        </is>
      </c>
      <c r="B401" s="4" t="n">
        <v>952.4</v>
      </c>
      <c r="C401" s="3" t="n">
        <v>46008</v>
      </c>
      <c r="D401" s="3" t="n">
        <v>46076</v>
      </c>
      <c r="E401" s="2" t="n">
        <v>35</v>
      </c>
      <c r="F401" s="2" t="n">
        <v>23.21</v>
      </c>
      <c r="G401" s="2" t="n">
        <v>2.79</v>
      </c>
      <c r="H401" s="4" t="n">
        <v>26.57</v>
      </c>
      <c r="I401" s="4" t="n">
        <v>21.49</v>
      </c>
      <c r="J401" s="2" t="n">
        <v>50</v>
      </c>
      <c r="K401" s="4" t="n">
        <v>13.37</v>
      </c>
      <c r="L401" s="4" t="n">
        <v>11.04</v>
      </c>
      <c r="M401" s="4">
        <f>B401*(G401/100)*(J401/100)</f>
        <v/>
      </c>
      <c r="N401" s="4">
        <f>B401*(F401/360/100)*E401*(J401/100)</f>
        <v/>
      </c>
      <c r="O401" s="4">
        <f>K401-M401+L401-N401</f>
        <v/>
      </c>
    </row>
    <row r="402">
      <c r="A402" s="2" t="inlineStr">
        <is>
          <t>B52703546</t>
        </is>
      </c>
      <c r="B402" s="4" t="n">
        <v>622.65</v>
      </c>
      <c r="C402" s="3" t="n">
        <v>46008</v>
      </c>
      <c r="D402" s="3" t="n">
        <v>46179</v>
      </c>
      <c r="E402" s="2" t="n">
        <v>25</v>
      </c>
      <c r="F402" s="2" t="n">
        <v>16.41</v>
      </c>
      <c r="G402" s="2" t="n">
        <v>0.66</v>
      </c>
      <c r="H402" s="4" t="n">
        <v>4.11</v>
      </c>
      <c r="I402" s="4" t="n">
        <v>7.1</v>
      </c>
      <c r="J402" s="2" t="n">
        <v>30</v>
      </c>
      <c r="K402" s="4" t="n">
        <v>1.06</v>
      </c>
      <c r="L402" s="4" t="n">
        <v>1.91</v>
      </c>
      <c r="M402" s="4">
        <f>B402*(G402/100)*(J402/100)</f>
        <v/>
      </c>
      <c r="N402" s="4">
        <f>B402*(F402/360/100)*E402*(J402/100)</f>
        <v/>
      </c>
      <c r="O402" s="4">
        <f>K402-M402+L402-N402</f>
        <v/>
      </c>
    </row>
    <row r="403">
      <c r="A403" s="2" t="inlineStr">
        <is>
          <t>A68843027</t>
        </is>
      </c>
      <c r="B403" s="4" t="n">
        <v>985.73</v>
      </c>
      <c r="C403" s="3" t="n">
        <v>46019</v>
      </c>
      <c r="D403" s="3" t="n">
        <v>46195</v>
      </c>
      <c r="E403" s="2" t="n">
        <v>59</v>
      </c>
      <c r="F403" s="2" t="n">
        <v>12.01</v>
      </c>
      <c r="G403" s="2" t="n">
        <v>0.66</v>
      </c>
      <c r="H403" s="4" t="n">
        <v>6.51</v>
      </c>
      <c r="I403" s="4" t="n">
        <v>19.4</v>
      </c>
      <c r="J403" s="2" t="n">
        <v>50</v>
      </c>
      <c r="K403" s="4" t="n">
        <v>3.29</v>
      </c>
      <c r="L403" s="4" t="n">
        <v>9.9</v>
      </c>
      <c r="M403" s="4">
        <f>B403*(G403/100)*(J403/100)</f>
        <v/>
      </c>
      <c r="N403" s="4">
        <f>B403*(F403/360/100)*E403*(J403/100)</f>
        <v/>
      </c>
      <c r="O403" s="4">
        <f>K403-M403+L403-N403</f>
        <v/>
      </c>
    </row>
    <row r="404">
      <c r="A404" s="2" t="inlineStr">
        <is>
          <t>B88683138</t>
        </is>
      </c>
      <c r="B404" s="4" t="n">
        <v>943.33</v>
      </c>
      <c r="C404" s="3" t="n">
        <v>45995</v>
      </c>
      <c r="D404" s="3" t="n">
        <v>46192</v>
      </c>
      <c r="E404" s="2" t="n">
        <v>37</v>
      </c>
      <c r="F404" s="2" t="n">
        <v>24.32</v>
      </c>
      <c r="G404" s="2" t="n">
        <v>2.59</v>
      </c>
      <c r="H404" s="4" t="n">
        <v>24.43</v>
      </c>
      <c r="I404" s="4" t="n">
        <v>23.58</v>
      </c>
      <c r="J404" s="2" t="n">
        <v>20</v>
      </c>
      <c r="K404" s="4" t="n">
        <v>5.18</v>
      </c>
      <c r="L404" s="4" t="n">
        <v>4.86</v>
      </c>
      <c r="M404" s="4">
        <f>B404*(G404/100)*(J404/100)</f>
        <v/>
      </c>
      <c r="N404" s="4">
        <f>B404*(F404/360/100)*E404*(J404/100)</f>
        <v/>
      </c>
      <c r="O404" s="4">
        <f>K404-M404+L404-N404</f>
        <v/>
      </c>
    </row>
    <row r="405">
      <c r="A405" s="2" t="inlineStr">
        <is>
          <t>A19336470</t>
        </is>
      </c>
      <c r="B405" s="4" t="n">
        <v>618.75</v>
      </c>
      <c r="C405" s="3" t="n">
        <v>46013</v>
      </c>
      <c r="D405" s="3" t="n">
        <v>46186</v>
      </c>
      <c r="E405" s="2" t="n">
        <v>81</v>
      </c>
      <c r="F405" s="2" t="n">
        <v>33.94</v>
      </c>
      <c r="G405" s="2" t="n">
        <v>1.76</v>
      </c>
      <c r="H405" s="4" t="n">
        <v>10.89</v>
      </c>
      <c r="I405" s="4" t="n">
        <v>47.25</v>
      </c>
      <c r="J405" s="2" t="n">
        <v>50</v>
      </c>
      <c r="K405" s="4" t="n">
        <v>5.2</v>
      </c>
      <c r="L405" s="4" t="n">
        <v>23.59</v>
      </c>
      <c r="M405" s="4">
        <f>B405*(G405/100)*(J405/100)</f>
        <v/>
      </c>
      <c r="N405" s="4">
        <f>B405*(F405/360/100)*E405*(J405/100)</f>
        <v/>
      </c>
      <c r="O405" s="4">
        <f>K405-M405+L405-N405</f>
        <v/>
      </c>
    </row>
    <row r="406">
      <c r="A406" s="2" t="inlineStr">
        <is>
          <t>B67859772</t>
        </is>
      </c>
      <c r="B406" s="4" t="n">
        <v>139.06</v>
      </c>
      <c r="C406" s="3" t="n">
        <v>45997</v>
      </c>
      <c r="D406" s="3" t="n">
        <v>46062</v>
      </c>
      <c r="E406" s="2" t="n">
        <v>18</v>
      </c>
      <c r="F406" s="2" t="n">
        <v>33.23</v>
      </c>
      <c r="G406" s="2" t="n">
        <v>1.1</v>
      </c>
      <c r="H406" s="4" t="n">
        <v>1.53</v>
      </c>
      <c r="I406" s="4" t="n">
        <v>2.31</v>
      </c>
      <c r="J406" s="2" t="n">
        <v>50</v>
      </c>
      <c r="K406" s="4" t="n">
        <v>0.8100000000000001</v>
      </c>
      <c r="L406" s="4" t="n">
        <v>1</v>
      </c>
      <c r="M406" s="4">
        <f>B406*(G406/100)*(J406/100)</f>
        <v/>
      </c>
      <c r="N406" s="4">
        <f>B406*(F406/360/100)*E406*(J406/100)</f>
        <v/>
      </c>
      <c r="O406" s="4">
        <f>K406-M406+L406-N406</f>
        <v/>
      </c>
    </row>
    <row r="407">
      <c r="A407" s="2" t="inlineStr">
        <is>
          <t>B79511448</t>
        </is>
      </c>
      <c r="B407" s="4" t="n">
        <v>317.96</v>
      </c>
      <c r="C407" s="3" t="n">
        <v>46013</v>
      </c>
      <c r="D407" s="3" t="n">
        <v>46151</v>
      </c>
      <c r="E407" s="2" t="n">
        <v>61</v>
      </c>
      <c r="F407" s="2" t="n">
        <v>32.62</v>
      </c>
      <c r="G407" s="2" t="n">
        <v>2.77</v>
      </c>
      <c r="H407" s="4" t="n">
        <v>8.81</v>
      </c>
      <c r="I407" s="4" t="n">
        <v>17.57</v>
      </c>
      <c r="J407" s="2" t="n">
        <v>20</v>
      </c>
      <c r="K407" s="4" t="n">
        <v>1.92</v>
      </c>
      <c r="L407" s="4" t="n">
        <v>3.39</v>
      </c>
      <c r="M407" s="4">
        <f>B407*(G407/100)*(J407/100)</f>
        <v/>
      </c>
      <c r="N407" s="4">
        <f>B407*(F407/360/100)*E407*(J407/100)</f>
        <v/>
      </c>
      <c r="O407" s="4">
        <f>K407-M407+L407-N407</f>
        <v/>
      </c>
    </row>
    <row r="408">
      <c r="A408" s="2" t="inlineStr">
        <is>
          <t>A97760474</t>
        </is>
      </c>
      <c r="B408" s="4" t="n">
        <v>501.75</v>
      </c>
      <c r="C408" s="3" t="n">
        <v>45996</v>
      </c>
      <c r="D408" s="3" t="n">
        <v>46168</v>
      </c>
      <c r="E408" s="2" t="n">
        <v>37</v>
      </c>
      <c r="F408" s="2" t="n">
        <v>29.69</v>
      </c>
      <c r="G408" s="2" t="n">
        <v>2.97</v>
      </c>
      <c r="H408" s="4" t="n">
        <v>14.9</v>
      </c>
      <c r="I408" s="4" t="n">
        <v>15.31</v>
      </c>
      <c r="J408" s="2" t="n">
        <v>50</v>
      </c>
      <c r="K408" s="4" t="n">
        <v>7.39</v>
      </c>
      <c r="L408" s="4" t="n">
        <v>7.48</v>
      </c>
      <c r="M408" s="4">
        <f>B408*(G408/100)*(J408/100)</f>
        <v/>
      </c>
      <c r="N408" s="4">
        <f>B408*(F408/360/100)*E408*(J408/100)</f>
        <v/>
      </c>
      <c r="O408" s="4">
        <f>K408-M408+L408-N408</f>
        <v/>
      </c>
    </row>
    <row r="409">
      <c r="A409" s="2" t="inlineStr">
        <is>
          <t>A18715209</t>
        </is>
      </c>
      <c r="B409" s="4" t="n">
        <v>228.83</v>
      </c>
      <c r="C409" s="3" t="n">
        <v>46002</v>
      </c>
      <c r="D409" s="3" t="n">
        <v>46199</v>
      </c>
      <c r="E409" s="2" t="n">
        <v>70</v>
      </c>
      <c r="F409" s="2" t="n">
        <v>12.15</v>
      </c>
      <c r="G409" s="2" t="n">
        <v>2.86</v>
      </c>
      <c r="H409" s="4" t="n">
        <v>6.54</v>
      </c>
      <c r="I409" s="4" t="n">
        <v>5.41</v>
      </c>
      <c r="J409" s="2" t="n">
        <v>20</v>
      </c>
      <c r="K409" s="4" t="n">
        <v>1.06</v>
      </c>
      <c r="L409" s="4" t="n">
        <v>0.9399999999999999</v>
      </c>
      <c r="M409" s="4">
        <f>B409*(G409/100)*(J409/100)</f>
        <v/>
      </c>
      <c r="N409" s="4">
        <f>B409*(F409/360/100)*E409*(J409/100)</f>
        <v/>
      </c>
      <c r="O409" s="4">
        <f>K409-M409+L409-N409</f>
        <v/>
      </c>
    </row>
    <row r="410">
      <c r="A410" s="2" t="inlineStr">
        <is>
          <t>A09766957</t>
        </is>
      </c>
      <c r="B410" s="4" t="n">
        <v>635.26</v>
      </c>
      <c r="C410" s="3" t="n">
        <v>46016</v>
      </c>
      <c r="D410" s="3" t="n">
        <v>46181</v>
      </c>
      <c r="E410" s="2" t="n">
        <v>74</v>
      </c>
      <c r="F410" s="2" t="n">
        <v>44.31</v>
      </c>
      <c r="G410" s="2" t="n">
        <v>1.03</v>
      </c>
      <c r="H410" s="4" t="n">
        <v>6.54</v>
      </c>
      <c r="I410" s="4" t="n">
        <v>57.86</v>
      </c>
      <c r="J410" s="2" t="n">
        <v>70</v>
      </c>
      <c r="K410" s="4" t="n">
        <v>4.33</v>
      </c>
      <c r="L410" s="4" t="n">
        <v>40.4</v>
      </c>
      <c r="M410" s="4">
        <f>B410*(G410/100)*(J410/100)</f>
        <v/>
      </c>
      <c r="N410" s="4">
        <f>B410*(F410/360/100)*E410*(J410/100)</f>
        <v/>
      </c>
      <c r="O410" s="4">
        <f>K410-M410+L410-N410</f>
        <v/>
      </c>
    </row>
    <row r="411">
      <c r="A411" s="2" t="inlineStr">
        <is>
          <t>A87389155</t>
        </is>
      </c>
      <c r="B411" s="4" t="n">
        <v>8412.309999999999</v>
      </c>
      <c r="C411" s="3" t="n">
        <v>45999</v>
      </c>
      <c r="D411" s="3" t="n">
        <v>46060</v>
      </c>
      <c r="E411" s="2" t="n">
        <v>26</v>
      </c>
      <c r="F411" s="2" t="n">
        <v>22.16</v>
      </c>
      <c r="G411" s="2" t="n">
        <v>0.68</v>
      </c>
      <c r="H411" s="4" t="n">
        <v>57.2</v>
      </c>
      <c r="I411" s="4" t="n">
        <v>134.63</v>
      </c>
      <c r="J411" s="2" t="n">
        <v>50</v>
      </c>
      <c r="K411" s="4" t="n">
        <v>28.48</v>
      </c>
      <c r="L411" s="4" t="n">
        <v>67.09</v>
      </c>
      <c r="M411" s="4">
        <f>B411*(G411/100)*(J411/100)</f>
        <v/>
      </c>
      <c r="N411" s="4">
        <f>B411*(F411/360/100)*E411*(J411/100)</f>
        <v/>
      </c>
      <c r="O411" s="4">
        <f>K411-M411+L411-N411</f>
        <v/>
      </c>
    </row>
    <row r="412">
      <c r="A412" s="2" t="inlineStr">
        <is>
          <t>B04195747</t>
        </is>
      </c>
      <c r="B412" s="4" t="n">
        <v>2859.58</v>
      </c>
      <c r="C412" s="3" t="n">
        <v>45995</v>
      </c>
      <c r="D412" s="3" t="n">
        <v>46055</v>
      </c>
      <c r="E412" s="2" t="n">
        <v>60</v>
      </c>
      <c r="F412" s="2" t="n">
        <v>27.28</v>
      </c>
      <c r="G412" s="2" t="n">
        <v>2.82</v>
      </c>
      <c r="H412" s="4" t="n">
        <v>80.64</v>
      </c>
      <c r="I412" s="4" t="n">
        <v>130.02</v>
      </c>
      <c r="J412" s="2" t="n">
        <v>60</v>
      </c>
      <c r="K412" s="4" t="n">
        <v>48.19</v>
      </c>
      <c r="L412" s="4" t="n">
        <v>78.05</v>
      </c>
      <c r="M412" s="4">
        <f>B412*(G412/100)*(J412/100)</f>
        <v/>
      </c>
      <c r="N412" s="4">
        <f>B412*(F412/360/100)*E412*(J412/100)</f>
        <v/>
      </c>
      <c r="O412" s="4">
        <f>K412-M412+L412-N412</f>
        <v/>
      </c>
    </row>
    <row r="413">
      <c r="A413" s="2" t="inlineStr">
        <is>
          <t>A03634312</t>
        </is>
      </c>
      <c r="B413" s="4" t="n">
        <v>5531.05</v>
      </c>
      <c r="C413" s="3" t="n">
        <v>46018</v>
      </c>
      <c r="D413" s="3" t="n">
        <v>46031</v>
      </c>
      <c r="E413" s="2" t="n">
        <v>65</v>
      </c>
      <c r="F413" s="2" t="n">
        <v>28.62</v>
      </c>
      <c r="G413" s="2" t="n">
        <v>1.52</v>
      </c>
      <c r="H413" s="4" t="n">
        <v>84.06999999999999</v>
      </c>
      <c r="I413" s="4" t="n">
        <v>285.82</v>
      </c>
      <c r="J413" s="2" t="n">
        <v>30</v>
      </c>
      <c r="K413" s="4" t="n">
        <v>25.33</v>
      </c>
      <c r="L413" s="4" t="n">
        <v>85.86</v>
      </c>
      <c r="M413" s="4">
        <f>B413*(G413/100)*(J413/100)</f>
        <v/>
      </c>
      <c r="N413" s="4">
        <f>B413*(F413/360/100)*E413*(J413/100)</f>
        <v/>
      </c>
      <c r="O413" s="4">
        <f>K413-M413+L413-N413</f>
        <v/>
      </c>
    </row>
    <row r="414">
      <c r="A414" s="2" t="inlineStr">
        <is>
          <t>B19269355</t>
        </is>
      </c>
      <c r="B414" s="4" t="n">
        <v>1513.01</v>
      </c>
      <c r="C414" s="3" t="n">
        <v>46002</v>
      </c>
      <c r="D414" s="3" t="n">
        <v>46031</v>
      </c>
      <c r="E414" s="2" t="n">
        <v>65</v>
      </c>
      <c r="F414" s="2" t="n">
        <v>20.51</v>
      </c>
      <c r="G414" s="2" t="n">
        <v>2.63</v>
      </c>
      <c r="H414" s="4" t="n">
        <v>39.79</v>
      </c>
      <c r="I414" s="4" t="n">
        <v>56.03</v>
      </c>
      <c r="J414" s="2" t="n">
        <v>60</v>
      </c>
      <c r="K414" s="4" t="n">
        <v>24.1</v>
      </c>
      <c r="L414" s="4" t="n">
        <v>33.72</v>
      </c>
      <c r="M414" s="4">
        <f>B414*(G414/100)*(J414/100)</f>
        <v/>
      </c>
      <c r="N414" s="4">
        <f>B414*(F414/360/100)*E414*(J414/100)</f>
        <v/>
      </c>
      <c r="O414" s="4">
        <f>K414-M414+L414-N414</f>
        <v/>
      </c>
    </row>
    <row r="415">
      <c r="A415" s="2" t="inlineStr">
        <is>
          <t>B39380211</t>
        </is>
      </c>
      <c r="B415" s="4" t="n">
        <v>695.0700000000001</v>
      </c>
      <c r="C415" s="3" t="n">
        <v>46008</v>
      </c>
      <c r="D415" s="3" t="n">
        <v>46023</v>
      </c>
      <c r="E415" s="2" t="n">
        <v>38</v>
      </c>
      <c r="F415" s="2" t="n">
        <v>31.07</v>
      </c>
      <c r="G415" s="2" t="n">
        <v>2.58</v>
      </c>
      <c r="H415" s="4" t="n">
        <v>17.93</v>
      </c>
      <c r="I415" s="4" t="n">
        <v>22.8</v>
      </c>
      <c r="J415" s="2" t="n">
        <v>60</v>
      </c>
      <c r="K415" s="4" t="n">
        <v>10.98</v>
      </c>
      <c r="L415" s="4" t="n">
        <v>13.61</v>
      </c>
      <c r="M415" s="4">
        <f>B415*(G415/100)*(J415/100)</f>
        <v/>
      </c>
      <c r="N415" s="4">
        <f>B415*(F415/360/100)*E415*(J415/100)</f>
        <v/>
      </c>
      <c r="O415" s="4">
        <f>K415-M415+L415-N415</f>
        <v/>
      </c>
    </row>
    <row r="416">
      <c r="A416" s="2" t="inlineStr">
        <is>
          <t>B52579272</t>
        </is>
      </c>
      <c r="B416" s="4" t="n">
        <v>542.4299999999999</v>
      </c>
      <c r="C416" s="3" t="n">
        <v>45993</v>
      </c>
      <c r="D416" s="3" t="n">
        <v>46091</v>
      </c>
      <c r="E416" s="2" t="n">
        <v>82</v>
      </c>
      <c r="F416" s="2" t="n">
        <v>38.92</v>
      </c>
      <c r="G416" s="2" t="n">
        <v>1.29</v>
      </c>
      <c r="H416" s="4" t="n">
        <v>7</v>
      </c>
      <c r="I416" s="4" t="n">
        <v>48.09</v>
      </c>
      <c r="J416" s="2" t="n">
        <v>20</v>
      </c>
      <c r="K416" s="4" t="n">
        <v>1.42</v>
      </c>
      <c r="L416" s="4" t="n">
        <v>9.359999999999999</v>
      </c>
      <c r="M416" s="4">
        <f>B416*(G416/100)*(J416/100)</f>
        <v/>
      </c>
      <c r="N416" s="4">
        <f>B416*(F416/360/100)*E416*(J416/100)</f>
        <v/>
      </c>
      <c r="O416" s="4">
        <f>K416-M416+L416-N416</f>
        <v/>
      </c>
    </row>
    <row r="417">
      <c r="A417" s="2" t="inlineStr">
        <is>
          <t>A94663659</t>
        </is>
      </c>
      <c r="B417" s="4" t="n">
        <v>175.32</v>
      </c>
      <c r="C417" s="3" t="n">
        <v>46001</v>
      </c>
      <c r="D417" s="3" t="n">
        <v>46119</v>
      </c>
      <c r="E417" s="2" t="n">
        <v>21</v>
      </c>
      <c r="F417" s="2" t="n">
        <v>20.32</v>
      </c>
      <c r="G417" s="2" t="n">
        <v>0.78</v>
      </c>
      <c r="H417" s="4" t="n">
        <v>1.37</v>
      </c>
      <c r="I417" s="4" t="n">
        <v>2.08</v>
      </c>
      <c r="J417" s="2" t="n">
        <v>70</v>
      </c>
      <c r="K417" s="4" t="n">
        <v>1.15</v>
      </c>
      <c r="L417" s="4" t="n">
        <v>1.28</v>
      </c>
      <c r="M417" s="4">
        <f>B417*(G417/100)*(J417/100)</f>
        <v/>
      </c>
      <c r="N417" s="4">
        <f>B417*(F417/360/100)*E417*(J417/100)</f>
        <v/>
      </c>
      <c r="O417" s="4">
        <f>K417-M417+L417-N417</f>
        <v/>
      </c>
    </row>
    <row r="418">
      <c r="A418" s="2" t="inlineStr">
        <is>
          <t>B53134368</t>
        </is>
      </c>
      <c r="B418" s="4" t="n">
        <v>108.15</v>
      </c>
      <c r="C418" s="3" t="n">
        <v>46013</v>
      </c>
      <c r="D418" s="3" t="n">
        <v>46033</v>
      </c>
      <c r="E418" s="2" t="n">
        <v>75</v>
      </c>
      <c r="F418" s="2" t="n">
        <v>31.9</v>
      </c>
      <c r="G418" s="2" t="n">
        <v>2.57</v>
      </c>
      <c r="H418" s="4" t="n">
        <v>2.78</v>
      </c>
      <c r="I418" s="4" t="n">
        <v>7.19</v>
      </c>
      <c r="J418" s="2" t="n">
        <v>50</v>
      </c>
      <c r="K418" s="4" t="n">
        <v>1.25</v>
      </c>
      <c r="L418" s="4" t="n">
        <v>3.87</v>
      </c>
      <c r="M418" s="4">
        <f>B418*(G418/100)*(J418/100)</f>
        <v/>
      </c>
      <c r="N418" s="4">
        <f>B418*(F418/360/100)*E418*(J418/100)</f>
        <v/>
      </c>
      <c r="O418" s="4">
        <f>K418-M418+L418-N418</f>
        <v/>
      </c>
    </row>
    <row r="419">
      <c r="A419" s="2" t="inlineStr">
        <is>
          <t>A10265313</t>
        </is>
      </c>
      <c r="B419" s="4" t="n">
        <v>488.6</v>
      </c>
      <c r="C419" s="3" t="n">
        <v>45993</v>
      </c>
      <c r="D419" s="3" t="n">
        <v>46032</v>
      </c>
      <c r="E419" s="2" t="n">
        <v>17</v>
      </c>
      <c r="F419" s="2" t="n">
        <v>34.1</v>
      </c>
      <c r="G419" s="2" t="n">
        <v>0.91</v>
      </c>
      <c r="H419" s="4" t="n">
        <v>4.45</v>
      </c>
      <c r="I419" s="4" t="n">
        <v>7.87</v>
      </c>
      <c r="J419" s="2" t="n">
        <v>70</v>
      </c>
      <c r="K419" s="4" t="n">
        <v>3.32</v>
      </c>
      <c r="L419" s="4" t="n">
        <v>5.76</v>
      </c>
      <c r="M419" s="4">
        <f>B419*(G419/100)*(J419/100)</f>
        <v/>
      </c>
      <c r="N419" s="4">
        <f>B419*(F419/360/100)*E419*(J419/100)</f>
        <v/>
      </c>
      <c r="O419" s="4">
        <f>K419-M419+L419-N419</f>
        <v/>
      </c>
    </row>
    <row r="420">
      <c r="A420" s="2" t="inlineStr">
        <is>
          <t>B98336942</t>
        </is>
      </c>
      <c r="B420" s="4" t="n">
        <v>249.38</v>
      </c>
      <c r="C420" s="3" t="n">
        <v>46009</v>
      </c>
      <c r="D420" s="3" t="n">
        <v>46191</v>
      </c>
      <c r="E420" s="2" t="n">
        <v>19</v>
      </c>
      <c r="F420" s="2" t="n">
        <v>39.55</v>
      </c>
      <c r="G420" s="2" t="n">
        <v>2.62</v>
      </c>
      <c r="H420" s="4" t="n">
        <v>6.53</v>
      </c>
      <c r="I420" s="4" t="n">
        <v>5.21</v>
      </c>
      <c r="J420" s="2" t="n">
        <v>20</v>
      </c>
      <c r="K420" s="4" t="n">
        <v>1.04</v>
      </c>
      <c r="L420" s="4" t="n">
        <v>1.14</v>
      </c>
      <c r="M420" s="4">
        <f>B420*(G420/100)*(J420/100)</f>
        <v/>
      </c>
      <c r="N420" s="4">
        <f>B420*(F420/360/100)*E420*(J420/100)</f>
        <v/>
      </c>
      <c r="O420" s="4">
        <f>K420-M420+L420-N420</f>
        <v/>
      </c>
    </row>
    <row r="421">
      <c r="A421" s="2" t="inlineStr">
        <is>
          <t>B99713630</t>
        </is>
      </c>
      <c r="B421" s="4" t="n">
        <v>279.89</v>
      </c>
      <c r="C421" s="3" t="n">
        <v>46015</v>
      </c>
      <c r="D421" s="3" t="n">
        <v>46073</v>
      </c>
      <c r="E421" s="2" t="n">
        <v>64</v>
      </c>
      <c r="F421" s="2" t="n">
        <v>32.93</v>
      </c>
      <c r="G421" s="2" t="n">
        <v>2.33</v>
      </c>
      <c r="H421" s="4" t="n">
        <v>6.52</v>
      </c>
      <c r="I421" s="4" t="n">
        <v>16.39</v>
      </c>
      <c r="J421" s="2" t="n">
        <v>50</v>
      </c>
      <c r="K421" s="4" t="n">
        <v>3.18</v>
      </c>
      <c r="L421" s="4" t="n">
        <v>8.18</v>
      </c>
      <c r="M421" s="4">
        <f>B421*(G421/100)*(J421/100)</f>
        <v/>
      </c>
      <c r="N421" s="4">
        <f>B421*(F421/360/100)*E421*(J421/100)</f>
        <v/>
      </c>
      <c r="O421" s="4">
        <f>K421-M421+L421-N421</f>
        <v/>
      </c>
    </row>
    <row r="422">
      <c r="A422" s="2" t="inlineStr">
        <is>
          <t>A94044603</t>
        </is>
      </c>
      <c r="B422" s="4" t="n">
        <v>619.48</v>
      </c>
      <c r="C422" s="3" t="n">
        <v>46007</v>
      </c>
      <c r="D422" s="3" t="n">
        <v>46186</v>
      </c>
      <c r="E422" s="2" t="n">
        <v>86</v>
      </c>
      <c r="F422" s="2" t="n">
        <v>20.99</v>
      </c>
      <c r="G422" s="2" t="n">
        <v>2.76</v>
      </c>
      <c r="H422" s="4" t="n">
        <v>17.1</v>
      </c>
      <c r="I422" s="4" t="n">
        <v>31.06</v>
      </c>
      <c r="J422" s="2" t="n">
        <v>70</v>
      </c>
      <c r="K422" s="4" t="n">
        <v>12.13</v>
      </c>
      <c r="L422" s="4" t="n">
        <v>21.47</v>
      </c>
      <c r="M422" s="4">
        <f>B422*(G422/100)*(J422/100)</f>
        <v/>
      </c>
      <c r="N422" s="4">
        <f>B422*(F422/360/100)*E422*(J422/100)</f>
        <v/>
      </c>
      <c r="O422" s="4">
        <f>K422-M422+L422-N422</f>
        <v/>
      </c>
    </row>
    <row r="423">
      <c r="A423" s="2" t="inlineStr">
        <is>
          <t>B73902506</t>
        </is>
      </c>
      <c r="B423" s="4" t="n">
        <v>347.54</v>
      </c>
      <c r="C423" s="3" t="n">
        <v>46011</v>
      </c>
      <c r="D423" s="3" t="n">
        <v>46098</v>
      </c>
      <c r="E423" s="2" t="n">
        <v>46</v>
      </c>
      <c r="F423" s="2" t="n">
        <v>25.18</v>
      </c>
      <c r="G423" s="2" t="n">
        <v>2.45</v>
      </c>
      <c r="H423" s="4" t="n">
        <v>8.51</v>
      </c>
      <c r="I423" s="4" t="n">
        <v>11.18</v>
      </c>
      <c r="J423" s="2" t="n">
        <v>40</v>
      </c>
      <c r="K423" s="4" t="n">
        <v>3.11</v>
      </c>
      <c r="L423" s="4" t="n">
        <v>4.18</v>
      </c>
      <c r="M423" s="4">
        <f>B423*(G423/100)*(J423/100)</f>
        <v/>
      </c>
      <c r="N423" s="4">
        <f>B423*(F423/360/100)*E423*(J423/100)</f>
        <v/>
      </c>
      <c r="O423" s="4">
        <f>K423-M423+L423-N423</f>
        <v/>
      </c>
    </row>
    <row r="424">
      <c r="A424" s="2" t="inlineStr">
        <is>
          <t>A84495282</t>
        </is>
      </c>
      <c r="B424" s="4" t="n">
        <v>1503.81</v>
      </c>
      <c r="C424" s="3" t="n">
        <v>46002</v>
      </c>
      <c r="D424" s="3" t="n">
        <v>46199</v>
      </c>
      <c r="E424" s="2" t="n">
        <v>13</v>
      </c>
      <c r="F424" s="2" t="n">
        <v>19.51</v>
      </c>
      <c r="G424" s="2" t="n">
        <v>1.7</v>
      </c>
      <c r="H424" s="4" t="n">
        <v>25.56</v>
      </c>
      <c r="I424" s="4" t="n">
        <v>10.59</v>
      </c>
      <c r="J424" s="2" t="n">
        <v>60</v>
      </c>
      <c r="K424" s="4" t="n">
        <v>15.3</v>
      </c>
      <c r="L424" s="4" t="n">
        <v>6.27</v>
      </c>
      <c r="M424" s="4">
        <f>B424*(G424/100)*(J424/100)</f>
        <v/>
      </c>
      <c r="N424" s="4">
        <f>B424*(F424/360/100)*E424*(J424/100)</f>
        <v/>
      </c>
      <c r="O424" s="4">
        <f>K424-M424+L424-N424</f>
        <v/>
      </c>
    </row>
    <row r="425">
      <c r="A425" s="2" t="inlineStr">
        <is>
          <t>B25435383</t>
        </is>
      </c>
      <c r="B425" s="4" t="n">
        <v>6347.91</v>
      </c>
      <c r="C425" s="3" t="n">
        <v>46018</v>
      </c>
      <c r="D425" s="3" t="n">
        <v>46138</v>
      </c>
      <c r="E425" s="2" t="n">
        <v>79</v>
      </c>
      <c r="F425" s="2" t="n">
        <v>36</v>
      </c>
      <c r="G425" s="2" t="n">
        <v>1.72</v>
      </c>
      <c r="H425" s="4" t="n">
        <v>109.18</v>
      </c>
      <c r="I425" s="4" t="n">
        <v>501.48</v>
      </c>
      <c r="J425" s="2" t="n">
        <v>40</v>
      </c>
      <c r="K425" s="4" t="n">
        <v>43.87</v>
      </c>
      <c r="L425" s="4" t="n">
        <v>200.81</v>
      </c>
      <c r="M425" s="4">
        <f>B425*(G425/100)*(J425/100)</f>
        <v/>
      </c>
      <c r="N425" s="4">
        <f>B425*(F425/360/100)*E425*(J425/100)</f>
        <v/>
      </c>
      <c r="O425" s="4">
        <f>K425-M425+L425-N425</f>
        <v/>
      </c>
    </row>
    <row r="426">
      <c r="A426" s="2" t="inlineStr">
        <is>
          <t>A22002209</t>
        </is>
      </c>
      <c r="B426" s="4" t="n">
        <v>3345.42</v>
      </c>
      <c r="C426" s="3" t="n">
        <v>45998</v>
      </c>
      <c r="D426" s="3" t="n">
        <v>46183</v>
      </c>
      <c r="E426" s="2" t="n">
        <v>22</v>
      </c>
      <c r="F426" s="2" t="n">
        <v>28.34</v>
      </c>
      <c r="G426" s="2" t="n">
        <v>0.51</v>
      </c>
      <c r="H426" s="4" t="n">
        <v>17.06</v>
      </c>
      <c r="I426" s="4" t="n">
        <v>57.94</v>
      </c>
      <c r="J426" s="2" t="n">
        <v>40</v>
      </c>
      <c r="K426" s="4" t="n">
        <v>6.62</v>
      </c>
      <c r="L426" s="4" t="n">
        <v>23.37</v>
      </c>
      <c r="M426" s="4">
        <f>B426*(G426/100)*(J426/100)</f>
        <v/>
      </c>
      <c r="N426" s="4">
        <f>B426*(F426/360/100)*E426*(J426/100)</f>
        <v/>
      </c>
      <c r="O426" s="4">
        <f>K426-M426+L426-N426</f>
        <v/>
      </c>
    </row>
    <row r="427">
      <c r="A427" s="2" t="inlineStr">
        <is>
          <t>A40233317</t>
        </is>
      </c>
      <c r="B427" s="4" t="n">
        <v>748.67</v>
      </c>
      <c r="C427" s="3" t="n">
        <v>46012</v>
      </c>
      <c r="D427" s="3" t="n">
        <v>46200</v>
      </c>
      <c r="E427" s="2" t="n">
        <v>21</v>
      </c>
      <c r="F427" s="2" t="n">
        <v>10.39</v>
      </c>
      <c r="G427" s="2" t="n">
        <v>0.79</v>
      </c>
      <c r="H427" s="4" t="n">
        <v>5.91</v>
      </c>
      <c r="I427" s="4" t="n">
        <v>4.54</v>
      </c>
      <c r="J427" s="2" t="n">
        <v>50</v>
      </c>
      <c r="K427" s="4" t="n">
        <v>2.91</v>
      </c>
      <c r="L427" s="4" t="n">
        <v>2.13</v>
      </c>
      <c r="M427" s="4">
        <f>B427*(G427/100)*(J427/100)</f>
        <v/>
      </c>
      <c r="N427" s="4">
        <f>B427*(F427/360/100)*E427*(J427/100)</f>
        <v/>
      </c>
      <c r="O427" s="4">
        <f>K427-M427+L427-N427</f>
        <v/>
      </c>
    </row>
    <row r="428">
      <c r="A428" s="2" t="inlineStr">
        <is>
          <t>A95974636</t>
        </is>
      </c>
      <c r="B428" s="4" t="n">
        <v>496.48</v>
      </c>
      <c r="C428" s="3" t="n">
        <v>46011</v>
      </c>
      <c r="D428" s="3" t="n">
        <v>46117</v>
      </c>
      <c r="E428" s="2" t="n">
        <v>82</v>
      </c>
      <c r="F428" s="2" t="n">
        <v>25.83</v>
      </c>
      <c r="G428" s="2" t="n">
        <v>1.77</v>
      </c>
      <c r="H428" s="4" t="n">
        <v>8.789999999999999</v>
      </c>
      <c r="I428" s="4" t="n">
        <v>29.21</v>
      </c>
      <c r="J428" s="2" t="n">
        <v>40</v>
      </c>
      <c r="K428" s="4" t="n">
        <v>3.73</v>
      </c>
      <c r="L428" s="4" t="n">
        <v>11.75</v>
      </c>
      <c r="M428" s="4">
        <f>B428*(G428/100)*(J428/100)</f>
        <v/>
      </c>
      <c r="N428" s="4">
        <f>B428*(F428/360/100)*E428*(J428/100)</f>
        <v/>
      </c>
      <c r="O428" s="4">
        <f>K428-M428+L428-N428</f>
        <v/>
      </c>
    </row>
    <row r="429">
      <c r="A429" s="2" t="inlineStr">
        <is>
          <t>A53525598</t>
        </is>
      </c>
      <c r="B429" s="4" t="n">
        <v>108.05</v>
      </c>
      <c r="C429" s="3" t="n">
        <v>46010</v>
      </c>
      <c r="D429" s="3" t="n">
        <v>46116</v>
      </c>
      <c r="E429" s="2" t="n">
        <v>53</v>
      </c>
      <c r="F429" s="2" t="n">
        <v>16.93</v>
      </c>
      <c r="G429" s="2" t="n">
        <v>1.82</v>
      </c>
      <c r="H429" s="4" t="n">
        <v>1.97</v>
      </c>
      <c r="I429" s="4" t="n">
        <v>2.69</v>
      </c>
      <c r="J429" s="2" t="n">
        <v>20</v>
      </c>
      <c r="K429" s="4" t="n">
        <v>0.41</v>
      </c>
      <c r="L429" s="4" t="n">
        <v>0.6899999999999999</v>
      </c>
      <c r="M429" s="4">
        <f>B429*(G429/100)*(J429/100)</f>
        <v/>
      </c>
      <c r="N429" s="4">
        <f>B429*(F429/360/100)*E429*(J429/100)</f>
        <v/>
      </c>
      <c r="O429" s="4">
        <f>K429-M429+L429-N429</f>
        <v/>
      </c>
    </row>
    <row r="430">
      <c r="A430" s="2" t="inlineStr">
        <is>
          <t>B19479967</t>
        </is>
      </c>
      <c r="B430" s="4" t="n">
        <v>833.39</v>
      </c>
      <c r="C430" s="3" t="n">
        <v>46016</v>
      </c>
      <c r="D430" s="3" t="n">
        <v>46099</v>
      </c>
      <c r="E430" s="2" t="n">
        <v>55</v>
      </c>
      <c r="F430" s="2" t="n">
        <v>32.21</v>
      </c>
      <c r="G430" s="2" t="n">
        <v>1.4</v>
      </c>
      <c r="H430" s="4" t="n">
        <v>11.67</v>
      </c>
      <c r="I430" s="4" t="n">
        <v>41.01</v>
      </c>
      <c r="J430" s="2" t="n">
        <v>50</v>
      </c>
      <c r="K430" s="4" t="n">
        <v>6.06</v>
      </c>
      <c r="L430" s="4" t="n">
        <v>20.47</v>
      </c>
      <c r="M430" s="4">
        <f>B430*(G430/100)*(J430/100)</f>
        <v/>
      </c>
      <c r="N430" s="4">
        <f>B430*(F430/360/100)*E430*(J430/100)</f>
        <v/>
      </c>
      <c r="O430" s="4">
        <f>K430-M430+L430-N430</f>
        <v/>
      </c>
    </row>
    <row r="431">
      <c r="A431" s="2" t="inlineStr">
        <is>
          <t>A83294252</t>
        </is>
      </c>
      <c r="B431" s="4" t="n">
        <v>301.27</v>
      </c>
      <c r="C431" s="3" t="n">
        <v>45999</v>
      </c>
      <c r="D431" s="3" t="n">
        <v>46121</v>
      </c>
      <c r="E431" s="2" t="n">
        <v>79</v>
      </c>
      <c r="F431" s="2" t="n">
        <v>49.63</v>
      </c>
      <c r="G431" s="2" t="n">
        <v>2.86</v>
      </c>
      <c r="H431" s="4" t="n">
        <v>8.619999999999999</v>
      </c>
      <c r="I431" s="4" t="n">
        <v>32.81</v>
      </c>
      <c r="J431" s="2" t="n">
        <v>50</v>
      </c>
      <c r="K431" s="4" t="n">
        <v>4.58</v>
      </c>
      <c r="L431" s="4" t="n">
        <v>16.31</v>
      </c>
      <c r="M431" s="4">
        <f>B431*(G431/100)*(J431/100)</f>
        <v/>
      </c>
      <c r="N431" s="4">
        <f>B431*(F431/360/100)*E431*(J431/100)</f>
        <v/>
      </c>
      <c r="O431" s="4">
        <f>K431-M431+L431-N431</f>
        <v/>
      </c>
    </row>
    <row r="432">
      <c r="A432" s="2" t="inlineStr">
        <is>
          <t>A91945379</t>
        </is>
      </c>
      <c r="B432" s="4" t="n">
        <v>106.32</v>
      </c>
      <c r="C432" s="3" t="n">
        <v>46016</v>
      </c>
      <c r="D432" s="3" t="n">
        <v>46109</v>
      </c>
      <c r="E432" s="2" t="n">
        <v>79</v>
      </c>
      <c r="F432" s="2" t="n">
        <v>43.4</v>
      </c>
      <c r="G432" s="2" t="n">
        <v>2.05</v>
      </c>
      <c r="H432" s="4" t="n">
        <v>2.18</v>
      </c>
      <c r="I432" s="4" t="n">
        <v>10.13</v>
      </c>
      <c r="J432" s="2" t="n">
        <v>50</v>
      </c>
      <c r="K432" s="4" t="n">
        <v>0.9</v>
      </c>
      <c r="L432" s="4" t="n">
        <v>5.09</v>
      </c>
      <c r="M432" s="4">
        <f>B432*(G432/100)*(J432/100)</f>
        <v/>
      </c>
      <c r="N432" s="4">
        <f>B432*(F432/360/100)*E432*(J432/100)</f>
        <v/>
      </c>
      <c r="O432" s="4">
        <f>K432-M432+L432-N432</f>
        <v/>
      </c>
    </row>
    <row r="433">
      <c r="A433" s="2" t="inlineStr">
        <is>
          <t>A87659735</t>
        </is>
      </c>
      <c r="B433" s="4" t="n">
        <v>176.76</v>
      </c>
      <c r="C433" s="3" t="n">
        <v>46014</v>
      </c>
      <c r="D433" s="3" t="n">
        <v>46130</v>
      </c>
      <c r="E433" s="2" t="n">
        <v>74</v>
      </c>
      <c r="F433" s="2" t="n">
        <v>22.24</v>
      </c>
      <c r="G433" s="2" t="n">
        <v>0.5</v>
      </c>
      <c r="H433" s="4" t="n">
        <v>0.88</v>
      </c>
      <c r="I433" s="4" t="n">
        <v>8.08</v>
      </c>
      <c r="J433" s="2" t="n">
        <v>40</v>
      </c>
      <c r="K433" s="4" t="n">
        <v>0.23</v>
      </c>
      <c r="L433" s="4" t="n">
        <v>3.08</v>
      </c>
      <c r="M433" s="4">
        <f>B433*(G433/100)*(J433/100)</f>
        <v/>
      </c>
      <c r="N433" s="4">
        <f>B433*(F433/360/100)*E433*(J433/100)</f>
        <v/>
      </c>
      <c r="O433" s="4">
        <f>K433-M433+L433-N433</f>
        <v/>
      </c>
    </row>
    <row r="434">
      <c r="A434" s="2" t="inlineStr">
        <is>
          <t>B66756052</t>
        </is>
      </c>
      <c r="B434" s="4" t="n">
        <v>705.53</v>
      </c>
      <c r="C434" s="3" t="n">
        <v>45996</v>
      </c>
      <c r="D434" s="3" t="n">
        <v>46193</v>
      </c>
      <c r="E434" s="2" t="n">
        <v>65</v>
      </c>
      <c r="F434" s="2" t="n">
        <v>32.96</v>
      </c>
      <c r="G434" s="2" t="n">
        <v>1.5</v>
      </c>
      <c r="H434" s="4" t="n">
        <v>10.58</v>
      </c>
      <c r="I434" s="4" t="n">
        <v>41.99</v>
      </c>
      <c r="J434" s="2" t="n">
        <v>40</v>
      </c>
      <c r="K434" s="4" t="n">
        <v>4.18</v>
      </c>
      <c r="L434" s="4" t="n">
        <v>16.63</v>
      </c>
      <c r="M434" s="4">
        <f>B434*(G434/100)*(J434/100)</f>
        <v/>
      </c>
      <c r="N434" s="4">
        <f>B434*(F434/360/100)*E434*(J434/100)</f>
        <v/>
      </c>
      <c r="O434" s="4">
        <f>K434-M434+L434-N434</f>
        <v/>
      </c>
    </row>
    <row r="435">
      <c r="A435" s="2" t="inlineStr">
        <is>
          <t>A62809818</t>
        </is>
      </c>
      <c r="B435" s="4" t="n">
        <v>264.57</v>
      </c>
      <c r="C435" s="3" t="n">
        <v>45993</v>
      </c>
      <c r="D435" s="3" t="n">
        <v>46193</v>
      </c>
      <c r="E435" s="2" t="n">
        <v>75</v>
      </c>
      <c r="F435" s="2" t="n">
        <v>38.75</v>
      </c>
      <c r="G435" s="2" t="n">
        <v>0.5</v>
      </c>
      <c r="H435" s="4" t="n">
        <v>1.32</v>
      </c>
      <c r="I435" s="4" t="n">
        <v>21.36</v>
      </c>
      <c r="J435" s="2" t="n">
        <v>40</v>
      </c>
      <c r="K435" s="4" t="n">
        <v>0.79</v>
      </c>
      <c r="L435" s="4" t="n">
        <v>8.380000000000001</v>
      </c>
      <c r="M435" s="4">
        <f>B435*(G435/100)*(J435/100)</f>
        <v/>
      </c>
      <c r="N435" s="4">
        <f>B435*(F435/360/100)*E435*(J435/100)</f>
        <v/>
      </c>
      <c r="O435" s="4">
        <f>K435-M435+L435-N435</f>
        <v/>
      </c>
    </row>
    <row r="436">
      <c r="A436" s="2" t="inlineStr">
        <is>
          <t>B23345947</t>
        </is>
      </c>
      <c r="B436" s="4" t="n">
        <v>1100.46</v>
      </c>
      <c r="C436" s="3" t="n">
        <v>45992</v>
      </c>
      <c r="D436" s="3" t="n">
        <v>46155</v>
      </c>
      <c r="E436" s="2" t="n">
        <v>29</v>
      </c>
      <c r="F436" s="2" t="n">
        <v>24.77</v>
      </c>
      <c r="G436" s="2" t="n">
        <v>2.2</v>
      </c>
      <c r="H436" s="4" t="n">
        <v>24.21</v>
      </c>
      <c r="I436" s="4" t="n">
        <v>21.96</v>
      </c>
      <c r="J436" s="2" t="n">
        <v>50</v>
      </c>
      <c r="K436" s="4" t="n">
        <v>12.36</v>
      </c>
      <c r="L436" s="4" t="n">
        <v>10.69</v>
      </c>
      <c r="M436" s="4">
        <f>B436*(G436/100)*(J436/100)</f>
        <v/>
      </c>
      <c r="N436" s="4">
        <f>B436*(F436/360/100)*E436*(J436/100)</f>
        <v/>
      </c>
      <c r="O436" s="4">
        <f>K436-M436+L436-N436</f>
        <v/>
      </c>
    </row>
    <row r="437">
      <c r="A437" s="2" t="inlineStr">
        <is>
          <t>B05094639</t>
        </is>
      </c>
      <c r="B437" s="4" t="n">
        <v>182.74</v>
      </c>
      <c r="C437" s="3" t="n">
        <v>45997</v>
      </c>
      <c r="D437" s="3" t="n">
        <v>46165</v>
      </c>
      <c r="E437" s="2" t="n">
        <v>46</v>
      </c>
      <c r="F437" s="2" t="n">
        <v>14.82</v>
      </c>
      <c r="G437" s="2" t="n">
        <v>2.46</v>
      </c>
      <c r="H437" s="4" t="n">
        <v>4.5</v>
      </c>
      <c r="I437" s="4" t="n">
        <v>3.46</v>
      </c>
      <c r="J437" s="2" t="n">
        <v>60</v>
      </c>
      <c r="K437" s="4" t="n">
        <v>2.52</v>
      </c>
      <c r="L437" s="4" t="n">
        <v>2.25</v>
      </c>
      <c r="M437" s="4">
        <f>B437*(G437/100)*(J437/100)</f>
        <v/>
      </c>
      <c r="N437" s="4">
        <f>B437*(F437/360/100)*E437*(J437/100)</f>
        <v/>
      </c>
      <c r="O437" s="4">
        <f>K437-M437+L437-N437</f>
        <v/>
      </c>
    </row>
    <row r="438">
      <c r="A438" s="2" t="inlineStr">
        <is>
          <t>B96119778</t>
        </is>
      </c>
      <c r="B438" s="4" t="n">
        <v>388.4</v>
      </c>
      <c r="C438" s="3" t="n">
        <v>46004</v>
      </c>
      <c r="D438" s="3" t="n">
        <v>46037</v>
      </c>
      <c r="E438" s="2" t="n">
        <v>64</v>
      </c>
      <c r="F438" s="2" t="n">
        <v>17.25</v>
      </c>
      <c r="G438" s="2" t="n">
        <v>1.45</v>
      </c>
      <c r="H438" s="4" t="n">
        <v>5.63</v>
      </c>
      <c r="I438" s="4" t="n">
        <v>11.91</v>
      </c>
      <c r="J438" s="2" t="n">
        <v>70</v>
      </c>
      <c r="K438" s="4" t="n">
        <v>3.71</v>
      </c>
      <c r="L438" s="4" t="n">
        <v>8.08</v>
      </c>
      <c r="M438" s="4">
        <f>B438*(G438/100)*(J438/100)</f>
        <v/>
      </c>
      <c r="N438" s="4">
        <f>B438*(F438/360/100)*E438*(J438/100)</f>
        <v/>
      </c>
      <c r="O438" s="4">
        <f>K438-M438+L438-N438</f>
        <v/>
      </c>
    </row>
    <row r="439">
      <c r="A439" s="2" t="inlineStr">
        <is>
          <t>A48932627</t>
        </is>
      </c>
      <c r="B439" s="4" t="n">
        <v>571.58</v>
      </c>
      <c r="C439" s="3" t="n">
        <v>46012</v>
      </c>
      <c r="D439" s="3" t="n">
        <v>46098</v>
      </c>
      <c r="E439" s="2" t="n">
        <v>49</v>
      </c>
      <c r="F439" s="2" t="n">
        <v>46.59</v>
      </c>
      <c r="G439" s="2" t="n">
        <v>1.75</v>
      </c>
      <c r="H439" s="4" t="n">
        <v>10</v>
      </c>
      <c r="I439" s="4" t="n">
        <v>36.25</v>
      </c>
      <c r="J439" s="2" t="n">
        <v>20</v>
      </c>
      <c r="K439" s="4" t="n">
        <v>2.3</v>
      </c>
      <c r="L439" s="4" t="n">
        <v>6.98</v>
      </c>
      <c r="M439" s="4">
        <f>B439*(G439/100)*(J439/100)</f>
        <v/>
      </c>
      <c r="N439" s="4">
        <f>B439*(F439/360/100)*E439*(J439/100)</f>
        <v/>
      </c>
      <c r="O439" s="4">
        <f>K439-M439+L439-N439</f>
        <v/>
      </c>
    </row>
    <row r="440">
      <c r="A440" s="2" t="inlineStr">
        <is>
          <t>B42360172</t>
        </is>
      </c>
      <c r="B440" s="4" t="n">
        <v>685.4299999999999</v>
      </c>
      <c r="C440" s="3" t="n">
        <v>46016</v>
      </c>
      <c r="D440" s="3" t="n">
        <v>46182</v>
      </c>
      <c r="E440" s="2" t="n">
        <v>53</v>
      </c>
      <c r="F440" s="2" t="n">
        <v>19.25</v>
      </c>
      <c r="G440" s="2" t="n">
        <v>0.71</v>
      </c>
      <c r="H440" s="4" t="n">
        <v>4.87</v>
      </c>
      <c r="I440" s="4" t="n">
        <v>19.43</v>
      </c>
      <c r="J440" s="2" t="n">
        <v>20</v>
      </c>
      <c r="K440" s="4" t="n">
        <v>0.93</v>
      </c>
      <c r="L440" s="4" t="n">
        <v>4.14</v>
      </c>
      <c r="M440" s="4">
        <f>B440*(G440/100)*(J440/100)</f>
        <v/>
      </c>
      <c r="N440" s="4">
        <f>B440*(F440/360/100)*E440*(J440/100)</f>
        <v/>
      </c>
      <c r="O440" s="4">
        <f>K440-M440+L440-N440</f>
        <v/>
      </c>
    </row>
    <row r="441">
      <c r="A441" s="2" t="inlineStr">
        <is>
          <t>B00802970</t>
        </is>
      </c>
      <c r="B441" s="4" t="n">
        <v>7010.73</v>
      </c>
      <c r="C441" s="3" t="n">
        <v>46009</v>
      </c>
      <c r="D441" s="3" t="n">
        <v>46084</v>
      </c>
      <c r="E441" s="2" t="n">
        <v>75</v>
      </c>
      <c r="F441" s="2" t="n">
        <v>14.23</v>
      </c>
      <c r="G441" s="2" t="n">
        <v>2.54</v>
      </c>
      <c r="H441" s="4" t="n">
        <v>178.07</v>
      </c>
      <c r="I441" s="4" t="n">
        <v>207.84</v>
      </c>
      <c r="J441" s="2" t="n">
        <v>60</v>
      </c>
      <c r="K441" s="4" t="n">
        <v>106.95</v>
      </c>
      <c r="L441" s="4" t="n">
        <v>124.43</v>
      </c>
      <c r="M441" s="4">
        <f>B441*(G441/100)*(J441/100)</f>
        <v/>
      </c>
      <c r="N441" s="4">
        <f>B441*(F441/360/100)*E441*(J441/100)</f>
        <v/>
      </c>
      <c r="O441" s="4">
        <f>K441-M441+L441-N441</f>
        <v/>
      </c>
    </row>
    <row r="442">
      <c r="A442" s="2" t="inlineStr">
        <is>
          <t>B81969135</t>
        </is>
      </c>
      <c r="B442" s="4" t="n">
        <v>4551.12</v>
      </c>
      <c r="C442" s="3" t="n">
        <v>46002</v>
      </c>
      <c r="D442" s="3" t="n">
        <v>46187</v>
      </c>
      <c r="E442" s="2" t="n">
        <v>28</v>
      </c>
      <c r="F442" s="2" t="n">
        <v>30.51</v>
      </c>
      <c r="G442" s="2" t="n">
        <v>1.3</v>
      </c>
      <c r="H442" s="4" t="n">
        <v>59.16</v>
      </c>
      <c r="I442" s="4" t="n">
        <v>108</v>
      </c>
      <c r="J442" s="2" t="n">
        <v>50</v>
      </c>
      <c r="K442" s="4" t="n">
        <v>29.34</v>
      </c>
      <c r="L442" s="4" t="n">
        <v>53.75</v>
      </c>
      <c r="M442" s="4">
        <f>B442*(G442/100)*(J442/100)</f>
        <v/>
      </c>
      <c r="N442" s="4">
        <f>B442*(F442/360/100)*E442*(J442/100)</f>
        <v/>
      </c>
      <c r="O442" s="4">
        <f>K442-M442+L442-N442</f>
        <v/>
      </c>
    </row>
    <row r="443">
      <c r="A443" s="2" t="inlineStr">
        <is>
          <t>B12464643</t>
        </is>
      </c>
      <c r="B443" s="4" t="n">
        <v>4475.36</v>
      </c>
      <c r="C443" s="3" t="n">
        <v>46007</v>
      </c>
      <c r="D443" s="3" t="n">
        <v>46087</v>
      </c>
      <c r="E443" s="2" t="n">
        <v>59</v>
      </c>
      <c r="F443" s="2" t="n">
        <v>46.35</v>
      </c>
      <c r="G443" s="2" t="n">
        <v>0.52</v>
      </c>
      <c r="H443" s="4" t="n">
        <v>23.27</v>
      </c>
      <c r="I443" s="4" t="n">
        <v>339.96</v>
      </c>
      <c r="J443" s="2" t="n">
        <v>70</v>
      </c>
      <c r="K443" s="4" t="n">
        <v>16.16</v>
      </c>
      <c r="L443" s="4" t="n">
        <v>238.05</v>
      </c>
      <c r="M443" s="4">
        <f>B443*(G443/100)*(J443/100)</f>
        <v/>
      </c>
      <c r="N443" s="4">
        <f>B443*(F443/360/100)*E443*(J443/100)</f>
        <v/>
      </c>
      <c r="O443" s="4">
        <f>K443-M443+L443-N443</f>
        <v/>
      </c>
    </row>
    <row r="444">
      <c r="A444" s="2" t="inlineStr">
        <is>
          <t>A97986289</t>
        </is>
      </c>
      <c r="B444" s="4" t="n">
        <v>9825.870000000001</v>
      </c>
      <c r="C444" s="3" t="n">
        <v>45996</v>
      </c>
      <c r="D444" s="3" t="n">
        <v>46100</v>
      </c>
      <c r="E444" s="2" t="n">
        <v>69</v>
      </c>
      <c r="F444" s="2" t="n">
        <v>29</v>
      </c>
      <c r="G444" s="2" t="n">
        <v>2.1</v>
      </c>
      <c r="H444" s="4" t="n">
        <v>206.34</v>
      </c>
      <c r="I444" s="4" t="n">
        <v>546.15</v>
      </c>
      <c r="J444" s="2" t="n">
        <v>40</v>
      </c>
      <c r="K444" s="4" t="n">
        <v>82.7</v>
      </c>
      <c r="L444" s="4" t="n">
        <v>218.67</v>
      </c>
      <c r="M444" s="4">
        <f>B444*(G444/100)*(J444/100)</f>
        <v/>
      </c>
      <c r="N444" s="4">
        <f>B444*(F444/360/100)*E444*(J444/100)</f>
        <v/>
      </c>
      <c r="O444" s="4">
        <f>K444-M444+L444-N444</f>
        <v/>
      </c>
    </row>
    <row r="445">
      <c r="A445" s="2" t="inlineStr">
        <is>
          <t>B32305268</t>
        </is>
      </c>
      <c r="B445" s="4" t="n">
        <v>335.5</v>
      </c>
      <c r="C445" s="3" t="n">
        <v>46018</v>
      </c>
      <c r="D445" s="3" t="n">
        <v>46041</v>
      </c>
      <c r="E445" s="2" t="n">
        <v>76</v>
      </c>
      <c r="F445" s="2" t="n">
        <v>30.26</v>
      </c>
      <c r="G445" s="2" t="n">
        <v>1.53</v>
      </c>
      <c r="H445" s="4" t="n">
        <v>5.13</v>
      </c>
      <c r="I445" s="4" t="n">
        <v>21.43</v>
      </c>
      <c r="J445" s="2" t="n">
        <v>40</v>
      </c>
      <c r="K445" s="4" t="n">
        <v>2.11</v>
      </c>
      <c r="L445" s="4" t="n">
        <v>8.48</v>
      </c>
      <c r="M445" s="4">
        <f>B445*(G445/100)*(J445/100)</f>
        <v/>
      </c>
      <c r="N445" s="4">
        <f>B445*(F445/360/100)*E445*(J445/100)</f>
        <v/>
      </c>
      <c r="O445" s="4">
        <f>K445-M445+L445-N445</f>
        <v/>
      </c>
    </row>
    <row r="446">
      <c r="A446" s="2" t="inlineStr">
        <is>
          <t>A04874614</t>
        </is>
      </c>
      <c r="B446" s="4" t="n">
        <v>926.58</v>
      </c>
      <c r="C446" s="3" t="n">
        <v>46001</v>
      </c>
      <c r="D446" s="3" t="n">
        <v>46132</v>
      </c>
      <c r="E446" s="2" t="n">
        <v>23</v>
      </c>
      <c r="F446" s="2" t="n">
        <v>32.9</v>
      </c>
      <c r="G446" s="2" t="n">
        <v>2.53</v>
      </c>
      <c r="H446" s="4" t="n">
        <v>23.44</v>
      </c>
      <c r="I446" s="4" t="n">
        <v>19.48</v>
      </c>
      <c r="J446" s="2" t="n">
        <v>70</v>
      </c>
      <c r="K446" s="4" t="n">
        <v>16.7</v>
      </c>
      <c r="L446" s="4" t="n">
        <v>13.9</v>
      </c>
      <c r="M446" s="4">
        <f>B446*(G446/100)*(J446/100)</f>
        <v/>
      </c>
      <c r="N446" s="4">
        <f>B446*(F446/360/100)*E446*(J446/100)</f>
        <v/>
      </c>
      <c r="O446" s="4">
        <f>K446-M446+L446-N446</f>
        <v/>
      </c>
    </row>
    <row r="447">
      <c r="A447" s="2" t="inlineStr">
        <is>
          <t>B83741355</t>
        </is>
      </c>
      <c r="B447" s="4" t="n">
        <v>9306.809999999999</v>
      </c>
      <c r="C447" s="3" t="n">
        <v>45992</v>
      </c>
      <c r="D447" s="3" t="n">
        <v>46087</v>
      </c>
      <c r="E447" s="2" t="n">
        <v>62</v>
      </c>
      <c r="F447" s="2" t="n">
        <v>33.91</v>
      </c>
      <c r="G447" s="2" t="n">
        <v>1.06</v>
      </c>
      <c r="H447" s="4" t="n">
        <v>98.65000000000001</v>
      </c>
      <c r="I447" s="4" t="n">
        <v>543.52</v>
      </c>
      <c r="J447" s="2" t="n">
        <v>40</v>
      </c>
      <c r="K447" s="4" t="n">
        <v>39.6</v>
      </c>
      <c r="L447" s="4" t="n">
        <v>217.61</v>
      </c>
      <c r="M447" s="4">
        <f>B447*(G447/100)*(J447/100)</f>
        <v/>
      </c>
      <c r="N447" s="4">
        <f>B447*(F447/360/100)*E447*(J447/100)</f>
        <v/>
      </c>
      <c r="O447" s="4">
        <f>K447-M447+L447-N447</f>
        <v/>
      </c>
    </row>
    <row r="448">
      <c r="A448" s="2" t="inlineStr">
        <is>
          <t>B24275805</t>
        </is>
      </c>
      <c r="B448" s="4" t="n">
        <v>997.95</v>
      </c>
      <c r="C448" s="3" t="n">
        <v>45995</v>
      </c>
      <c r="D448" s="3" t="n">
        <v>46119</v>
      </c>
      <c r="E448" s="2" t="n">
        <v>50</v>
      </c>
      <c r="F448" s="2" t="n">
        <v>48.42</v>
      </c>
      <c r="G448" s="2" t="n">
        <v>2.38</v>
      </c>
      <c r="H448" s="4" t="n">
        <v>23.75</v>
      </c>
      <c r="I448" s="4" t="n">
        <v>67.11</v>
      </c>
      <c r="J448" s="2" t="n">
        <v>30</v>
      </c>
      <c r="K448" s="4" t="n">
        <v>7.24</v>
      </c>
      <c r="L448" s="4" t="n">
        <v>20.25</v>
      </c>
      <c r="M448" s="4">
        <f>B448*(G448/100)*(J448/100)</f>
        <v/>
      </c>
      <c r="N448" s="4">
        <f>B448*(F448/360/100)*E448*(J448/100)</f>
        <v/>
      </c>
      <c r="O448" s="4">
        <f>K448-M448+L448-N448</f>
        <v/>
      </c>
    </row>
    <row r="449">
      <c r="A449" s="2" t="inlineStr">
        <is>
          <t>B92469407</t>
        </is>
      </c>
      <c r="B449" s="4" t="n">
        <v>459.25</v>
      </c>
      <c r="C449" s="3" t="n">
        <v>45993</v>
      </c>
      <c r="D449" s="3" t="n">
        <v>46089</v>
      </c>
      <c r="E449" s="2" t="n">
        <v>18</v>
      </c>
      <c r="F449" s="2" t="n">
        <v>17.74</v>
      </c>
      <c r="G449" s="2" t="n">
        <v>2.26</v>
      </c>
      <c r="H449" s="4" t="n">
        <v>10.38</v>
      </c>
      <c r="I449" s="4" t="n">
        <v>4.07</v>
      </c>
      <c r="J449" s="2" t="n">
        <v>30</v>
      </c>
      <c r="K449" s="4" t="n">
        <v>3.01</v>
      </c>
      <c r="L449" s="4" t="n">
        <v>0.97</v>
      </c>
      <c r="M449" s="4">
        <f>B449*(G449/100)*(J449/100)</f>
        <v/>
      </c>
      <c r="N449" s="4">
        <f>B449*(F449/360/100)*E449*(J449/100)</f>
        <v/>
      </c>
      <c r="O449" s="4">
        <f>K449-M449+L449-N449</f>
        <v/>
      </c>
    </row>
    <row r="450">
      <c r="A450" s="2" t="inlineStr">
        <is>
          <t>B65922674</t>
        </is>
      </c>
      <c r="B450" s="4" t="n">
        <v>792.71</v>
      </c>
      <c r="C450" s="3" t="n">
        <v>46013</v>
      </c>
      <c r="D450" s="3" t="n">
        <v>46023</v>
      </c>
      <c r="E450" s="2" t="n">
        <v>55</v>
      </c>
      <c r="F450" s="2" t="n">
        <v>28.35</v>
      </c>
      <c r="G450" s="2" t="n">
        <v>1.14</v>
      </c>
      <c r="H450" s="4" t="n">
        <v>9.039999999999999</v>
      </c>
      <c r="I450" s="4" t="n">
        <v>34.33</v>
      </c>
      <c r="J450" s="2" t="n">
        <v>60</v>
      </c>
      <c r="K450" s="4" t="n">
        <v>5.26</v>
      </c>
      <c r="L450" s="4" t="n">
        <v>20.38</v>
      </c>
      <c r="M450" s="4">
        <f>B450*(G450/100)*(J450/100)</f>
        <v/>
      </c>
      <c r="N450" s="4">
        <f>B450*(F450/360/100)*E450*(J450/100)</f>
        <v/>
      </c>
      <c r="O450" s="4">
        <f>K450-M450+L450-N450</f>
        <v/>
      </c>
    </row>
    <row r="451">
      <c r="A451" s="2" t="inlineStr">
        <is>
          <t>B44792460</t>
        </is>
      </c>
      <c r="B451" s="4" t="n">
        <v>133.13</v>
      </c>
      <c r="C451" s="3" t="n">
        <v>46004</v>
      </c>
      <c r="D451" s="3" t="n">
        <v>46102</v>
      </c>
      <c r="E451" s="2" t="n">
        <v>32</v>
      </c>
      <c r="F451" s="2" t="n">
        <v>24.98</v>
      </c>
      <c r="G451" s="2" t="n">
        <v>1.23</v>
      </c>
      <c r="H451" s="4" t="n">
        <v>1.64</v>
      </c>
      <c r="I451" s="4" t="n">
        <v>2.96</v>
      </c>
      <c r="J451" s="2" t="n">
        <v>30</v>
      </c>
      <c r="K451" s="4" t="n">
        <v>0.77</v>
      </c>
      <c r="L451" s="4" t="n">
        <v>1.12</v>
      </c>
      <c r="M451" s="4">
        <f>B451*(G451/100)*(J451/100)</f>
        <v/>
      </c>
      <c r="N451" s="4">
        <f>B451*(F451/360/100)*E451*(J451/100)</f>
        <v/>
      </c>
      <c r="O451" s="4">
        <f>K451-M451+L451-N451</f>
        <v/>
      </c>
    </row>
    <row r="452">
      <c r="A452" s="2" t="inlineStr">
        <is>
          <t>A71249948</t>
        </is>
      </c>
      <c r="B452" s="4" t="n">
        <v>881.33</v>
      </c>
      <c r="C452" s="3" t="n">
        <v>45999</v>
      </c>
      <c r="D452" s="3" t="n">
        <v>46183</v>
      </c>
      <c r="E452" s="2" t="n">
        <v>51</v>
      </c>
      <c r="F452" s="2" t="n">
        <v>45.44</v>
      </c>
      <c r="G452" s="2" t="n">
        <v>2.43</v>
      </c>
      <c r="H452" s="4" t="n">
        <v>21.42</v>
      </c>
      <c r="I452" s="4" t="n">
        <v>56.73</v>
      </c>
      <c r="J452" s="2" t="n">
        <v>40</v>
      </c>
      <c r="K452" s="4" t="n">
        <v>8.27</v>
      </c>
      <c r="L452" s="4" t="n">
        <v>22.6</v>
      </c>
      <c r="M452" s="4">
        <f>B452*(G452/100)*(J452/100)</f>
        <v/>
      </c>
      <c r="N452" s="4">
        <f>B452*(F452/360/100)*E452*(J452/100)</f>
        <v/>
      </c>
      <c r="O452" s="4">
        <f>K452-M452+L452-N452</f>
        <v/>
      </c>
    </row>
    <row r="453">
      <c r="A453" s="2" t="inlineStr">
        <is>
          <t>B87597074</t>
        </is>
      </c>
      <c r="B453" s="4" t="n">
        <v>675.1799999999999</v>
      </c>
      <c r="C453" s="3" t="n">
        <v>45999</v>
      </c>
      <c r="D453" s="3" t="n">
        <v>46059</v>
      </c>
      <c r="E453" s="2" t="n">
        <v>52</v>
      </c>
      <c r="F453" s="2" t="n">
        <v>24.81</v>
      </c>
      <c r="G453" s="2" t="n">
        <v>1.77</v>
      </c>
      <c r="H453" s="4" t="n">
        <v>11.95</v>
      </c>
      <c r="I453" s="4" t="n">
        <v>24.2</v>
      </c>
      <c r="J453" s="2" t="n">
        <v>20</v>
      </c>
      <c r="K453" s="4" t="n">
        <v>2.18</v>
      </c>
      <c r="L453" s="4" t="n">
        <v>4.66</v>
      </c>
      <c r="M453" s="4">
        <f>B453*(G453/100)*(J453/100)</f>
        <v/>
      </c>
      <c r="N453" s="4">
        <f>B453*(F453/360/100)*E453*(J453/100)</f>
        <v/>
      </c>
      <c r="O453" s="4">
        <f>K453-M453+L453-N453</f>
        <v/>
      </c>
    </row>
    <row r="454">
      <c r="A454" s="2" t="inlineStr">
        <is>
          <t>B18651928</t>
        </is>
      </c>
      <c r="B454" s="4" t="n">
        <v>715.3</v>
      </c>
      <c r="C454" s="3" t="n">
        <v>45995</v>
      </c>
      <c r="D454" s="3" t="n">
        <v>46105</v>
      </c>
      <c r="E454" s="2" t="n">
        <v>83</v>
      </c>
      <c r="F454" s="2" t="n">
        <v>33.57</v>
      </c>
      <c r="G454" s="2" t="n">
        <v>2.03</v>
      </c>
      <c r="H454" s="4" t="n">
        <v>14.52</v>
      </c>
      <c r="I454" s="4" t="n">
        <v>55.36</v>
      </c>
      <c r="J454" s="2" t="n">
        <v>70</v>
      </c>
      <c r="K454" s="4" t="n">
        <v>9.93</v>
      </c>
      <c r="L454" s="4" t="n">
        <v>38.82</v>
      </c>
      <c r="M454" s="4">
        <f>B454*(G454/100)*(J454/100)</f>
        <v/>
      </c>
      <c r="N454" s="4">
        <f>B454*(F454/360/100)*E454*(J454/100)</f>
        <v/>
      </c>
      <c r="O454" s="4">
        <f>K454-M454+L454-N454</f>
        <v/>
      </c>
    </row>
    <row r="455">
      <c r="A455" s="2" t="inlineStr">
        <is>
          <t>A33953201</t>
        </is>
      </c>
      <c r="B455" s="4" t="n">
        <v>852.6</v>
      </c>
      <c r="C455" s="3" t="n">
        <v>45993</v>
      </c>
      <c r="D455" s="3" t="n">
        <v>46131</v>
      </c>
      <c r="E455" s="2" t="n">
        <v>72</v>
      </c>
      <c r="F455" s="2" t="n">
        <v>49.55</v>
      </c>
      <c r="G455" s="2" t="n">
        <v>1.35</v>
      </c>
      <c r="H455" s="4" t="n">
        <v>11.51</v>
      </c>
      <c r="I455" s="4" t="n">
        <v>84.48999999999999</v>
      </c>
      <c r="J455" s="2" t="n">
        <v>50</v>
      </c>
      <c r="K455" s="4" t="n">
        <v>5.63</v>
      </c>
      <c r="L455" s="4" t="n">
        <v>42.34</v>
      </c>
      <c r="M455" s="4">
        <f>B455*(G455/100)*(J455/100)</f>
        <v/>
      </c>
      <c r="N455" s="4">
        <f>B455*(F455/360/100)*E455*(J455/100)</f>
        <v/>
      </c>
      <c r="O455" s="4">
        <f>K455-M455+L455-N455</f>
        <v/>
      </c>
    </row>
    <row r="456">
      <c r="A456" s="2" t="inlineStr">
        <is>
          <t>B71642041</t>
        </is>
      </c>
      <c r="B456" s="4" t="n">
        <v>424.8</v>
      </c>
      <c r="C456" s="3" t="n">
        <v>45995</v>
      </c>
      <c r="D456" s="3" t="n">
        <v>46107</v>
      </c>
      <c r="E456" s="2" t="n">
        <v>52</v>
      </c>
      <c r="F456" s="2" t="n">
        <v>44.95</v>
      </c>
      <c r="G456" s="2" t="n">
        <v>1.28</v>
      </c>
      <c r="H456" s="4" t="n">
        <v>5.44</v>
      </c>
      <c r="I456" s="4" t="n">
        <v>27.58</v>
      </c>
      <c r="J456" s="2" t="n">
        <v>40</v>
      </c>
      <c r="K456" s="4" t="n">
        <v>1.95</v>
      </c>
      <c r="L456" s="4" t="n">
        <v>11.2</v>
      </c>
      <c r="M456" s="4">
        <f>B456*(G456/100)*(J456/100)</f>
        <v/>
      </c>
      <c r="N456" s="4">
        <f>B456*(F456/360/100)*E456*(J456/100)</f>
        <v/>
      </c>
      <c r="O456" s="4">
        <f>K456-M456+L456-N456</f>
        <v/>
      </c>
    </row>
    <row r="457">
      <c r="A457" s="2" t="inlineStr">
        <is>
          <t>A37058389</t>
        </is>
      </c>
      <c r="B457" s="4" t="n">
        <v>9450.1</v>
      </c>
      <c r="C457" s="3" t="n">
        <v>45993</v>
      </c>
      <c r="D457" s="3" t="n">
        <v>46071</v>
      </c>
      <c r="E457" s="2" t="n">
        <v>58</v>
      </c>
      <c r="F457" s="2" t="n">
        <v>17.89</v>
      </c>
      <c r="G457" s="2" t="n">
        <v>2.86</v>
      </c>
      <c r="H457" s="4" t="n">
        <v>270.27</v>
      </c>
      <c r="I457" s="4" t="n">
        <v>272.38</v>
      </c>
      <c r="J457" s="2" t="n">
        <v>40</v>
      </c>
      <c r="K457" s="4" t="n">
        <v>107.95</v>
      </c>
      <c r="L457" s="4" t="n">
        <v>109</v>
      </c>
      <c r="M457" s="4">
        <f>B457*(G457/100)*(J457/100)</f>
        <v/>
      </c>
      <c r="N457" s="4">
        <f>B457*(F457/360/100)*E457*(J457/100)</f>
        <v/>
      </c>
      <c r="O457" s="4">
        <f>K457-M457+L457-N457</f>
        <v/>
      </c>
    </row>
    <row r="458">
      <c r="A458" s="2" t="inlineStr">
        <is>
          <t>A54358423</t>
        </is>
      </c>
      <c r="B458" s="4" t="n">
        <v>517.49</v>
      </c>
      <c r="C458" s="3" t="n">
        <v>46019</v>
      </c>
      <c r="D458" s="3" t="n">
        <v>46176</v>
      </c>
      <c r="E458" s="2" t="n">
        <v>53</v>
      </c>
      <c r="F458" s="2" t="n">
        <v>28.46</v>
      </c>
      <c r="G458" s="2" t="n">
        <v>1.62</v>
      </c>
      <c r="H458" s="4" t="n">
        <v>8.380000000000001</v>
      </c>
      <c r="I458" s="4" t="n">
        <v>21.68</v>
      </c>
      <c r="J458" s="2" t="n">
        <v>30</v>
      </c>
      <c r="K458" s="4" t="n">
        <v>2.66</v>
      </c>
      <c r="L458" s="4" t="n">
        <v>6.38</v>
      </c>
      <c r="M458" s="4">
        <f>B458*(G458/100)*(J458/100)</f>
        <v/>
      </c>
      <c r="N458" s="4">
        <f>B458*(F458/360/100)*E458*(J458/100)</f>
        <v/>
      </c>
      <c r="O458" s="4">
        <f>K458-M458+L458-N458</f>
        <v/>
      </c>
    </row>
    <row r="459">
      <c r="A459" s="2" t="inlineStr">
        <is>
          <t>A47417591</t>
        </is>
      </c>
      <c r="B459" s="4" t="n">
        <v>703.63</v>
      </c>
      <c r="C459" s="3" t="n">
        <v>46000</v>
      </c>
      <c r="D459" s="3" t="n">
        <v>46097</v>
      </c>
      <c r="E459" s="2" t="n">
        <v>25</v>
      </c>
      <c r="F459" s="2" t="n">
        <v>20.07</v>
      </c>
      <c r="G459" s="2" t="n">
        <v>1.47</v>
      </c>
      <c r="H459" s="4" t="n">
        <v>10.34</v>
      </c>
      <c r="I459" s="4" t="n">
        <v>9.81</v>
      </c>
      <c r="J459" s="2" t="n">
        <v>50</v>
      </c>
      <c r="K459" s="4" t="n">
        <v>5.47</v>
      </c>
      <c r="L459" s="4" t="n">
        <v>4.66</v>
      </c>
      <c r="M459" s="4">
        <f>B459*(G459/100)*(J459/100)</f>
        <v/>
      </c>
      <c r="N459" s="4">
        <f>B459*(F459/360/100)*E459*(J459/100)</f>
        <v/>
      </c>
      <c r="O459" s="4">
        <f>K459-M459+L459-N459</f>
        <v/>
      </c>
    </row>
    <row r="460">
      <c r="A460" s="2" t="inlineStr">
        <is>
          <t>A81768175</t>
        </is>
      </c>
      <c r="B460" s="4" t="n">
        <v>4350.92</v>
      </c>
      <c r="C460" s="3" t="n">
        <v>46006</v>
      </c>
      <c r="D460" s="3" t="n">
        <v>46034</v>
      </c>
      <c r="E460" s="2" t="n">
        <v>23</v>
      </c>
      <c r="F460" s="2" t="n">
        <v>31.41</v>
      </c>
      <c r="G460" s="2" t="n">
        <v>2.24</v>
      </c>
      <c r="H460" s="4" t="n">
        <v>97.45999999999999</v>
      </c>
      <c r="I460" s="4" t="n">
        <v>87.31</v>
      </c>
      <c r="J460" s="2" t="n">
        <v>30</v>
      </c>
      <c r="K460" s="4" t="n">
        <v>29.07</v>
      </c>
      <c r="L460" s="4" t="n">
        <v>26.28</v>
      </c>
      <c r="M460" s="4">
        <f>B460*(G460/100)*(J460/100)</f>
        <v/>
      </c>
      <c r="N460" s="4">
        <f>B460*(F460/360/100)*E460*(J460/100)</f>
        <v/>
      </c>
      <c r="O460" s="4">
        <f>K460-M460+L460-N460</f>
        <v/>
      </c>
    </row>
    <row r="461">
      <c r="A461" s="2" t="inlineStr">
        <is>
          <t>B02008883</t>
        </is>
      </c>
      <c r="B461" s="4" t="n">
        <v>465.37</v>
      </c>
      <c r="C461" s="3" t="n">
        <v>46000</v>
      </c>
      <c r="D461" s="3" t="n">
        <v>46183</v>
      </c>
      <c r="E461" s="2" t="n">
        <v>24</v>
      </c>
      <c r="F461" s="2" t="n">
        <v>39.56</v>
      </c>
      <c r="G461" s="2" t="n">
        <v>1</v>
      </c>
      <c r="H461" s="4" t="n">
        <v>4.65</v>
      </c>
      <c r="I461" s="4" t="n">
        <v>12.27</v>
      </c>
      <c r="J461" s="2" t="n">
        <v>50</v>
      </c>
      <c r="K461" s="4" t="n">
        <v>2.41</v>
      </c>
      <c r="L461" s="4" t="n">
        <v>5.92</v>
      </c>
      <c r="M461" s="4">
        <f>B461*(G461/100)*(J461/100)</f>
        <v/>
      </c>
      <c r="N461" s="4">
        <f>B461*(F461/360/100)*E461*(J461/100)</f>
        <v/>
      </c>
      <c r="O461" s="4">
        <f>K461-M461+L461-N461</f>
        <v/>
      </c>
    </row>
    <row r="462">
      <c r="A462" s="2" t="inlineStr">
        <is>
          <t>B30896029</t>
        </is>
      </c>
      <c r="B462" s="4" t="n">
        <v>348.55</v>
      </c>
      <c r="C462" s="3" t="n">
        <v>46008</v>
      </c>
      <c r="D462" s="3" t="n">
        <v>46143</v>
      </c>
      <c r="E462" s="2" t="n">
        <v>79</v>
      </c>
      <c r="F462" s="2" t="n">
        <v>42.91</v>
      </c>
      <c r="G462" s="2" t="n">
        <v>2.43</v>
      </c>
      <c r="H462" s="4" t="n">
        <v>8.470000000000001</v>
      </c>
      <c r="I462" s="4" t="n">
        <v>32.82</v>
      </c>
      <c r="J462" s="2" t="n">
        <v>40</v>
      </c>
      <c r="K462" s="4" t="n">
        <v>3.24</v>
      </c>
      <c r="L462" s="4" t="n">
        <v>13.3</v>
      </c>
      <c r="M462" s="4">
        <f>B462*(G462/100)*(J462/100)</f>
        <v/>
      </c>
      <c r="N462" s="4">
        <f>B462*(F462/360/100)*E462*(J462/100)</f>
        <v/>
      </c>
      <c r="O462" s="4">
        <f>K462-M462+L462-N462</f>
        <v/>
      </c>
    </row>
    <row r="463">
      <c r="A463" s="2" t="inlineStr">
        <is>
          <t>A42022168</t>
        </is>
      </c>
      <c r="B463" s="4" t="n">
        <v>950.08</v>
      </c>
      <c r="C463" s="3" t="n">
        <v>45995</v>
      </c>
      <c r="D463" s="3" t="n">
        <v>46195</v>
      </c>
      <c r="E463" s="2" t="n">
        <v>62</v>
      </c>
      <c r="F463" s="2" t="n">
        <v>39.62</v>
      </c>
      <c r="G463" s="2" t="n">
        <v>2.14</v>
      </c>
      <c r="H463" s="4" t="n">
        <v>20.33</v>
      </c>
      <c r="I463" s="4" t="n">
        <v>64.83</v>
      </c>
      <c r="J463" s="2" t="n">
        <v>30</v>
      </c>
      <c r="K463" s="4" t="n">
        <v>6</v>
      </c>
      <c r="L463" s="4" t="n">
        <v>19.2</v>
      </c>
      <c r="M463" s="4">
        <f>B463*(G463/100)*(J463/100)</f>
        <v/>
      </c>
      <c r="N463" s="4">
        <f>B463*(F463/360/100)*E463*(J463/100)</f>
        <v/>
      </c>
      <c r="O463" s="4">
        <f>K463-M463+L463-N463</f>
        <v/>
      </c>
    </row>
    <row r="464">
      <c r="A464" s="2" t="inlineStr">
        <is>
          <t>B15687725</t>
        </is>
      </c>
      <c r="B464" s="4" t="n">
        <v>361.3</v>
      </c>
      <c r="C464" s="3" t="n">
        <v>46014</v>
      </c>
      <c r="D464" s="3" t="n">
        <v>46071</v>
      </c>
      <c r="E464" s="2" t="n">
        <v>12</v>
      </c>
      <c r="F464" s="2" t="n">
        <v>42.22</v>
      </c>
      <c r="G464" s="2" t="n">
        <v>1.18</v>
      </c>
      <c r="H464" s="4" t="n">
        <v>4.26</v>
      </c>
      <c r="I464" s="4" t="n">
        <v>5.08</v>
      </c>
      <c r="J464" s="2" t="n">
        <v>50</v>
      </c>
      <c r="K464" s="4" t="n">
        <v>2.02</v>
      </c>
      <c r="L464" s="4" t="n">
        <v>2.56</v>
      </c>
      <c r="M464" s="4">
        <f>B464*(G464/100)*(J464/100)</f>
        <v/>
      </c>
      <c r="N464" s="4">
        <f>B464*(F464/360/100)*E464*(J464/100)</f>
        <v/>
      </c>
      <c r="O464" s="4">
        <f>K464-M464+L464-N464</f>
        <v/>
      </c>
    </row>
    <row r="465">
      <c r="A465" s="2" t="inlineStr">
        <is>
          <t>A65295256</t>
        </is>
      </c>
      <c r="B465" s="4" t="n">
        <v>249.8</v>
      </c>
      <c r="C465" s="3" t="n">
        <v>46017</v>
      </c>
      <c r="D465" s="3" t="n">
        <v>46156</v>
      </c>
      <c r="E465" s="2" t="n">
        <v>15</v>
      </c>
      <c r="F465" s="2" t="n">
        <v>19.9</v>
      </c>
      <c r="G465" s="2" t="n">
        <v>2.19</v>
      </c>
      <c r="H465" s="4" t="n">
        <v>5.47</v>
      </c>
      <c r="I465" s="4" t="n">
        <v>2.07</v>
      </c>
      <c r="J465" s="2" t="n">
        <v>50</v>
      </c>
      <c r="K465" s="4" t="n">
        <v>2.56</v>
      </c>
      <c r="L465" s="4" t="n">
        <v>0.75</v>
      </c>
      <c r="M465" s="4">
        <f>B465*(G465/100)*(J465/100)</f>
        <v/>
      </c>
      <c r="N465" s="4">
        <f>B465*(F465/360/100)*E465*(J465/100)</f>
        <v/>
      </c>
      <c r="O465" s="4">
        <f>K465-M465+L465-N465</f>
        <v/>
      </c>
    </row>
    <row r="466">
      <c r="A466" s="2" t="inlineStr">
        <is>
          <t>A66622109</t>
        </is>
      </c>
      <c r="B466" s="4" t="n">
        <v>8517.059999999999</v>
      </c>
      <c r="C466" s="3" t="n">
        <v>46012</v>
      </c>
      <c r="D466" s="3" t="n">
        <v>46067</v>
      </c>
      <c r="E466" s="2" t="n">
        <v>63</v>
      </c>
      <c r="F466" s="2" t="n">
        <v>44.71</v>
      </c>
      <c r="G466" s="2" t="n">
        <v>0.83</v>
      </c>
      <c r="H466" s="4" t="n">
        <v>70.69</v>
      </c>
      <c r="I466" s="4" t="n">
        <v>666.4</v>
      </c>
      <c r="J466" s="2" t="n">
        <v>60</v>
      </c>
      <c r="K466" s="4" t="n">
        <v>42.27</v>
      </c>
      <c r="L466" s="4" t="n">
        <v>399.58</v>
      </c>
      <c r="M466" s="4">
        <f>B466*(G466/100)*(J466/100)</f>
        <v/>
      </c>
      <c r="N466" s="4">
        <f>B466*(F466/360/100)*E466*(J466/100)</f>
        <v/>
      </c>
      <c r="O466" s="4">
        <f>K466-M466+L466-N466</f>
        <v/>
      </c>
    </row>
    <row r="467">
      <c r="A467" s="2" t="inlineStr">
        <is>
          <t>A32805421</t>
        </is>
      </c>
      <c r="B467" s="4" t="n">
        <v>541.1</v>
      </c>
      <c r="C467" s="3" t="n">
        <v>46003</v>
      </c>
      <c r="D467" s="3" t="n">
        <v>46146</v>
      </c>
      <c r="E467" s="2" t="n">
        <v>36</v>
      </c>
      <c r="F467" s="2" t="n">
        <v>26.47</v>
      </c>
      <c r="G467" s="2" t="n">
        <v>2.59</v>
      </c>
      <c r="H467" s="4" t="n">
        <v>14.01</v>
      </c>
      <c r="I467" s="4" t="n">
        <v>14.32</v>
      </c>
      <c r="J467" s="2" t="n">
        <v>20</v>
      </c>
      <c r="K467" s="4" t="n">
        <v>2.61</v>
      </c>
      <c r="L467" s="4" t="n">
        <v>2.6</v>
      </c>
      <c r="M467" s="4">
        <f>B467*(G467/100)*(J467/100)</f>
        <v/>
      </c>
      <c r="N467" s="4">
        <f>B467*(F467/360/100)*E467*(J467/100)</f>
        <v/>
      </c>
      <c r="O467" s="4">
        <f>K467-M467+L467-N467</f>
        <v/>
      </c>
    </row>
    <row r="468">
      <c r="A468" s="2" t="inlineStr">
        <is>
          <t>B08366022</t>
        </is>
      </c>
      <c r="B468" s="4" t="n">
        <v>765.88</v>
      </c>
      <c r="C468" s="3" t="n">
        <v>46012</v>
      </c>
      <c r="D468" s="3" t="n">
        <v>46050</v>
      </c>
      <c r="E468" s="2" t="n">
        <v>22</v>
      </c>
      <c r="F468" s="2" t="n">
        <v>26.53</v>
      </c>
      <c r="G468" s="2" t="n">
        <v>2.24</v>
      </c>
      <c r="H468" s="4" t="n">
        <v>17.16</v>
      </c>
      <c r="I468" s="4" t="n">
        <v>12.42</v>
      </c>
      <c r="J468" s="2" t="n">
        <v>50</v>
      </c>
      <c r="K468" s="4" t="n">
        <v>8.619999999999999</v>
      </c>
      <c r="L468" s="4" t="n">
        <v>6.24</v>
      </c>
      <c r="M468" s="4">
        <f>B468*(G468/100)*(J468/100)</f>
        <v/>
      </c>
      <c r="N468" s="4">
        <f>B468*(F468/360/100)*E468*(J468/100)</f>
        <v/>
      </c>
      <c r="O468" s="4">
        <f>K468-M468+L468-N468</f>
        <v/>
      </c>
    </row>
    <row r="469">
      <c r="A469" s="2" t="inlineStr">
        <is>
          <t>B58619845</t>
        </is>
      </c>
      <c r="B469" s="4" t="n">
        <v>521.9400000000001</v>
      </c>
      <c r="C469" s="3" t="n">
        <v>45995</v>
      </c>
      <c r="D469" s="3" t="n">
        <v>46121</v>
      </c>
      <c r="E469" s="2" t="n">
        <v>48</v>
      </c>
      <c r="F469" s="2" t="n">
        <v>33.84</v>
      </c>
      <c r="G469" s="2" t="n">
        <v>2.55</v>
      </c>
      <c r="H469" s="4" t="n">
        <v>13.31</v>
      </c>
      <c r="I469" s="4" t="n">
        <v>23.55</v>
      </c>
      <c r="J469" s="2" t="n">
        <v>40</v>
      </c>
      <c r="K469" s="4" t="n">
        <v>5.1</v>
      </c>
      <c r="L469" s="4" t="n">
        <v>9.32</v>
      </c>
      <c r="M469" s="4">
        <f>B469*(G469/100)*(J469/100)</f>
        <v/>
      </c>
      <c r="N469" s="4">
        <f>B469*(F469/360/100)*E469*(J469/100)</f>
        <v/>
      </c>
      <c r="O469" s="4">
        <f>K469-M469+L469-N469</f>
        <v/>
      </c>
    </row>
    <row r="470">
      <c r="A470" s="2" t="inlineStr">
        <is>
          <t>A59860789</t>
        </is>
      </c>
      <c r="B470" s="4" t="n">
        <v>876.88</v>
      </c>
      <c r="C470" s="3" t="n">
        <v>46011</v>
      </c>
      <c r="D470" s="3" t="n">
        <v>46178</v>
      </c>
      <c r="E470" s="2" t="n">
        <v>26</v>
      </c>
      <c r="F470" s="2" t="n">
        <v>46.63</v>
      </c>
      <c r="G470" s="2" t="n">
        <v>1.98</v>
      </c>
      <c r="H470" s="4" t="n">
        <v>17.36</v>
      </c>
      <c r="I470" s="4" t="n">
        <v>29.53</v>
      </c>
      <c r="J470" s="2" t="n">
        <v>70</v>
      </c>
      <c r="K470" s="4" t="n">
        <v>12</v>
      </c>
      <c r="L470" s="4" t="n">
        <v>20.59</v>
      </c>
      <c r="M470" s="4">
        <f>B470*(G470/100)*(J470/100)</f>
        <v/>
      </c>
      <c r="N470" s="4">
        <f>B470*(F470/360/100)*E470*(J470/100)</f>
        <v/>
      </c>
      <c r="O470" s="4">
        <f>K470-M470+L470-N470</f>
        <v/>
      </c>
    </row>
    <row r="471">
      <c r="A471" s="2" t="inlineStr">
        <is>
          <t>B60803962</t>
        </is>
      </c>
      <c r="B471" s="4" t="n">
        <v>1579.55</v>
      </c>
      <c r="C471" s="3" t="n">
        <v>46009</v>
      </c>
      <c r="D471" s="3" t="n">
        <v>46117</v>
      </c>
      <c r="E471" s="2" t="n">
        <v>56</v>
      </c>
      <c r="F471" s="2" t="n">
        <v>13.9</v>
      </c>
      <c r="G471" s="2" t="n">
        <v>0.91</v>
      </c>
      <c r="H471" s="4" t="n">
        <v>14.37</v>
      </c>
      <c r="I471" s="4" t="n">
        <v>34.15</v>
      </c>
      <c r="J471" s="2" t="n">
        <v>40</v>
      </c>
      <c r="K471" s="4" t="n">
        <v>5.66</v>
      </c>
      <c r="L471" s="4" t="n">
        <v>13.56</v>
      </c>
      <c r="M471" s="4">
        <f>B471*(G471/100)*(J471/100)</f>
        <v/>
      </c>
      <c r="N471" s="4">
        <f>B471*(F471/360/100)*E471*(J471/100)</f>
        <v/>
      </c>
      <c r="O471" s="4">
        <f>K471-M471+L471-N471</f>
        <v/>
      </c>
    </row>
    <row r="472">
      <c r="A472" s="2" t="inlineStr">
        <is>
          <t>B53668074</t>
        </is>
      </c>
      <c r="B472" s="4" t="n">
        <v>447.88</v>
      </c>
      <c r="C472" s="3" t="n">
        <v>45992</v>
      </c>
      <c r="D472" s="3" t="n">
        <v>46108</v>
      </c>
      <c r="E472" s="2" t="n">
        <v>17</v>
      </c>
      <c r="F472" s="2" t="n">
        <v>26.1</v>
      </c>
      <c r="G472" s="2" t="n">
        <v>1.02</v>
      </c>
      <c r="H472" s="4" t="n">
        <v>4.57</v>
      </c>
      <c r="I472" s="4" t="n">
        <v>5.52</v>
      </c>
      <c r="J472" s="2" t="n">
        <v>30</v>
      </c>
      <c r="K472" s="4" t="n">
        <v>1.35</v>
      </c>
      <c r="L472" s="4" t="n">
        <v>1.56</v>
      </c>
      <c r="M472" s="4">
        <f>B472*(G472/100)*(J472/100)</f>
        <v/>
      </c>
      <c r="N472" s="4">
        <f>B472*(F472/360/100)*E472*(J472/100)</f>
        <v/>
      </c>
      <c r="O472" s="4">
        <f>K472-M472+L472-N472</f>
        <v/>
      </c>
    </row>
    <row r="473">
      <c r="A473" s="2" t="inlineStr">
        <is>
          <t>A47886485</t>
        </is>
      </c>
      <c r="B473" s="4" t="n">
        <v>2713.52</v>
      </c>
      <c r="C473" s="3" t="n">
        <v>45999</v>
      </c>
      <c r="D473" s="3" t="n">
        <v>46183</v>
      </c>
      <c r="E473" s="2" t="n">
        <v>47</v>
      </c>
      <c r="F473" s="2" t="n">
        <v>39.81</v>
      </c>
      <c r="G473" s="2" t="n">
        <v>2.02</v>
      </c>
      <c r="H473" s="4" t="n">
        <v>54.81</v>
      </c>
      <c r="I473" s="4" t="n">
        <v>141.03</v>
      </c>
      <c r="J473" s="2" t="n">
        <v>30</v>
      </c>
      <c r="K473" s="4" t="n">
        <v>16.7</v>
      </c>
      <c r="L473" s="4" t="n">
        <v>42.57</v>
      </c>
      <c r="M473" s="4">
        <f>B473*(G473/100)*(J473/100)</f>
        <v/>
      </c>
      <c r="N473" s="4">
        <f>B473*(F473/360/100)*E473*(J473/100)</f>
        <v/>
      </c>
      <c r="O473" s="4">
        <f>K473-M473+L473-N473</f>
        <v/>
      </c>
    </row>
    <row r="474">
      <c r="A474" s="2" t="inlineStr">
        <is>
          <t>A20493835</t>
        </is>
      </c>
      <c r="B474" s="4" t="n">
        <v>523.88</v>
      </c>
      <c r="C474" s="3" t="n">
        <v>46019</v>
      </c>
      <c r="D474" s="3" t="n">
        <v>46055</v>
      </c>
      <c r="E474" s="2" t="n">
        <v>62</v>
      </c>
      <c r="F474" s="2" t="n">
        <v>38.3</v>
      </c>
      <c r="G474" s="2" t="n">
        <v>2.94</v>
      </c>
      <c r="H474" s="4" t="n">
        <v>15.4</v>
      </c>
      <c r="I474" s="4" t="n">
        <v>34.56</v>
      </c>
      <c r="J474" s="2" t="n">
        <v>20</v>
      </c>
      <c r="K474" s="4" t="n">
        <v>3.26</v>
      </c>
      <c r="L474" s="4" t="n">
        <v>7.06</v>
      </c>
      <c r="M474" s="4">
        <f>B474*(G474/100)*(J474/100)</f>
        <v/>
      </c>
      <c r="N474" s="4">
        <f>B474*(F474/360/100)*E474*(J474/100)</f>
        <v/>
      </c>
      <c r="O474" s="4">
        <f>K474-M474+L474-N474</f>
        <v/>
      </c>
    </row>
    <row r="475">
      <c r="A475" s="2" t="inlineStr">
        <is>
          <t>B80087530</t>
        </is>
      </c>
      <c r="B475" s="4" t="n">
        <v>855.34</v>
      </c>
      <c r="C475" s="3" t="n">
        <v>45994</v>
      </c>
      <c r="D475" s="3" t="n">
        <v>46101</v>
      </c>
      <c r="E475" s="2" t="n">
        <v>16</v>
      </c>
      <c r="F475" s="2" t="n">
        <v>41.55</v>
      </c>
      <c r="G475" s="2" t="n">
        <v>1.27</v>
      </c>
      <c r="H475" s="4" t="n">
        <v>10.86</v>
      </c>
      <c r="I475" s="4" t="n">
        <v>15.8</v>
      </c>
      <c r="J475" s="2" t="n">
        <v>70</v>
      </c>
      <c r="K475" s="4" t="n">
        <v>7.64</v>
      </c>
      <c r="L475" s="4" t="n">
        <v>10.92</v>
      </c>
      <c r="M475" s="4">
        <f>B475*(G475/100)*(J475/100)</f>
        <v/>
      </c>
      <c r="N475" s="4">
        <f>B475*(F475/360/100)*E475*(J475/100)</f>
        <v/>
      </c>
      <c r="O475" s="4">
        <f>K475-M475+L475-N475</f>
        <v/>
      </c>
    </row>
    <row r="476">
      <c r="A476" s="2" t="inlineStr">
        <is>
          <t>B90082319</t>
        </is>
      </c>
      <c r="B476" s="4" t="n">
        <v>8156.4</v>
      </c>
      <c r="C476" s="3" t="n">
        <v>45992</v>
      </c>
      <c r="D476" s="3" t="n">
        <v>46082</v>
      </c>
      <c r="E476" s="2" t="n">
        <v>41</v>
      </c>
      <c r="F476" s="2" t="n">
        <v>27.7</v>
      </c>
      <c r="G476" s="2" t="n">
        <v>1.19</v>
      </c>
      <c r="H476" s="4" t="n">
        <v>97.06</v>
      </c>
      <c r="I476" s="4" t="n">
        <v>257.31</v>
      </c>
      <c r="J476" s="2" t="n">
        <v>60</v>
      </c>
      <c r="K476" s="4" t="n">
        <v>58.07</v>
      </c>
      <c r="L476" s="4" t="n">
        <v>154.6</v>
      </c>
      <c r="M476" s="4">
        <f>B476*(G476/100)*(J476/100)</f>
        <v/>
      </c>
      <c r="N476" s="4">
        <f>B476*(F476/360/100)*E476*(J476/100)</f>
        <v/>
      </c>
      <c r="O476" s="4">
        <f>K476-M476+L476-N476</f>
        <v/>
      </c>
    </row>
    <row r="477">
      <c r="A477" s="2" t="inlineStr">
        <is>
          <t>A77575454</t>
        </is>
      </c>
      <c r="B477" s="4" t="n">
        <v>4472.23</v>
      </c>
      <c r="C477" s="3" t="n">
        <v>45995</v>
      </c>
      <c r="D477" s="3" t="n">
        <v>46158</v>
      </c>
      <c r="E477" s="2" t="n">
        <v>18</v>
      </c>
      <c r="F477" s="2" t="n">
        <v>21.69</v>
      </c>
      <c r="G477" s="2" t="n">
        <v>0.93</v>
      </c>
      <c r="H477" s="4" t="n">
        <v>41.59</v>
      </c>
      <c r="I477" s="4" t="n">
        <v>48.5</v>
      </c>
      <c r="J477" s="2" t="n">
        <v>30</v>
      </c>
      <c r="K477" s="4" t="n">
        <v>12.63</v>
      </c>
      <c r="L477" s="4" t="n">
        <v>14.79</v>
      </c>
      <c r="M477" s="4">
        <f>B477*(G477/100)*(J477/100)</f>
        <v/>
      </c>
      <c r="N477" s="4">
        <f>B477*(F477/360/100)*E477*(J477/100)</f>
        <v/>
      </c>
      <c r="O477" s="4">
        <f>K477-M477+L477-N477</f>
        <v/>
      </c>
    </row>
    <row r="478">
      <c r="A478" s="2" t="inlineStr">
        <is>
          <t>B08969605</t>
        </is>
      </c>
      <c r="B478" s="4" t="n">
        <v>107.21</v>
      </c>
      <c r="C478" s="3" t="n">
        <v>46000</v>
      </c>
      <c r="D478" s="3" t="n">
        <v>46121</v>
      </c>
      <c r="E478" s="2" t="n">
        <v>35</v>
      </c>
      <c r="F478" s="2" t="n">
        <v>15.56</v>
      </c>
      <c r="G478" s="2" t="n">
        <v>2.85</v>
      </c>
      <c r="H478" s="4" t="n">
        <v>3.06</v>
      </c>
      <c r="I478" s="4" t="n">
        <v>1.62</v>
      </c>
      <c r="J478" s="2" t="n">
        <v>70</v>
      </c>
      <c r="K478" s="4" t="n">
        <v>2.1</v>
      </c>
      <c r="L478" s="4" t="n">
        <v>0.92</v>
      </c>
      <c r="M478" s="4">
        <f>B478*(G478/100)*(J478/100)</f>
        <v/>
      </c>
      <c r="N478" s="4">
        <f>B478*(F478/360/100)*E478*(J478/100)</f>
        <v/>
      </c>
      <c r="O478" s="4">
        <f>K478-M478+L478-N478</f>
        <v/>
      </c>
    </row>
    <row r="479">
      <c r="A479" s="2" t="inlineStr">
        <is>
          <t>A77907628</t>
        </is>
      </c>
      <c r="B479" s="4" t="n">
        <v>598.8099999999999</v>
      </c>
      <c r="C479" s="3" t="n">
        <v>46018</v>
      </c>
      <c r="D479" s="3" t="n">
        <v>46155</v>
      </c>
      <c r="E479" s="2" t="n">
        <v>36</v>
      </c>
      <c r="F479" s="2" t="n">
        <v>42.74</v>
      </c>
      <c r="G479" s="2" t="n">
        <v>0.57</v>
      </c>
      <c r="H479" s="4" t="n">
        <v>3.41</v>
      </c>
      <c r="I479" s="4" t="n">
        <v>25.59</v>
      </c>
      <c r="J479" s="2" t="n">
        <v>20</v>
      </c>
      <c r="K479" s="4" t="n">
        <v>0.5</v>
      </c>
      <c r="L479" s="4" t="n">
        <v>5.42</v>
      </c>
      <c r="M479" s="4">
        <f>B479*(G479/100)*(J479/100)</f>
        <v/>
      </c>
      <c r="N479" s="4">
        <f>B479*(F479/360/100)*E479*(J479/100)</f>
        <v/>
      </c>
      <c r="O479" s="4">
        <f>K479-M479+L479-N479</f>
        <v/>
      </c>
    </row>
    <row r="480">
      <c r="A480" s="2" t="inlineStr">
        <is>
          <t>A20181491</t>
        </is>
      </c>
      <c r="B480" s="4" t="n">
        <v>570.55</v>
      </c>
      <c r="C480" s="3" t="n">
        <v>46007</v>
      </c>
      <c r="D480" s="3" t="n">
        <v>46178</v>
      </c>
      <c r="E480" s="2" t="n">
        <v>31</v>
      </c>
      <c r="F480" s="2" t="n">
        <v>41.57</v>
      </c>
      <c r="G480" s="2" t="n">
        <v>0.93</v>
      </c>
      <c r="H480" s="4" t="n">
        <v>5.31</v>
      </c>
      <c r="I480" s="4" t="n">
        <v>20.42</v>
      </c>
      <c r="J480" s="2" t="n">
        <v>70</v>
      </c>
      <c r="K480" s="4" t="n">
        <v>3.97</v>
      </c>
      <c r="L480" s="4" t="n">
        <v>14.18</v>
      </c>
      <c r="M480" s="4">
        <f>B480*(G480/100)*(J480/100)</f>
        <v/>
      </c>
      <c r="N480" s="4">
        <f>B480*(F480/360/100)*E480*(J480/100)</f>
        <v/>
      </c>
      <c r="O480" s="4">
        <f>K480-M480+L480-N480</f>
        <v/>
      </c>
    </row>
    <row r="481">
      <c r="A481" s="2" t="inlineStr">
        <is>
          <t>A75970663</t>
        </is>
      </c>
      <c r="B481" s="4" t="n">
        <v>314.13</v>
      </c>
      <c r="C481" s="3" t="n">
        <v>45996</v>
      </c>
      <c r="D481" s="3" t="n">
        <v>46118</v>
      </c>
      <c r="E481" s="2" t="n">
        <v>54</v>
      </c>
      <c r="F481" s="2" t="n">
        <v>26.07</v>
      </c>
      <c r="G481" s="2" t="n">
        <v>2.38</v>
      </c>
      <c r="H481" s="4" t="n">
        <v>7.48</v>
      </c>
      <c r="I481" s="4" t="n">
        <v>12.28</v>
      </c>
      <c r="J481" s="2" t="n">
        <v>60</v>
      </c>
      <c r="K481" s="4" t="n">
        <v>4.68</v>
      </c>
      <c r="L481" s="4" t="n">
        <v>7.66</v>
      </c>
      <c r="M481" s="4">
        <f>B481*(G481/100)*(J481/100)</f>
        <v/>
      </c>
      <c r="N481" s="4">
        <f>B481*(F481/360/100)*E481*(J481/100)</f>
        <v/>
      </c>
      <c r="O481" s="4">
        <f>K481-M481+L481-N481</f>
        <v/>
      </c>
    </row>
    <row r="482">
      <c r="A482" s="5" t="inlineStr">
        <is>
          <t>Total</t>
        </is>
      </c>
      <c r="B482" s="6">
        <f>SUBTOTAL(109,B2:B481)</f>
        <v/>
      </c>
      <c r="H482" s="6">
        <f>SUBTOTAL(109,H2:H481)</f>
        <v/>
      </c>
      <c r="I482" s="6">
        <f>SUBTOTAL(109,I2:I481)</f>
        <v/>
      </c>
      <c r="K482" s="6">
        <f>SUBTOTAL(109,K2:K481)</f>
        <v/>
      </c>
      <c r="L482" s="6">
        <f>SUBTOTAL(109,L2:L481)</f>
        <v/>
      </c>
      <c r="M482" s="6">
        <f>SUBTOTAL(109,M2:M481)</f>
        <v/>
      </c>
      <c r="N482" s="6">
        <f>SUBTOTAL(109,N2:N481)</f>
        <v/>
      </c>
      <c r="O482" s="6">
        <f>SUBTOTAL(109,O2:O481)</f>
        <v/>
      </c>
    </row>
  </sheetData>
  <printOptions gridLines="1"/>
  <pageMargins left="0.25" right="0.25" top="0.3" bottom="0.3" header="0.1" footer="0.1"/>
  <pageSetup orientation="landscape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2026-09-16T22:21:28Z</dcterms:created>
  <dcterms:modified xsi:type="dcterms:W3CDTF">2026-09-16T22:21:28Z</dcterms:modified>
</cp:coreProperties>
</file>