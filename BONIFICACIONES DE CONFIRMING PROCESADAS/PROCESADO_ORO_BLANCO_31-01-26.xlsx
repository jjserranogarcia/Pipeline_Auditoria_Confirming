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48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48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8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14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9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Oro</t>
        </is>
      </c>
      <c r="B2" s="2" t="inlineStr">
        <is>
          <t>Blanco</t>
        </is>
      </c>
      <c r="C2" s="3" t="n">
        <v>46053</v>
      </c>
      <c r="D2" s="2" t="inlineStr">
        <is>
          <t>B20637475</t>
        </is>
      </c>
      <c r="E2" s="2" t="inlineStr">
        <is>
          <t>Pavimentos…</t>
        </is>
      </c>
      <c r="F2" s="2" t="n">
        <v>2548111</v>
      </c>
      <c r="G2" s="4" t="n">
        <v>698.9</v>
      </c>
      <c r="H2" s="3" t="n">
        <v>46035</v>
      </c>
      <c r="I2" s="3" t="n">
        <v>46231</v>
      </c>
      <c r="J2" s="2" t="n">
        <v>37</v>
      </c>
      <c r="K2" s="2" t="n">
        <v>37.57</v>
      </c>
      <c r="L2" s="2" t="n">
        <v>2.4</v>
      </c>
      <c r="M2" s="4" t="n">
        <v>16.77</v>
      </c>
      <c r="N2" s="4" t="n">
        <v>26.99</v>
      </c>
      <c r="O2" s="2" t="n">
        <v>40</v>
      </c>
      <c r="P2" s="4" t="n">
        <v>6.61</v>
      </c>
      <c r="Q2" s="4" t="n">
        <v>10.67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Oro</t>
        </is>
      </c>
      <c r="B3" s="2" t="inlineStr">
        <is>
          <t>Blanco</t>
        </is>
      </c>
      <c r="C3" s="3" t="n">
        <v>46053</v>
      </c>
      <c r="D3" s="2" t="inlineStr">
        <is>
          <t>B81129641</t>
        </is>
      </c>
      <c r="E3" s="2" t="inlineStr">
        <is>
          <t>Transistore…</t>
        </is>
      </c>
      <c r="F3" s="2" t="n">
        <v>1415105</v>
      </c>
      <c r="G3" s="4" t="n">
        <v>634.17</v>
      </c>
      <c r="H3" s="3" t="n">
        <v>46026</v>
      </c>
      <c r="I3" s="3" t="n">
        <v>46183</v>
      </c>
      <c r="J3" s="2" t="n">
        <v>49</v>
      </c>
      <c r="K3" s="2" t="n">
        <v>27.19</v>
      </c>
      <c r="L3" s="2" t="n">
        <v>0.68</v>
      </c>
      <c r="M3" s="4" t="n">
        <v>4.31</v>
      </c>
      <c r="N3" s="4" t="n">
        <v>23.47</v>
      </c>
      <c r="O3" s="2" t="n">
        <v>30</v>
      </c>
      <c r="P3" s="4" t="n">
        <v>1.58</v>
      </c>
      <c r="Q3" s="4" t="n">
        <v>6.84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Oro</t>
        </is>
      </c>
      <c r="B4" s="2" t="inlineStr">
        <is>
          <t>Blanco</t>
        </is>
      </c>
      <c r="C4" s="3" t="n">
        <v>46053</v>
      </c>
      <c r="D4" s="2" t="inlineStr">
        <is>
          <t>B28853608</t>
        </is>
      </c>
      <c r="E4" s="2" t="inlineStr">
        <is>
          <t>Colorantes…</t>
        </is>
      </c>
      <c r="F4" s="2" t="n">
        <v>3160467</v>
      </c>
      <c r="G4" s="4" t="n">
        <v>518.9400000000001</v>
      </c>
      <c r="H4" s="3" t="n">
        <v>46049</v>
      </c>
      <c r="I4" s="3" t="n">
        <v>46098</v>
      </c>
      <c r="J4" s="2" t="n">
        <v>29</v>
      </c>
      <c r="K4" s="2" t="n">
        <v>26.8</v>
      </c>
      <c r="L4" s="2" t="n">
        <v>0.71</v>
      </c>
      <c r="M4" s="4" t="n">
        <v>3.68</v>
      </c>
      <c r="N4" s="4" t="n">
        <v>11.2</v>
      </c>
      <c r="O4" s="2" t="n">
        <v>50</v>
      </c>
      <c r="P4" s="4" t="n">
        <v>1.9</v>
      </c>
      <c r="Q4" s="4" t="n">
        <v>5.33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Oro</t>
        </is>
      </c>
      <c r="B5" s="2" t="inlineStr">
        <is>
          <t>Blanco</t>
        </is>
      </c>
      <c r="C5" s="3" t="n">
        <v>46053</v>
      </c>
      <c r="D5" s="2" t="inlineStr">
        <is>
          <t>A65946859</t>
        </is>
      </c>
      <c r="E5" s="2" t="inlineStr">
        <is>
          <t>Diagnóstico…</t>
        </is>
      </c>
      <c r="F5" s="2" t="n">
        <v>4420906</v>
      </c>
      <c r="G5" s="4" t="n">
        <v>356.89</v>
      </c>
      <c r="H5" s="3" t="n">
        <v>46046</v>
      </c>
      <c r="I5" s="3" t="n">
        <v>46124</v>
      </c>
      <c r="J5" s="2" t="n">
        <v>58</v>
      </c>
      <c r="K5" s="2" t="n">
        <v>30.72</v>
      </c>
      <c r="L5" s="2" t="n">
        <v>1.37</v>
      </c>
      <c r="M5" s="4" t="n">
        <v>4.89</v>
      </c>
      <c r="N5" s="4" t="n">
        <v>17.66</v>
      </c>
      <c r="O5" s="2" t="n">
        <v>60</v>
      </c>
      <c r="P5" s="4" t="n">
        <v>2.74</v>
      </c>
      <c r="Q5" s="4" t="n">
        <v>10.88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Oro</t>
        </is>
      </c>
      <c r="B6" s="2" t="inlineStr">
        <is>
          <t>Blanco</t>
        </is>
      </c>
      <c r="C6" s="3" t="n">
        <v>46053</v>
      </c>
      <c r="D6" s="2" t="inlineStr">
        <is>
          <t>A75878906</t>
        </is>
      </c>
      <c r="E6" s="2" t="inlineStr">
        <is>
          <t>Fotovoltaic…</t>
        </is>
      </c>
      <c r="F6" s="2" t="n">
        <v>3533432</v>
      </c>
      <c r="G6" s="4" t="n">
        <v>4580.43</v>
      </c>
      <c r="H6" s="3" t="n">
        <v>46030</v>
      </c>
      <c r="I6" s="3" t="n">
        <v>46079</v>
      </c>
      <c r="J6" s="2" t="n">
        <v>65</v>
      </c>
      <c r="K6" s="2" t="n">
        <v>23.62</v>
      </c>
      <c r="L6" s="2" t="n">
        <v>2.82</v>
      </c>
      <c r="M6" s="4" t="n">
        <v>129.17</v>
      </c>
      <c r="N6" s="4" t="n">
        <v>195.34</v>
      </c>
      <c r="O6" s="2" t="n">
        <v>70</v>
      </c>
      <c r="P6" s="4" t="n">
        <v>90.59999999999999</v>
      </c>
      <c r="Q6" s="4" t="n">
        <v>136.83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Oro</t>
        </is>
      </c>
      <c r="B7" s="2" t="inlineStr">
        <is>
          <t>Blanco</t>
        </is>
      </c>
      <c r="C7" s="3" t="n">
        <v>46053</v>
      </c>
      <c r="D7" s="2" t="inlineStr">
        <is>
          <t>A22952057</t>
        </is>
      </c>
      <c r="E7" s="2" t="inlineStr">
        <is>
          <t>Herbicidas…</t>
        </is>
      </c>
      <c r="F7" s="2" t="n">
        <v>3098249</v>
      </c>
      <c r="G7" s="4" t="n">
        <v>627.9</v>
      </c>
      <c r="H7" s="3" t="n">
        <v>46040</v>
      </c>
      <c r="I7" s="3" t="n">
        <v>46192</v>
      </c>
      <c r="J7" s="2" t="n">
        <v>70</v>
      </c>
      <c r="K7" s="2" t="n">
        <v>32.81</v>
      </c>
      <c r="L7" s="2" t="n">
        <v>1.89</v>
      </c>
      <c r="M7" s="4" t="n">
        <v>11.87</v>
      </c>
      <c r="N7" s="4" t="n">
        <v>40.06</v>
      </c>
      <c r="O7" s="2" t="n">
        <v>70</v>
      </c>
      <c r="P7" s="4" t="n">
        <v>8.42</v>
      </c>
      <c r="Q7" s="4" t="n">
        <v>28.34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Oro</t>
        </is>
      </c>
      <c r="B8" s="2" t="inlineStr">
        <is>
          <t>Blanco</t>
        </is>
      </c>
      <c r="C8" s="3" t="n">
        <v>46053</v>
      </c>
      <c r="D8" s="2" t="inlineStr">
        <is>
          <t>A36766078</t>
        </is>
      </c>
      <c r="E8" s="2" t="inlineStr">
        <is>
          <t>Herbicidas…</t>
        </is>
      </c>
      <c r="F8" s="2" t="n">
        <v>2144060</v>
      </c>
      <c r="G8" s="4" t="n">
        <v>429.81</v>
      </c>
      <c r="H8" s="3" t="n">
        <v>46039</v>
      </c>
      <c r="I8" s="3" t="n">
        <v>46080</v>
      </c>
      <c r="J8" s="2" t="n">
        <v>30</v>
      </c>
      <c r="K8" s="2" t="n">
        <v>23.91</v>
      </c>
      <c r="L8" s="2" t="n">
        <v>2.69</v>
      </c>
      <c r="M8" s="4" t="n">
        <v>11.56</v>
      </c>
      <c r="N8" s="4" t="n">
        <v>8.56</v>
      </c>
      <c r="O8" s="2" t="n">
        <v>50</v>
      </c>
      <c r="P8" s="4" t="n">
        <v>5.81</v>
      </c>
      <c r="Q8" s="4" t="n">
        <v>4.01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Oro</t>
        </is>
      </c>
      <c r="B9" s="2" t="inlineStr">
        <is>
          <t>Blanco</t>
        </is>
      </c>
      <c r="C9" s="3" t="n">
        <v>46053</v>
      </c>
      <c r="D9" s="2" t="inlineStr">
        <is>
          <t>A66406114</t>
        </is>
      </c>
      <c r="E9" s="2" t="inlineStr">
        <is>
          <t>Talcos Met…</t>
        </is>
      </c>
      <c r="F9" s="2" t="n">
        <v>2033473</v>
      </c>
      <c r="G9" s="4" t="n">
        <v>989.73</v>
      </c>
      <c r="H9" s="3" t="n">
        <v>46049</v>
      </c>
      <c r="I9" s="3" t="n">
        <v>46062</v>
      </c>
      <c r="J9" s="2" t="n">
        <v>53</v>
      </c>
      <c r="K9" s="2" t="n">
        <v>33</v>
      </c>
      <c r="L9" s="2" t="n">
        <v>1.66</v>
      </c>
      <c r="M9" s="4" t="n">
        <v>16.43</v>
      </c>
      <c r="N9" s="4" t="n">
        <v>48.08</v>
      </c>
      <c r="O9" s="2" t="n">
        <v>50</v>
      </c>
      <c r="P9" s="4" t="n">
        <v>8.09</v>
      </c>
      <c r="Q9" s="4" t="n">
        <v>23.99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Oro</t>
        </is>
      </c>
      <c r="B10" s="2" t="inlineStr">
        <is>
          <t>Blanco</t>
        </is>
      </c>
      <c r="C10" s="3" t="n">
        <v>46053</v>
      </c>
      <c r="D10" s="2" t="inlineStr">
        <is>
          <t>B45770961</t>
        </is>
      </c>
      <c r="E10" s="2" t="inlineStr">
        <is>
          <t>Talcos Idón…</t>
        </is>
      </c>
      <c r="F10" s="2" t="n">
        <v>3094177</v>
      </c>
      <c r="G10" s="4" t="n">
        <v>567.85</v>
      </c>
      <c r="H10" s="3" t="n">
        <v>46029</v>
      </c>
      <c r="I10" s="3" t="n">
        <v>46160</v>
      </c>
      <c r="J10" s="2" t="n">
        <v>66</v>
      </c>
      <c r="K10" s="2" t="n">
        <v>31.76</v>
      </c>
      <c r="L10" s="2" t="n">
        <v>2.8</v>
      </c>
      <c r="M10" s="4" t="n">
        <v>15.9</v>
      </c>
      <c r="N10" s="4" t="n">
        <v>33.06</v>
      </c>
      <c r="O10" s="2" t="n">
        <v>70</v>
      </c>
      <c r="P10" s="4" t="n">
        <v>10.92</v>
      </c>
      <c r="Q10" s="4" t="n">
        <v>22.92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Oro</t>
        </is>
      </c>
      <c r="B11" s="2" t="inlineStr">
        <is>
          <t>Blanco</t>
        </is>
      </c>
      <c r="C11" s="3" t="n">
        <v>46053</v>
      </c>
      <c r="D11" s="2" t="inlineStr">
        <is>
          <t>A37713776</t>
        </is>
      </c>
      <c r="E11" s="2" t="inlineStr">
        <is>
          <t>Minerales…</t>
        </is>
      </c>
      <c r="F11" s="2" t="n">
        <v>2977159</v>
      </c>
      <c r="G11" s="4" t="n">
        <v>269.64</v>
      </c>
      <c r="H11" s="3" t="n">
        <v>46032</v>
      </c>
      <c r="I11" s="3" t="n">
        <v>46102</v>
      </c>
      <c r="J11" s="2" t="n">
        <v>34</v>
      </c>
      <c r="K11" s="2" t="n">
        <v>12.89</v>
      </c>
      <c r="L11" s="2" t="n">
        <v>2.48</v>
      </c>
      <c r="M11" s="4" t="n">
        <v>6.69</v>
      </c>
      <c r="N11" s="4" t="n">
        <v>3.28</v>
      </c>
      <c r="O11" s="2" t="n">
        <v>60</v>
      </c>
      <c r="P11" s="4" t="n">
        <v>3.73</v>
      </c>
      <c r="Q11" s="4" t="n">
        <v>2.06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Oro</t>
        </is>
      </c>
      <c r="B12" s="2" t="inlineStr">
        <is>
          <t>Blanco</t>
        </is>
      </c>
      <c r="C12" s="3" t="n">
        <v>46053</v>
      </c>
      <c r="D12" s="2" t="inlineStr">
        <is>
          <t>A33813877</t>
        </is>
      </c>
      <c r="E12" s="2" t="inlineStr">
        <is>
          <t>Tractores…</t>
        </is>
      </c>
      <c r="F12" s="2" t="n">
        <v>1846370</v>
      </c>
      <c r="G12" s="4" t="n">
        <v>546.5700000000001</v>
      </c>
      <c r="H12" s="3" t="n">
        <v>46047</v>
      </c>
      <c r="I12" s="3" t="n">
        <v>46077</v>
      </c>
      <c r="J12" s="2" t="n">
        <v>27</v>
      </c>
      <c r="K12" s="2" t="n">
        <v>13.98</v>
      </c>
      <c r="L12" s="2" t="n">
        <v>1.29</v>
      </c>
      <c r="M12" s="4" t="n">
        <v>7.05</v>
      </c>
      <c r="N12" s="4" t="n">
        <v>5.73</v>
      </c>
      <c r="O12" s="2" t="n">
        <v>20</v>
      </c>
      <c r="P12" s="4" t="n">
        <v>1.67</v>
      </c>
      <c r="Q12" s="4" t="n">
        <v>0.95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Oro</t>
        </is>
      </c>
      <c r="B13" s="2" t="inlineStr">
        <is>
          <t>Blanco</t>
        </is>
      </c>
      <c r="C13" s="3" t="n">
        <v>46053</v>
      </c>
      <c r="D13" s="2" t="inlineStr">
        <is>
          <t>B81981442</t>
        </is>
      </c>
      <c r="E13" s="2" t="inlineStr">
        <is>
          <t>Depuracion…</t>
        </is>
      </c>
      <c r="F13" s="2" t="n">
        <v>2121511</v>
      </c>
      <c r="G13" s="4" t="n">
        <v>979.26</v>
      </c>
      <c r="H13" s="3" t="n">
        <v>46042</v>
      </c>
      <c r="I13" s="3" t="n">
        <v>46106</v>
      </c>
      <c r="J13" s="2" t="n">
        <v>39</v>
      </c>
      <c r="K13" s="2" t="n">
        <v>26.54</v>
      </c>
      <c r="L13" s="2" t="n">
        <v>2.7</v>
      </c>
      <c r="M13" s="4" t="n">
        <v>26.44</v>
      </c>
      <c r="N13" s="4" t="n">
        <v>28.16</v>
      </c>
      <c r="O13" s="2" t="n">
        <v>30</v>
      </c>
      <c r="P13" s="4" t="n">
        <v>7.8</v>
      </c>
      <c r="Q13" s="4" t="n">
        <v>8.33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Oro</t>
        </is>
      </c>
      <c r="B14" s="2" t="inlineStr">
        <is>
          <t>Blanco</t>
        </is>
      </c>
      <c r="C14" s="3" t="n">
        <v>46053</v>
      </c>
      <c r="D14" s="2" t="inlineStr">
        <is>
          <t>A42105204</t>
        </is>
      </c>
      <c r="E14" s="2" t="inlineStr">
        <is>
          <t>Component…</t>
        </is>
      </c>
      <c r="F14" s="2" t="n">
        <v>2145588</v>
      </c>
      <c r="G14" s="4" t="n">
        <v>853.72</v>
      </c>
      <c r="H14" s="3" t="n">
        <v>46027</v>
      </c>
      <c r="I14" s="3" t="n">
        <v>46187</v>
      </c>
      <c r="J14" s="2" t="n">
        <v>14</v>
      </c>
      <c r="K14" s="2" t="n">
        <v>48.82</v>
      </c>
      <c r="L14" s="2" t="n">
        <v>1.02</v>
      </c>
      <c r="M14" s="4" t="n">
        <v>8.710000000000001</v>
      </c>
      <c r="N14" s="4" t="n">
        <v>16.21</v>
      </c>
      <c r="O14" s="2" t="n">
        <v>30</v>
      </c>
      <c r="P14" s="4" t="n">
        <v>2.73</v>
      </c>
      <c r="Q14" s="4" t="n">
        <v>5.11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Oro</t>
        </is>
      </c>
      <c r="B15" s="2" t="inlineStr">
        <is>
          <t>Blanco</t>
        </is>
      </c>
      <c r="C15" s="3" t="n">
        <v>46053</v>
      </c>
      <c r="D15" s="2" t="inlineStr">
        <is>
          <t>A38325722</t>
        </is>
      </c>
      <c r="E15" s="2" t="inlineStr">
        <is>
          <t>Siliconas O…</t>
        </is>
      </c>
      <c r="F15" s="2" t="n">
        <v>1068076</v>
      </c>
      <c r="G15" s="4" t="n">
        <v>8541.68</v>
      </c>
      <c r="H15" s="3" t="n">
        <v>46043</v>
      </c>
      <c r="I15" s="3" t="n">
        <v>46083</v>
      </c>
      <c r="J15" s="2" t="n">
        <v>71</v>
      </c>
      <c r="K15" s="2" t="n">
        <v>38.75</v>
      </c>
      <c r="L15" s="2" t="n">
        <v>1.02</v>
      </c>
      <c r="M15" s="4" t="n">
        <v>87.13</v>
      </c>
      <c r="N15" s="4" t="n">
        <v>652.79</v>
      </c>
      <c r="O15" s="2" t="n">
        <v>60</v>
      </c>
      <c r="P15" s="4" t="n">
        <v>52.03</v>
      </c>
      <c r="Q15" s="4" t="n">
        <v>391.94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Oro</t>
        </is>
      </c>
      <c r="B16" s="2" t="inlineStr">
        <is>
          <t>Blanco</t>
        </is>
      </c>
      <c r="C16" s="3" t="n">
        <v>46053</v>
      </c>
      <c r="D16" s="2" t="inlineStr">
        <is>
          <t>A97519892</t>
        </is>
      </c>
      <c r="E16" s="2" t="inlineStr">
        <is>
          <t>Telas Cone…</t>
        </is>
      </c>
      <c r="F16" s="2" t="n">
        <v>1416185</v>
      </c>
      <c r="G16" s="4" t="n">
        <v>1409.15</v>
      </c>
      <c r="H16" s="3" t="n">
        <v>46045</v>
      </c>
      <c r="I16" s="3" t="n">
        <v>46077</v>
      </c>
      <c r="J16" s="2" t="n">
        <v>79</v>
      </c>
      <c r="K16" s="2" t="n">
        <v>49.98</v>
      </c>
      <c r="L16" s="2" t="n">
        <v>0.75</v>
      </c>
      <c r="M16" s="4" t="n">
        <v>10.57</v>
      </c>
      <c r="N16" s="4" t="n">
        <v>154.55</v>
      </c>
      <c r="O16" s="2" t="n">
        <v>50</v>
      </c>
      <c r="P16" s="4" t="n">
        <v>5.55</v>
      </c>
      <c r="Q16" s="4" t="n">
        <v>77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Oro</t>
        </is>
      </c>
      <c r="B17" s="2" t="inlineStr">
        <is>
          <t>Blanco</t>
        </is>
      </c>
      <c r="C17" s="3" t="n">
        <v>46053</v>
      </c>
      <c r="D17" s="2" t="inlineStr">
        <is>
          <t>B73057079</t>
        </is>
      </c>
      <c r="E17" s="2" t="inlineStr">
        <is>
          <t>Prefabricad…</t>
        </is>
      </c>
      <c r="F17" s="2" t="n">
        <v>4710566</v>
      </c>
      <c r="G17" s="4" t="n">
        <v>649.5700000000001</v>
      </c>
      <c r="H17" s="3" t="n">
        <v>46042</v>
      </c>
      <c r="I17" s="3" t="n">
        <v>46151</v>
      </c>
      <c r="J17" s="2" t="n">
        <v>62</v>
      </c>
      <c r="K17" s="2" t="n">
        <v>22.37</v>
      </c>
      <c r="L17" s="2" t="n">
        <v>2.68</v>
      </c>
      <c r="M17" s="4" t="n">
        <v>17.41</v>
      </c>
      <c r="N17" s="4" t="n">
        <v>25.03</v>
      </c>
      <c r="O17" s="2" t="n">
        <v>30</v>
      </c>
      <c r="P17" s="4" t="n">
        <v>5.13</v>
      </c>
      <c r="Q17" s="4" t="n">
        <v>7.68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Oro</t>
        </is>
      </c>
      <c r="B18" s="2" t="inlineStr">
        <is>
          <t>Blanco</t>
        </is>
      </c>
      <c r="C18" s="3" t="n">
        <v>46053</v>
      </c>
      <c r="D18" s="2" t="inlineStr">
        <is>
          <t>B10393105</t>
        </is>
      </c>
      <c r="E18" s="2" t="inlineStr">
        <is>
          <t>Aparejos S…</t>
        </is>
      </c>
      <c r="F18" s="2" t="n">
        <v>4000295</v>
      </c>
      <c r="G18" s="4" t="n">
        <v>358.47</v>
      </c>
      <c r="H18" s="3" t="n">
        <v>46045</v>
      </c>
      <c r="I18" s="3" t="n">
        <v>46113</v>
      </c>
      <c r="J18" s="2" t="n">
        <v>67</v>
      </c>
      <c r="K18" s="2" t="n">
        <v>27.14</v>
      </c>
      <c r="L18" s="2" t="n">
        <v>1.93</v>
      </c>
      <c r="M18" s="4" t="n">
        <v>6.92</v>
      </c>
      <c r="N18" s="4" t="n">
        <v>18.11</v>
      </c>
      <c r="O18" s="2" t="n">
        <v>20</v>
      </c>
      <c r="P18" s="4" t="n">
        <v>1.43</v>
      </c>
      <c r="Q18" s="4" t="n">
        <v>3.66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Oro</t>
        </is>
      </c>
      <c r="B19" s="2" t="inlineStr">
        <is>
          <t>Blanco</t>
        </is>
      </c>
      <c r="C19" s="3" t="n">
        <v>46053</v>
      </c>
      <c r="D19" s="2" t="inlineStr">
        <is>
          <t>A83294252</t>
        </is>
      </c>
      <c r="E19" s="2" t="inlineStr">
        <is>
          <t>Agroquímic…</t>
        </is>
      </c>
      <c r="F19" s="2" t="n">
        <v>1235700</v>
      </c>
      <c r="G19" s="4" t="n">
        <v>613.11</v>
      </c>
      <c r="H19" s="3" t="n">
        <v>46023</v>
      </c>
      <c r="I19" s="3" t="n">
        <v>46129</v>
      </c>
      <c r="J19" s="2" t="n">
        <v>31</v>
      </c>
      <c r="K19" s="2" t="n">
        <v>28.91</v>
      </c>
      <c r="L19" s="2" t="n">
        <v>1.48</v>
      </c>
      <c r="M19" s="4" t="n">
        <v>9.07</v>
      </c>
      <c r="N19" s="4" t="n">
        <v>15.26</v>
      </c>
      <c r="O19" s="2" t="n">
        <v>60</v>
      </c>
      <c r="P19" s="4" t="n">
        <v>5.27</v>
      </c>
      <c r="Q19" s="4" t="n">
        <v>9.01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Oro</t>
        </is>
      </c>
      <c r="B20" s="2" t="inlineStr">
        <is>
          <t>Blanco</t>
        </is>
      </c>
      <c r="C20" s="3" t="n">
        <v>46053</v>
      </c>
      <c r="D20" s="2" t="inlineStr">
        <is>
          <t>A40684521</t>
        </is>
      </c>
      <c r="E20" s="2" t="inlineStr">
        <is>
          <t>Resistencia…</t>
        </is>
      </c>
      <c r="F20" s="2" t="n">
        <v>3350518</v>
      </c>
      <c r="G20" s="4" t="n">
        <v>113.81</v>
      </c>
      <c r="H20" s="3" t="n">
        <v>46034</v>
      </c>
      <c r="I20" s="3" t="n">
        <v>46057</v>
      </c>
      <c r="J20" s="2" t="n">
        <v>72</v>
      </c>
      <c r="K20" s="2" t="n">
        <v>45.78</v>
      </c>
      <c r="L20" s="2" t="n">
        <v>1.32</v>
      </c>
      <c r="M20" s="4" t="n">
        <v>1.5</v>
      </c>
      <c r="N20" s="4" t="n">
        <v>10.42</v>
      </c>
      <c r="O20" s="2" t="n">
        <v>60</v>
      </c>
      <c r="P20" s="4" t="n">
        <v>1.2</v>
      </c>
      <c r="Q20" s="4" t="n">
        <v>6.29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Oro</t>
        </is>
      </c>
      <c r="B21" s="2" t="inlineStr">
        <is>
          <t>Blanco</t>
        </is>
      </c>
      <c r="C21" s="3" t="n">
        <v>46053</v>
      </c>
      <c r="D21" s="2" t="inlineStr">
        <is>
          <t>A10265313</t>
        </is>
      </c>
      <c r="E21" s="2" t="inlineStr">
        <is>
          <t>Catalizador…</t>
        </is>
      </c>
      <c r="F21" s="2" t="n">
        <v>4811525</v>
      </c>
      <c r="G21" s="4" t="n">
        <v>8850.610000000001</v>
      </c>
      <c r="H21" s="3" t="n">
        <v>46025</v>
      </c>
      <c r="I21" s="3" t="n">
        <v>46121</v>
      </c>
      <c r="J21" s="2" t="n">
        <v>35</v>
      </c>
      <c r="K21" s="2" t="n">
        <v>15.73</v>
      </c>
      <c r="L21" s="2" t="n">
        <v>1.62</v>
      </c>
      <c r="M21" s="4" t="n">
        <v>143.38</v>
      </c>
      <c r="N21" s="4" t="n">
        <v>135.35</v>
      </c>
      <c r="O21" s="2" t="n">
        <v>20</v>
      </c>
      <c r="P21" s="4" t="n">
        <v>28.73</v>
      </c>
      <c r="Q21" s="4" t="n">
        <v>26.94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Oro</t>
        </is>
      </c>
      <c r="B22" s="2" t="inlineStr">
        <is>
          <t>Blanco</t>
        </is>
      </c>
      <c r="C22" s="3" t="n">
        <v>46053</v>
      </c>
      <c r="D22" s="2" t="inlineStr">
        <is>
          <t>B22634073</t>
        </is>
      </c>
      <c r="E22" s="2" t="inlineStr">
        <is>
          <t>Turbinas F…</t>
        </is>
      </c>
      <c r="F22" s="2" t="n">
        <v>3817361</v>
      </c>
      <c r="G22" s="4" t="n">
        <v>7005.5</v>
      </c>
      <c r="H22" s="3" t="n">
        <v>46031</v>
      </c>
      <c r="I22" s="3" t="n">
        <v>46096</v>
      </c>
      <c r="J22" s="2" t="n">
        <v>41</v>
      </c>
      <c r="K22" s="2" t="n">
        <v>11.67</v>
      </c>
      <c r="L22" s="2" t="n">
        <v>2.29</v>
      </c>
      <c r="M22" s="4" t="n">
        <v>160.43</v>
      </c>
      <c r="N22" s="4" t="n">
        <v>93.11</v>
      </c>
      <c r="O22" s="2" t="n">
        <v>50</v>
      </c>
      <c r="P22" s="4" t="n">
        <v>80.45</v>
      </c>
      <c r="Q22" s="4" t="n">
        <v>46.74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Oro</t>
        </is>
      </c>
      <c r="B23" s="2" t="inlineStr">
        <is>
          <t>Blanco</t>
        </is>
      </c>
      <c r="C23" s="3" t="n">
        <v>46053</v>
      </c>
      <c r="D23" s="2" t="inlineStr">
        <is>
          <t>A53648711</t>
        </is>
      </c>
      <c r="E23" s="2" t="inlineStr">
        <is>
          <t>Sacos Igníf…</t>
        </is>
      </c>
      <c r="F23" s="2" t="n">
        <v>4899817</v>
      </c>
      <c r="G23" s="4" t="n">
        <v>645.58</v>
      </c>
      <c r="H23" s="3" t="n">
        <v>46046</v>
      </c>
      <c r="I23" s="3" t="n">
        <v>46055</v>
      </c>
      <c r="J23" s="2" t="n">
        <v>18</v>
      </c>
      <c r="K23" s="2" t="n">
        <v>41</v>
      </c>
      <c r="L23" s="2" t="n">
        <v>2.07</v>
      </c>
      <c r="M23" s="4" t="n">
        <v>13.36</v>
      </c>
      <c r="N23" s="4" t="n">
        <v>13.23</v>
      </c>
      <c r="O23" s="2" t="n">
        <v>50</v>
      </c>
      <c r="P23" s="4" t="n">
        <v>6.72</v>
      </c>
      <c r="Q23" s="4" t="n">
        <v>6.64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Oro</t>
        </is>
      </c>
      <c r="B24" s="2" t="inlineStr">
        <is>
          <t>Blanco</t>
        </is>
      </c>
      <c r="C24" s="3" t="n">
        <v>46053</v>
      </c>
      <c r="D24" s="2" t="inlineStr">
        <is>
          <t>A10654441</t>
        </is>
      </c>
      <c r="E24" s="2" t="inlineStr">
        <is>
          <t>Mangueras…</t>
        </is>
      </c>
      <c r="F24" s="2" t="n">
        <v>3169213</v>
      </c>
      <c r="G24" s="4" t="n">
        <v>8510</v>
      </c>
      <c r="H24" s="3" t="n">
        <v>46046</v>
      </c>
      <c r="I24" s="3" t="n">
        <v>46070</v>
      </c>
      <c r="J24" s="2" t="n">
        <v>69</v>
      </c>
      <c r="K24" s="2" t="n">
        <v>39.12</v>
      </c>
      <c r="L24" s="2" t="n">
        <v>0.88</v>
      </c>
      <c r="M24" s="4" t="n">
        <v>74.89</v>
      </c>
      <c r="N24" s="4" t="n">
        <v>638.08</v>
      </c>
      <c r="O24" s="2" t="n">
        <v>50</v>
      </c>
      <c r="P24" s="4" t="n">
        <v>37.28</v>
      </c>
      <c r="Q24" s="4" t="n">
        <v>318.96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Oro</t>
        </is>
      </c>
      <c r="B25" s="2" t="inlineStr">
        <is>
          <t>Blanco</t>
        </is>
      </c>
      <c r="C25" s="3" t="n">
        <v>46053</v>
      </c>
      <c r="D25" s="2" t="inlineStr">
        <is>
          <t>B46599594</t>
        </is>
      </c>
      <c r="E25" s="2" t="inlineStr">
        <is>
          <t>Fundicione…</t>
        </is>
      </c>
      <c r="F25" s="2" t="n">
        <v>2316677</v>
      </c>
      <c r="G25" s="4" t="n">
        <v>191.91</v>
      </c>
      <c r="H25" s="3" t="n">
        <v>46034</v>
      </c>
      <c r="I25" s="3" t="n">
        <v>46139</v>
      </c>
      <c r="J25" s="2" t="n">
        <v>26</v>
      </c>
      <c r="K25" s="2" t="n">
        <v>17.26</v>
      </c>
      <c r="L25" s="2" t="n">
        <v>1.9</v>
      </c>
      <c r="M25" s="4" t="n">
        <v>3.65</v>
      </c>
      <c r="N25" s="4" t="n">
        <v>2.39</v>
      </c>
      <c r="O25" s="2" t="n">
        <v>60</v>
      </c>
      <c r="P25" s="4" t="n">
        <v>2.28</v>
      </c>
      <c r="Q25" s="4" t="n">
        <v>1.24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Oro</t>
        </is>
      </c>
      <c r="B26" s="2" t="inlineStr">
        <is>
          <t>Blanco</t>
        </is>
      </c>
      <c r="C26" s="3" t="n">
        <v>46053</v>
      </c>
      <c r="D26" s="2" t="inlineStr">
        <is>
          <t>A15582903</t>
        </is>
      </c>
      <c r="E26" s="2" t="inlineStr">
        <is>
          <t>Vehículos…</t>
        </is>
      </c>
      <c r="F26" s="2" t="n">
        <v>1239711</v>
      </c>
      <c r="G26" s="4" t="n">
        <v>4014.36</v>
      </c>
      <c r="H26" s="3" t="n">
        <v>46041</v>
      </c>
      <c r="I26" s="3" t="n">
        <v>46215</v>
      </c>
      <c r="J26" s="2" t="n">
        <v>65</v>
      </c>
      <c r="K26" s="2" t="n">
        <v>20.37</v>
      </c>
      <c r="L26" s="2" t="n">
        <v>1.58</v>
      </c>
      <c r="M26" s="4" t="n">
        <v>63.43</v>
      </c>
      <c r="N26" s="4" t="n">
        <v>147.64</v>
      </c>
      <c r="O26" s="2" t="n">
        <v>20</v>
      </c>
      <c r="P26" s="4" t="n">
        <v>12.76</v>
      </c>
      <c r="Q26" s="4" t="n">
        <v>29.82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Oro</t>
        </is>
      </c>
      <c r="B27" s="2" t="inlineStr">
        <is>
          <t>Blanco</t>
        </is>
      </c>
      <c r="C27" s="3" t="n">
        <v>46053</v>
      </c>
      <c r="D27" s="2" t="inlineStr">
        <is>
          <t>A66652986</t>
        </is>
      </c>
      <c r="E27" s="2" t="inlineStr">
        <is>
          <t>Pizarras Na…</t>
        </is>
      </c>
      <c r="F27" s="2" t="n">
        <v>2571668</v>
      </c>
      <c r="G27" s="4" t="n">
        <v>507.31</v>
      </c>
      <c r="H27" s="3" t="n">
        <v>46029</v>
      </c>
      <c r="I27" s="3" t="n">
        <v>46079</v>
      </c>
      <c r="J27" s="2" t="n">
        <v>18</v>
      </c>
      <c r="K27" s="2" t="n">
        <v>18.55</v>
      </c>
      <c r="L27" s="2" t="n">
        <v>1.92</v>
      </c>
      <c r="M27" s="4" t="n">
        <v>9.74</v>
      </c>
      <c r="N27" s="4" t="n">
        <v>4.71</v>
      </c>
      <c r="O27" s="2" t="n">
        <v>60</v>
      </c>
      <c r="P27" s="4" t="n">
        <v>6.12</v>
      </c>
      <c r="Q27" s="4" t="n">
        <v>3.04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Oro</t>
        </is>
      </c>
      <c r="B28" s="2" t="inlineStr">
        <is>
          <t>Blanco</t>
        </is>
      </c>
      <c r="C28" s="3" t="n">
        <v>46053</v>
      </c>
      <c r="D28" s="2" t="inlineStr">
        <is>
          <t>A38794533</t>
        </is>
      </c>
      <c r="E28" s="2" t="inlineStr">
        <is>
          <t>Parquets F…</t>
        </is>
      </c>
      <c r="F28" s="2" t="n">
        <v>1522009</v>
      </c>
      <c r="G28" s="4" t="n">
        <v>249.03</v>
      </c>
      <c r="H28" s="3" t="n">
        <v>46036</v>
      </c>
      <c r="I28" s="3" t="n">
        <v>46217</v>
      </c>
      <c r="J28" s="2" t="n">
        <v>82</v>
      </c>
      <c r="K28" s="2" t="n">
        <v>34.38</v>
      </c>
      <c r="L28" s="2" t="n">
        <v>2.73</v>
      </c>
      <c r="M28" s="4" t="n">
        <v>6.8</v>
      </c>
      <c r="N28" s="4" t="n">
        <v>19.5</v>
      </c>
      <c r="O28" s="2" t="n">
        <v>40</v>
      </c>
      <c r="P28" s="4" t="n">
        <v>2.84</v>
      </c>
      <c r="Q28" s="4" t="n">
        <v>7.51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Oro</t>
        </is>
      </c>
      <c r="B29" s="2" t="inlineStr">
        <is>
          <t>Blanco</t>
        </is>
      </c>
      <c r="C29" s="3" t="n">
        <v>46053</v>
      </c>
      <c r="D29" s="2" t="inlineStr">
        <is>
          <t>B92469407</t>
        </is>
      </c>
      <c r="E29" s="2" t="inlineStr">
        <is>
          <t>Emulsiones…</t>
        </is>
      </c>
      <c r="F29" s="2" t="n">
        <v>4254691</v>
      </c>
      <c r="G29" s="4" t="n">
        <v>1915.01</v>
      </c>
      <c r="H29" s="3" t="n">
        <v>46033</v>
      </c>
      <c r="I29" s="3" t="n">
        <v>46061</v>
      </c>
      <c r="J29" s="2" t="n">
        <v>10</v>
      </c>
      <c r="K29" s="2" t="n">
        <v>22.01</v>
      </c>
      <c r="L29" s="2" t="n">
        <v>0.67</v>
      </c>
      <c r="M29" s="4" t="n">
        <v>12.83</v>
      </c>
      <c r="N29" s="4" t="n">
        <v>11.71</v>
      </c>
      <c r="O29" s="2" t="n">
        <v>60</v>
      </c>
      <c r="P29" s="4" t="n">
        <v>7.75</v>
      </c>
      <c r="Q29" s="4" t="n">
        <v>7.1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Oro</t>
        </is>
      </c>
      <c r="B30" s="2" t="inlineStr">
        <is>
          <t>Blanco</t>
        </is>
      </c>
      <c r="C30" s="3" t="n">
        <v>46053</v>
      </c>
      <c r="D30" s="2" t="inlineStr">
        <is>
          <t>A89226861</t>
        </is>
      </c>
      <c r="E30" s="2" t="inlineStr">
        <is>
          <t>Informes Mi…</t>
        </is>
      </c>
      <c r="F30" s="2" t="n">
        <v>1607924</v>
      </c>
      <c r="G30" s="4" t="n">
        <v>3832.49</v>
      </c>
      <c r="H30" s="3" t="n">
        <v>46028</v>
      </c>
      <c r="I30" s="3" t="n">
        <v>46078</v>
      </c>
      <c r="J30" s="2" t="n">
        <v>71</v>
      </c>
      <c r="K30" s="2" t="n">
        <v>24.07</v>
      </c>
      <c r="L30" s="2" t="n">
        <v>2.38</v>
      </c>
      <c r="M30" s="4" t="n">
        <v>91.20999999999999</v>
      </c>
      <c r="N30" s="4" t="n">
        <v>181.93</v>
      </c>
      <c r="O30" s="2" t="n">
        <v>40</v>
      </c>
      <c r="P30" s="4" t="n">
        <v>36.23</v>
      </c>
      <c r="Q30" s="4" t="n">
        <v>73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Oro</t>
        </is>
      </c>
      <c r="B31" s="2" t="inlineStr">
        <is>
          <t>Blanco</t>
        </is>
      </c>
      <c r="C31" s="3" t="n">
        <v>46053</v>
      </c>
      <c r="D31" s="2" t="inlineStr">
        <is>
          <t>B86895555</t>
        </is>
      </c>
      <c r="E31" s="2" t="inlineStr">
        <is>
          <t>Celulosas…</t>
        </is>
      </c>
      <c r="F31" s="2" t="n">
        <v>2961776</v>
      </c>
      <c r="G31" s="4" t="n">
        <v>7482.53</v>
      </c>
      <c r="H31" s="3" t="n">
        <v>46041</v>
      </c>
      <c r="I31" s="3" t="n">
        <v>46095</v>
      </c>
      <c r="J31" s="2" t="n">
        <v>59</v>
      </c>
      <c r="K31" s="2" t="n">
        <v>38.3</v>
      </c>
      <c r="L31" s="2" t="n">
        <v>2.18</v>
      </c>
      <c r="M31" s="4" t="n">
        <v>163.12</v>
      </c>
      <c r="N31" s="4" t="n">
        <v>469.67</v>
      </c>
      <c r="O31" s="2" t="n">
        <v>70</v>
      </c>
      <c r="P31" s="4" t="n">
        <v>114.33</v>
      </c>
      <c r="Q31" s="4" t="n">
        <v>328.65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Oro</t>
        </is>
      </c>
      <c r="B32" s="2" t="inlineStr">
        <is>
          <t>Blanco</t>
        </is>
      </c>
      <c r="C32" s="3" t="n">
        <v>46053</v>
      </c>
      <c r="D32" s="2" t="inlineStr">
        <is>
          <t>B27785166</t>
        </is>
      </c>
      <c r="E32" s="2" t="inlineStr">
        <is>
          <t>Tarimas M…</t>
        </is>
      </c>
      <c r="F32" s="2" t="n">
        <v>4790768</v>
      </c>
      <c r="G32" s="4" t="n">
        <v>969.74</v>
      </c>
      <c r="H32" s="3" t="n">
        <v>46049</v>
      </c>
      <c r="I32" s="3" t="n">
        <v>46127</v>
      </c>
      <c r="J32" s="2" t="n">
        <v>69</v>
      </c>
      <c r="K32" s="2" t="n">
        <v>25.48</v>
      </c>
      <c r="L32" s="2" t="n">
        <v>1.29</v>
      </c>
      <c r="M32" s="4" t="n">
        <v>12.51</v>
      </c>
      <c r="N32" s="4" t="n">
        <v>47.36</v>
      </c>
      <c r="O32" s="2" t="n">
        <v>70</v>
      </c>
      <c r="P32" s="4" t="n">
        <v>8.82</v>
      </c>
      <c r="Q32" s="4" t="n">
        <v>33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Oro</t>
        </is>
      </c>
      <c r="B33" s="2" t="inlineStr">
        <is>
          <t>Blanco</t>
        </is>
      </c>
      <c r="C33" s="3" t="n">
        <v>46053</v>
      </c>
      <c r="D33" s="2" t="inlineStr">
        <is>
          <t>A79826349</t>
        </is>
      </c>
      <c r="E33" s="2" t="inlineStr">
        <is>
          <t>Silos Antifu…</t>
        </is>
      </c>
      <c r="F33" s="2" t="n">
        <v>3407128</v>
      </c>
      <c r="G33" s="4" t="n">
        <v>9027.82</v>
      </c>
      <c r="H33" s="3" t="n">
        <v>46038</v>
      </c>
      <c r="I33" s="3" t="n">
        <v>46211</v>
      </c>
      <c r="J33" s="2" t="n">
        <v>44</v>
      </c>
      <c r="K33" s="2" t="n">
        <v>40.88</v>
      </c>
      <c r="L33" s="2" t="n">
        <v>1.52</v>
      </c>
      <c r="M33" s="4" t="n">
        <v>137.22</v>
      </c>
      <c r="N33" s="4" t="n">
        <v>451.07</v>
      </c>
      <c r="O33" s="2" t="n">
        <v>30</v>
      </c>
      <c r="P33" s="4" t="n">
        <v>40.88</v>
      </c>
      <c r="Q33" s="4" t="n">
        <v>135.25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Oro</t>
        </is>
      </c>
      <c r="B34" s="2" t="inlineStr">
        <is>
          <t>Blanco</t>
        </is>
      </c>
      <c r="C34" s="3" t="n">
        <v>46053</v>
      </c>
      <c r="D34" s="2" t="inlineStr">
        <is>
          <t>A58137369</t>
        </is>
      </c>
      <c r="E34" s="2" t="inlineStr">
        <is>
          <t>Anclas Anti…</t>
        </is>
      </c>
      <c r="F34" s="2" t="n">
        <v>4335876</v>
      </c>
      <c r="G34" s="4" t="n">
        <v>9948.68</v>
      </c>
      <c r="H34" s="3" t="n">
        <v>46043</v>
      </c>
      <c r="I34" s="3" t="n">
        <v>46098</v>
      </c>
      <c r="J34" s="2" t="n">
        <v>18</v>
      </c>
      <c r="K34" s="2" t="n">
        <v>19.63</v>
      </c>
      <c r="L34" s="2" t="n">
        <v>1.89</v>
      </c>
      <c r="M34" s="4" t="n">
        <v>188.03</v>
      </c>
      <c r="N34" s="4" t="n">
        <v>97.65000000000001</v>
      </c>
      <c r="O34" s="2" t="n">
        <v>20</v>
      </c>
      <c r="P34" s="4" t="n">
        <v>37.78</v>
      </c>
      <c r="Q34" s="4" t="n">
        <v>19.24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Oro</t>
        </is>
      </c>
      <c r="B35" s="2" t="inlineStr">
        <is>
          <t>Blanco</t>
        </is>
      </c>
      <c r="C35" s="3" t="n">
        <v>46053</v>
      </c>
      <c r="D35" s="2" t="inlineStr">
        <is>
          <t>A83802131</t>
        </is>
      </c>
      <c r="E35" s="2" t="inlineStr">
        <is>
          <t>Baterías D…</t>
        </is>
      </c>
      <c r="F35" s="2" t="n">
        <v>1929162</v>
      </c>
      <c r="G35" s="4" t="n">
        <v>336.14</v>
      </c>
      <c r="H35" s="3" t="n">
        <v>46037</v>
      </c>
      <c r="I35" s="3" t="n">
        <v>46157</v>
      </c>
      <c r="J35" s="2" t="n">
        <v>41</v>
      </c>
      <c r="K35" s="2" t="n">
        <v>23.66</v>
      </c>
      <c r="L35" s="2" t="n">
        <v>2.41</v>
      </c>
      <c r="M35" s="4" t="n">
        <v>8.1</v>
      </c>
      <c r="N35" s="4" t="n">
        <v>9.06</v>
      </c>
      <c r="O35" s="2" t="n">
        <v>60</v>
      </c>
      <c r="P35" s="4" t="n">
        <v>5</v>
      </c>
      <c r="Q35" s="4" t="n">
        <v>5.58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Oro</t>
        </is>
      </c>
      <c r="B36" s="2" t="inlineStr">
        <is>
          <t>Blanco</t>
        </is>
      </c>
      <c r="C36" s="3" t="n">
        <v>46053</v>
      </c>
      <c r="D36" s="2" t="inlineStr">
        <is>
          <t>A55687689</t>
        </is>
      </c>
      <c r="E36" s="2" t="inlineStr">
        <is>
          <t>Aditivos Bio…</t>
        </is>
      </c>
      <c r="F36" s="2" t="n">
        <v>4653445</v>
      </c>
      <c r="G36" s="4" t="n">
        <v>8285.74</v>
      </c>
      <c r="H36" s="3" t="n">
        <v>46043</v>
      </c>
      <c r="I36" s="3" t="n">
        <v>46097</v>
      </c>
      <c r="J36" s="2" t="n">
        <v>54</v>
      </c>
      <c r="K36" s="2" t="n">
        <v>14.35</v>
      </c>
      <c r="L36" s="2" t="n">
        <v>0.98</v>
      </c>
      <c r="M36" s="4" t="n">
        <v>81.2</v>
      </c>
      <c r="N36" s="4" t="n">
        <v>178.35</v>
      </c>
      <c r="O36" s="2" t="n">
        <v>30</v>
      </c>
      <c r="P36" s="4" t="n">
        <v>24.25</v>
      </c>
      <c r="Q36" s="4" t="n">
        <v>53.76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Oro</t>
        </is>
      </c>
      <c r="B37" s="2" t="inlineStr">
        <is>
          <t>Blanco</t>
        </is>
      </c>
      <c r="C37" s="3" t="n">
        <v>46053</v>
      </c>
      <c r="D37" s="2" t="inlineStr">
        <is>
          <t>B59014009</t>
        </is>
      </c>
      <c r="E37" s="2" t="inlineStr">
        <is>
          <t>Áridos Cata…</t>
        </is>
      </c>
      <c r="F37" s="2" t="n">
        <v>2429161</v>
      </c>
      <c r="G37" s="4" t="n">
        <v>621.49</v>
      </c>
      <c r="H37" s="3" t="n">
        <v>46034</v>
      </c>
      <c r="I37" s="3" t="n">
        <v>46166</v>
      </c>
      <c r="J37" s="2" t="n">
        <v>67</v>
      </c>
      <c r="K37" s="2" t="n">
        <v>35.44</v>
      </c>
      <c r="L37" s="2" t="n">
        <v>1.21</v>
      </c>
      <c r="M37" s="4" t="n">
        <v>7.52</v>
      </c>
      <c r="N37" s="4" t="n">
        <v>40.99</v>
      </c>
      <c r="O37" s="2" t="n">
        <v>30</v>
      </c>
      <c r="P37" s="4" t="n">
        <v>2.24</v>
      </c>
      <c r="Q37" s="4" t="n">
        <v>12.55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Oro</t>
        </is>
      </c>
      <c r="B38" s="2" t="inlineStr">
        <is>
          <t>Blanco</t>
        </is>
      </c>
      <c r="C38" s="3" t="n">
        <v>46053</v>
      </c>
      <c r="D38" s="2" t="inlineStr">
        <is>
          <t>A55606571</t>
        </is>
      </c>
      <c r="E38" s="2" t="inlineStr">
        <is>
          <t>Plataforma…</t>
        </is>
      </c>
      <c r="F38" s="2" t="n">
        <v>1618992</v>
      </c>
      <c r="G38" s="4" t="n">
        <v>5026.87</v>
      </c>
      <c r="H38" s="3" t="n">
        <v>46049</v>
      </c>
      <c r="I38" s="3" t="n">
        <v>46108</v>
      </c>
      <c r="J38" s="2" t="n">
        <v>79</v>
      </c>
      <c r="K38" s="2" t="n">
        <v>35.89</v>
      </c>
      <c r="L38" s="2" t="n">
        <v>1.27</v>
      </c>
      <c r="M38" s="4" t="n">
        <v>63.84</v>
      </c>
      <c r="N38" s="4" t="n">
        <v>395.91</v>
      </c>
      <c r="O38" s="2" t="n">
        <v>50</v>
      </c>
      <c r="P38" s="4" t="n">
        <v>31.62</v>
      </c>
      <c r="Q38" s="4" t="n">
        <v>197.85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Oro</t>
        </is>
      </c>
      <c r="B39" s="2" t="inlineStr">
        <is>
          <t>Blanco</t>
        </is>
      </c>
      <c r="C39" s="3" t="n">
        <v>46053</v>
      </c>
      <c r="D39" s="2" t="inlineStr">
        <is>
          <t>A07044032</t>
        </is>
      </c>
      <c r="E39" s="2" t="inlineStr">
        <is>
          <t>Fluoruros A…</t>
        </is>
      </c>
      <c r="F39" s="2" t="n">
        <v>2143764</v>
      </c>
      <c r="G39" s="4" t="n">
        <v>614.75</v>
      </c>
      <c r="H39" s="3" t="n">
        <v>46044</v>
      </c>
      <c r="I39" s="3" t="n">
        <v>46143</v>
      </c>
      <c r="J39" s="2" t="n">
        <v>18</v>
      </c>
      <c r="K39" s="2" t="n">
        <v>12.07</v>
      </c>
      <c r="L39" s="2" t="n">
        <v>0.51</v>
      </c>
      <c r="M39" s="4" t="n">
        <v>3.14</v>
      </c>
      <c r="N39" s="4" t="n">
        <v>3.71</v>
      </c>
      <c r="O39" s="2" t="n">
        <v>60</v>
      </c>
      <c r="P39" s="4" t="n">
        <v>1.9</v>
      </c>
      <c r="Q39" s="4" t="n">
        <v>2.46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Oro</t>
        </is>
      </c>
      <c r="B40" s="2" t="inlineStr">
        <is>
          <t>Blanco</t>
        </is>
      </c>
      <c r="C40" s="3" t="n">
        <v>46053</v>
      </c>
      <c r="D40" s="2" t="inlineStr">
        <is>
          <t>A89489993</t>
        </is>
      </c>
      <c r="E40" s="2" t="inlineStr">
        <is>
          <t>Niquelados…</t>
        </is>
      </c>
      <c r="F40" s="2" t="n">
        <v>4763562</v>
      </c>
      <c r="G40" s="4" t="n">
        <v>486.88</v>
      </c>
      <c r="H40" s="3" t="n">
        <v>46028</v>
      </c>
      <c r="I40" s="3" t="n">
        <v>46175</v>
      </c>
      <c r="J40" s="2" t="n">
        <v>84</v>
      </c>
      <c r="K40" s="2" t="n">
        <v>15.77</v>
      </c>
      <c r="L40" s="2" t="n">
        <v>2.4</v>
      </c>
      <c r="M40" s="4" t="n">
        <v>11.69</v>
      </c>
      <c r="N40" s="4" t="n">
        <v>17.92</v>
      </c>
      <c r="O40" s="2" t="n">
        <v>60</v>
      </c>
      <c r="P40" s="4" t="n">
        <v>7.17</v>
      </c>
      <c r="Q40" s="4" t="n">
        <v>10.94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Oro</t>
        </is>
      </c>
      <c r="B41" s="2" t="inlineStr">
        <is>
          <t>Blanco</t>
        </is>
      </c>
      <c r="C41" s="3" t="n">
        <v>46053</v>
      </c>
      <c r="D41" s="2" t="inlineStr">
        <is>
          <t>A60846028</t>
        </is>
      </c>
      <c r="E41" s="2" t="inlineStr">
        <is>
          <t>Transforma…</t>
        </is>
      </c>
      <c r="F41" s="2" t="n">
        <v>4795675</v>
      </c>
      <c r="G41" s="4" t="n">
        <v>999.15</v>
      </c>
      <c r="H41" s="3" t="n">
        <v>46046</v>
      </c>
      <c r="I41" s="3" t="n">
        <v>46101</v>
      </c>
      <c r="J41" s="2" t="n">
        <v>85</v>
      </c>
      <c r="K41" s="2" t="n">
        <v>43.93</v>
      </c>
      <c r="L41" s="2" t="n">
        <v>0.72</v>
      </c>
      <c r="M41" s="4" t="n">
        <v>7.19</v>
      </c>
      <c r="N41" s="4" t="n">
        <v>103.64</v>
      </c>
      <c r="O41" s="2" t="n">
        <v>70</v>
      </c>
      <c r="P41" s="4" t="n">
        <v>5.26</v>
      </c>
      <c r="Q41" s="4" t="n">
        <v>72.56999999999999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Oro</t>
        </is>
      </c>
      <c r="B42" s="2" t="inlineStr">
        <is>
          <t>Blanco</t>
        </is>
      </c>
      <c r="C42" s="3" t="n">
        <v>46053</v>
      </c>
      <c r="D42" s="2" t="inlineStr">
        <is>
          <t>A35184746</t>
        </is>
      </c>
      <c r="E42" s="2" t="inlineStr">
        <is>
          <t>Transmisio…</t>
        </is>
      </c>
      <c r="F42" s="2" t="n">
        <v>3339319</v>
      </c>
      <c r="G42" s="4" t="n">
        <v>147.66</v>
      </c>
      <c r="H42" s="3" t="n">
        <v>46043</v>
      </c>
      <c r="I42" s="3" t="n">
        <v>46181</v>
      </c>
      <c r="J42" s="2" t="n">
        <v>12</v>
      </c>
      <c r="K42" s="2" t="n">
        <v>11.14</v>
      </c>
      <c r="L42" s="2" t="n">
        <v>1.86</v>
      </c>
      <c r="M42" s="4" t="n">
        <v>2.75</v>
      </c>
      <c r="N42" s="4" t="n">
        <v>0.55</v>
      </c>
      <c r="O42" s="2" t="n">
        <v>30</v>
      </c>
      <c r="P42" s="4" t="n">
        <v>0.63</v>
      </c>
      <c r="Q42" s="4" t="n">
        <v>0.05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Oro</t>
        </is>
      </c>
      <c r="B43" s="2" t="inlineStr">
        <is>
          <t>Blanco</t>
        </is>
      </c>
      <c r="C43" s="3" t="n">
        <v>46053</v>
      </c>
      <c r="D43" s="2" t="inlineStr">
        <is>
          <t>A14052331</t>
        </is>
      </c>
      <c r="E43" s="2" t="inlineStr">
        <is>
          <t>Estructuras…</t>
        </is>
      </c>
      <c r="F43" s="2" t="n">
        <v>3545347</v>
      </c>
      <c r="G43" s="4" t="n">
        <v>846.63</v>
      </c>
      <c r="H43" s="3" t="n">
        <v>46048</v>
      </c>
      <c r="I43" s="3" t="n">
        <v>46167</v>
      </c>
      <c r="J43" s="2" t="n">
        <v>53</v>
      </c>
      <c r="K43" s="2" t="n">
        <v>33.81</v>
      </c>
      <c r="L43" s="2" t="n">
        <v>0.68</v>
      </c>
      <c r="M43" s="4" t="n">
        <v>5.76</v>
      </c>
      <c r="N43" s="4" t="n">
        <v>42.14</v>
      </c>
      <c r="O43" s="2" t="n">
        <v>40</v>
      </c>
      <c r="P43" s="4" t="n">
        <v>2.48</v>
      </c>
      <c r="Q43" s="4" t="n">
        <v>16.87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Oro</t>
        </is>
      </c>
      <c r="B44" s="2" t="inlineStr">
        <is>
          <t>Blanco</t>
        </is>
      </c>
      <c r="C44" s="3" t="n">
        <v>46053</v>
      </c>
      <c r="D44" s="2" t="inlineStr">
        <is>
          <t>B84691388</t>
        </is>
      </c>
      <c r="E44" s="2" t="inlineStr">
        <is>
          <t>Impermeab…</t>
        </is>
      </c>
      <c r="F44" s="2" t="n">
        <v>2988235</v>
      </c>
      <c r="G44" s="4" t="n">
        <v>314.86</v>
      </c>
      <c r="H44" s="3" t="n">
        <v>46038</v>
      </c>
      <c r="I44" s="3" t="n">
        <v>46099</v>
      </c>
      <c r="J44" s="2" t="n">
        <v>11</v>
      </c>
      <c r="K44" s="2" t="n">
        <v>36.48</v>
      </c>
      <c r="L44" s="2" t="n">
        <v>2.51</v>
      </c>
      <c r="M44" s="4" t="n">
        <v>7.9</v>
      </c>
      <c r="N44" s="4" t="n">
        <v>3.51</v>
      </c>
      <c r="O44" s="2" t="n">
        <v>40</v>
      </c>
      <c r="P44" s="4" t="n">
        <v>3.34</v>
      </c>
      <c r="Q44" s="4" t="n">
        <v>1.58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Oro</t>
        </is>
      </c>
      <c r="B45" s="2" t="inlineStr">
        <is>
          <t>Blanco</t>
        </is>
      </c>
      <c r="C45" s="3" t="n">
        <v>46053</v>
      </c>
      <c r="D45" s="2" t="inlineStr">
        <is>
          <t>A04678513</t>
        </is>
      </c>
      <c r="E45" s="2" t="inlineStr">
        <is>
          <t>Biogases E…</t>
        </is>
      </c>
      <c r="F45" s="2" t="n">
        <v>2592255</v>
      </c>
      <c r="G45" s="4" t="n">
        <v>359.12</v>
      </c>
      <c r="H45" s="3" t="n">
        <v>46034</v>
      </c>
      <c r="I45" s="3" t="n">
        <v>46152</v>
      </c>
      <c r="J45" s="2" t="n">
        <v>15</v>
      </c>
      <c r="K45" s="2" t="n">
        <v>13.41</v>
      </c>
      <c r="L45" s="2" t="n">
        <v>1.58</v>
      </c>
      <c r="M45" s="4" t="n">
        <v>5.67</v>
      </c>
      <c r="N45" s="4" t="n">
        <v>2.01</v>
      </c>
      <c r="O45" s="2" t="n">
        <v>20</v>
      </c>
      <c r="P45" s="4" t="n">
        <v>1.41</v>
      </c>
      <c r="Q45" s="4" t="n">
        <v>0.63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Oro</t>
        </is>
      </c>
      <c r="B46" s="2" t="inlineStr">
        <is>
          <t>Blanco</t>
        </is>
      </c>
      <c r="C46" s="3" t="n">
        <v>46053</v>
      </c>
      <c r="D46" s="2" t="inlineStr">
        <is>
          <t>A73225557</t>
        </is>
      </c>
      <c r="E46" s="2" t="inlineStr">
        <is>
          <t>Selladores…</t>
        </is>
      </c>
      <c r="F46" s="2" t="n">
        <v>1845555</v>
      </c>
      <c r="G46" s="4" t="n">
        <v>3891.18</v>
      </c>
      <c r="H46" s="3" t="n">
        <v>46030</v>
      </c>
      <c r="I46" s="3" t="n">
        <v>46216</v>
      </c>
      <c r="J46" s="2" t="n">
        <v>55</v>
      </c>
      <c r="K46" s="2" t="n">
        <v>13.7</v>
      </c>
      <c r="L46" s="2" t="n">
        <v>1.52</v>
      </c>
      <c r="M46" s="4" t="n">
        <v>59.15</v>
      </c>
      <c r="N46" s="4" t="n">
        <v>81.44</v>
      </c>
      <c r="O46" s="2" t="n">
        <v>60</v>
      </c>
      <c r="P46" s="4" t="n">
        <v>35.21</v>
      </c>
      <c r="Q46" s="4" t="n">
        <v>48.61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Oro</t>
        </is>
      </c>
      <c r="B47" s="2" t="inlineStr">
        <is>
          <t>Blanco</t>
        </is>
      </c>
      <c r="C47" s="3" t="n">
        <v>46053</v>
      </c>
      <c r="D47" s="2" t="inlineStr">
        <is>
          <t>A81768175</t>
        </is>
      </c>
      <c r="E47" s="2" t="inlineStr">
        <is>
          <t>Bridas Refi…</t>
        </is>
      </c>
      <c r="F47" s="2" t="n">
        <v>3624005</v>
      </c>
      <c r="G47" s="4" t="n">
        <v>3128.5</v>
      </c>
      <c r="H47" s="3" t="n">
        <v>46040</v>
      </c>
      <c r="I47" s="3" t="n">
        <v>46178</v>
      </c>
      <c r="J47" s="2" t="n">
        <v>26</v>
      </c>
      <c r="K47" s="2" t="n">
        <v>28.25</v>
      </c>
      <c r="L47" s="2" t="n">
        <v>0.96</v>
      </c>
      <c r="M47" s="4" t="n">
        <v>30.03</v>
      </c>
      <c r="N47" s="4" t="n">
        <v>63.83</v>
      </c>
      <c r="O47" s="2" t="n">
        <v>30</v>
      </c>
      <c r="P47" s="4" t="n">
        <v>8.720000000000001</v>
      </c>
      <c r="Q47" s="4" t="n">
        <v>18.9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Oro</t>
        </is>
      </c>
      <c r="B48" s="2" t="inlineStr">
        <is>
          <t>Blanco</t>
        </is>
      </c>
      <c r="C48" s="3" t="n">
        <v>46053</v>
      </c>
      <c r="D48" s="2" t="inlineStr">
        <is>
          <t>B23345947</t>
        </is>
      </c>
      <c r="E48" s="2" t="inlineStr">
        <is>
          <t>Acumulado…</t>
        </is>
      </c>
      <c r="F48" s="2" t="n">
        <v>4966034</v>
      </c>
      <c r="G48" s="4" t="n">
        <v>677.6799999999999</v>
      </c>
      <c r="H48" s="3" t="n">
        <v>46040</v>
      </c>
      <c r="I48" s="3" t="n">
        <v>46066</v>
      </c>
      <c r="J48" s="2" t="n">
        <v>64</v>
      </c>
      <c r="K48" s="2" t="n">
        <v>12.25</v>
      </c>
      <c r="L48" s="2" t="n">
        <v>2.96</v>
      </c>
      <c r="M48" s="4" t="n">
        <v>20.06</v>
      </c>
      <c r="N48" s="4" t="n">
        <v>14.76</v>
      </c>
      <c r="O48" s="2" t="n">
        <v>60</v>
      </c>
      <c r="P48" s="4" t="n">
        <v>12.2</v>
      </c>
      <c r="Q48" s="4" t="n">
        <v>8.93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Oro</t>
        </is>
      </c>
      <c r="B49" s="2" t="inlineStr">
        <is>
          <t>Blanco</t>
        </is>
      </c>
      <c r="C49" s="3" t="n">
        <v>46053</v>
      </c>
      <c r="D49" s="2" t="inlineStr">
        <is>
          <t>A97986289</t>
        </is>
      </c>
      <c r="E49" s="2" t="inlineStr">
        <is>
          <t>Bronces Es…</t>
        </is>
      </c>
      <c r="F49" s="2" t="n">
        <v>1414725</v>
      </c>
      <c r="G49" s="4" t="n">
        <v>779.3200000000001</v>
      </c>
      <c r="H49" s="3" t="n">
        <v>46041</v>
      </c>
      <c r="I49" s="3" t="n">
        <v>46092</v>
      </c>
      <c r="J49" s="2" t="n">
        <v>22</v>
      </c>
      <c r="K49" s="2" t="n">
        <v>12.47</v>
      </c>
      <c r="L49" s="2" t="n">
        <v>1.37</v>
      </c>
      <c r="M49" s="4" t="n">
        <v>10.68</v>
      </c>
      <c r="N49" s="4" t="n">
        <v>5.94</v>
      </c>
      <c r="O49" s="2" t="n">
        <v>50</v>
      </c>
      <c r="P49" s="4" t="n">
        <v>5.46</v>
      </c>
      <c r="Q49" s="4" t="n">
        <v>2.74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Oro</t>
        </is>
      </c>
      <c r="B50" s="2" t="inlineStr">
        <is>
          <t>Blanco</t>
        </is>
      </c>
      <c r="C50" s="3" t="n">
        <v>46053</v>
      </c>
      <c r="D50" s="2" t="inlineStr">
        <is>
          <t>B89382373</t>
        </is>
      </c>
      <c r="E50" s="2" t="inlineStr">
        <is>
          <t>Polímeros…</t>
        </is>
      </c>
      <c r="F50" s="2" t="n">
        <v>1834976</v>
      </c>
      <c r="G50" s="4" t="n">
        <v>2551.25</v>
      </c>
      <c r="H50" s="3" t="n">
        <v>46043</v>
      </c>
      <c r="I50" s="3" t="n">
        <v>46183</v>
      </c>
      <c r="J50" s="2" t="n">
        <v>44</v>
      </c>
      <c r="K50" s="2" t="n">
        <v>39.04</v>
      </c>
      <c r="L50" s="2" t="n">
        <v>1.1</v>
      </c>
      <c r="M50" s="4" t="n">
        <v>28.06</v>
      </c>
      <c r="N50" s="4" t="n">
        <v>121.73</v>
      </c>
      <c r="O50" s="2" t="n">
        <v>60</v>
      </c>
      <c r="P50" s="4" t="n">
        <v>16.89</v>
      </c>
      <c r="Q50" s="4" t="n">
        <v>73.09999999999999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Oro</t>
        </is>
      </c>
      <c r="B51" s="2" t="inlineStr">
        <is>
          <t>Blanco</t>
        </is>
      </c>
      <c r="C51" s="3" t="n">
        <v>46053</v>
      </c>
      <c r="D51" s="2" t="inlineStr">
        <is>
          <t>B30225175</t>
        </is>
      </c>
      <c r="E51" s="2" t="inlineStr">
        <is>
          <t>Aguas Exte…</t>
        </is>
      </c>
      <c r="F51" s="2" t="n">
        <v>1656994</v>
      </c>
      <c r="G51" s="4" t="n">
        <v>507.72</v>
      </c>
      <c r="H51" s="3" t="n">
        <v>46030</v>
      </c>
      <c r="I51" s="3" t="n">
        <v>46131</v>
      </c>
      <c r="J51" s="2" t="n">
        <v>13</v>
      </c>
      <c r="K51" s="2" t="n">
        <v>31.86</v>
      </c>
      <c r="L51" s="2" t="n">
        <v>0.52</v>
      </c>
      <c r="M51" s="4" t="n">
        <v>2.64</v>
      </c>
      <c r="N51" s="4" t="n">
        <v>5.84</v>
      </c>
      <c r="O51" s="2" t="n">
        <v>50</v>
      </c>
      <c r="P51" s="4" t="n">
        <v>1.4</v>
      </c>
      <c r="Q51" s="4" t="n">
        <v>2.82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Oro</t>
        </is>
      </c>
      <c r="B52" s="2" t="inlineStr">
        <is>
          <t>Blanco</t>
        </is>
      </c>
      <c r="C52" s="3" t="n">
        <v>46053</v>
      </c>
      <c r="D52" s="2" t="inlineStr">
        <is>
          <t>A68843027</t>
        </is>
      </c>
      <c r="E52" s="2" t="inlineStr">
        <is>
          <t>Tarimas Ga…</t>
        </is>
      </c>
      <c r="F52" s="2" t="n">
        <v>4611079</v>
      </c>
      <c r="G52" s="4" t="n">
        <v>961.99</v>
      </c>
      <c r="H52" s="3" t="n">
        <v>46047</v>
      </c>
      <c r="I52" s="3" t="n">
        <v>46221</v>
      </c>
      <c r="J52" s="2" t="n">
        <v>67</v>
      </c>
      <c r="K52" s="2" t="n">
        <v>12.02</v>
      </c>
      <c r="L52" s="2" t="n">
        <v>1.17</v>
      </c>
      <c r="M52" s="4" t="n">
        <v>11.26</v>
      </c>
      <c r="N52" s="4" t="n">
        <v>21.52</v>
      </c>
      <c r="O52" s="2" t="n">
        <v>30</v>
      </c>
      <c r="P52" s="4" t="n">
        <v>3.23</v>
      </c>
      <c r="Q52" s="4" t="n">
        <v>6.31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Oro</t>
        </is>
      </c>
      <c r="B53" s="2" t="inlineStr">
        <is>
          <t>Blanco</t>
        </is>
      </c>
      <c r="C53" s="3" t="n">
        <v>46053</v>
      </c>
      <c r="D53" s="2" t="inlineStr">
        <is>
          <t>B65167516</t>
        </is>
      </c>
      <c r="E53" s="2" t="inlineStr">
        <is>
          <t>Bronces M…</t>
        </is>
      </c>
      <c r="F53" s="2" t="n">
        <v>4139907</v>
      </c>
      <c r="G53" s="4" t="n">
        <v>251.93</v>
      </c>
      <c r="H53" s="3" t="n">
        <v>46037</v>
      </c>
      <c r="I53" s="3" t="n">
        <v>46056</v>
      </c>
      <c r="J53" s="2" t="n">
        <v>60</v>
      </c>
      <c r="K53" s="2" t="n">
        <v>16.95</v>
      </c>
      <c r="L53" s="2" t="n">
        <v>2.36</v>
      </c>
      <c r="M53" s="4" t="n">
        <v>5.95</v>
      </c>
      <c r="N53" s="4" t="n">
        <v>7.12</v>
      </c>
      <c r="O53" s="2" t="n">
        <v>50</v>
      </c>
      <c r="P53" s="4" t="n">
        <v>3.03</v>
      </c>
      <c r="Q53" s="4" t="n">
        <v>3.28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Oro</t>
        </is>
      </c>
      <c r="B54" s="2" t="inlineStr">
        <is>
          <t>Blanco</t>
        </is>
      </c>
      <c r="C54" s="3" t="n">
        <v>46053</v>
      </c>
      <c r="D54" s="2" t="inlineStr">
        <is>
          <t>B14572724</t>
        </is>
      </c>
      <c r="E54" s="2" t="inlineStr">
        <is>
          <t>Tuberías R…</t>
        </is>
      </c>
      <c r="F54" s="2" t="n">
        <v>4360911</v>
      </c>
      <c r="G54" s="4" t="n">
        <v>9442.879999999999</v>
      </c>
      <c r="H54" s="3" t="n">
        <v>46045</v>
      </c>
      <c r="I54" s="3" t="n">
        <v>46152</v>
      </c>
      <c r="J54" s="2" t="n">
        <v>52</v>
      </c>
      <c r="K54" s="2" t="n">
        <v>27.56</v>
      </c>
      <c r="L54" s="2" t="n">
        <v>0.59</v>
      </c>
      <c r="M54" s="4" t="n">
        <v>55.71</v>
      </c>
      <c r="N54" s="4" t="n">
        <v>375.91</v>
      </c>
      <c r="O54" s="2" t="n">
        <v>40</v>
      </c>
      <c r="P54" s="4" t="n">
        <v>22.19</v>
      </c>
      <c r="Q54" s="4" t="n">
        <v>150.6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Oro</t>
        </is>
      </c>
      <c r="B55" s="2" t="inlineStr">
        <is>
          <t>Blanco</t>
        </is>
      </c>
      <c r="C55" s="3" t="n">
        <v>46053</v>
      </c>
      <c r="D55" s="2" t="inlineStr">
        <is>
          <t>B95341918</t>
        </is>
      </c>
      <c r="E55" s="2" t="inlineStr">
        <is>
          <t>Autocares…</t>
        </is>
      </c>
      <c r="F55" s="2" t="n">
        <v>2366333</v>
      </c>
      <c r="G55" s="4" t="n">
        <v>514.3099999999999</v>
      </c>
      <c r="H55" s="3" t="n">
        <v>46034</v>
      </c>
      <c r="I55" s="3" t="n">
        <v>46158</v>
      </c>
      <c r="J55" s="2" t="n">
        <v>42</v>
      </c>
      <c r="K55" s="2" t="n">
        <v>25.32</v>
      </c>
      <c r="L55" s="2" t="n">
        <v>1.08</v>
      </c>
      <c r="M55" s="4" t="n">
        <v>5.55</v>
      </c>
      <c r="N55" s="4" t="n">
        <v>15.19</v>
      </c>
      <c r="O55" s="2" t="n">
        <v>30</v>
      </c>
      <c r="P55" s="4" t="n">
        <v>1.58</v>
      </c>
      <c r="Q55" s="4" t="n">
        <v>4.85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Oro</t>
        </is>
      </c>
      <c r="B56" s="2" t="inlineStr">
        <is>
          <t>Blanco</t>
        </is>
      </c>
      <c r="C56" s="3" t="n">
        <v>46053</v>
      </c>
      <c r="D56" s="2" t="inlineStr">
        <is>
          <t>A59318148</t>
        </is>
      </c>
      <c r="E56" s="2" t="inlineStr">
        <is>
          <t>Forjados Ef…</t>
        </is>
      </c>
      <c r="F56" s="2" t="n">
        <v>1181733</v>
      </c>
      <c r="G56" s="4" t="n">
        <v>875.35</v>
      </c>
      <c r="H56" s="3" t="n">
        <v>46023</v>
      </c>
      <c r="I56" s="3" t="n">
        <v>46217</v>
      </c>
      <c r="J56" s="2" t="n">
        <v>13</v>
      </c>
      <c r="K56" s="2" t="n">
        <v>21.98</v>
      </c>
      <c r="L56" s="2" t="n">
        <v>1.34</v>
      </c>
      <c r="M56" s="4" t="n">
        <v>11.73</v>
      </c>
      <c r="N56" s="4" t="n">
        <v>6.95</v>
      </c>
      <c r="O56" s="2" t="n">
        <v>20</v>
      </c>
      <c r="P56" s="4" t="n">
        <v>2.05</v>
      </c>
      <c r="Q56" s="4" t="n">
        <v>1.14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Oro</t>
        </is>
      </c>
      <c r="B57" s="2" t="inlineStr">
        <is>
          <t>Blanco</t>
        </is>
      </c>
      <c r="C57" s="3" t="n">
        <v>46053</v>
      </c>
      <c r="D57" s="2" t="inlineStr">
        <is>
          <t>A67519105</t>
        </is>
      </c>
      <c r="E57" s="2" t="inlineStr">
        <is>
          <t>Parquets M…</t>
        </is>
      </c>
      <c r="F57" s="2" t="n">
        <v>1020168</v>
      </c>
      <c r="G57" s="4" t="n">
        <v>711.6900000000001</v>
      </c>
      <c r="H57" s="3" t="n">
        <v>46034</v>
      </c>
      <c r="I57" s="3" t="n">
        <v>46175</v>
      </c>
      <c r="J57" s="2" t="n">
        <v>36</v>
      </c>
      <c r="K57" s="2" t="n">
        <v>15.81</v>
      </c>
      <c r="L57" s="2" t="n">
        <v>2.76</v>
      </c>
      <c r="M57" s="4" t="n">
        <v>19.64</v>
      </c>
      <c r="N57" s="4" t="n">
        <v>11.25</v>
      </c>
      <c r="O57" s="2" t="n">
        <v>70</v>
      </c>
      <c r="P57" s="4" t="n">
        <v>13.9</v>
      </c>
      <c r="Q57" s="4" t="n">
        <v>7.97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Oro</t>
        </is>
      </c>
      <c r="B58" s="2" t="inlineStr">
        <is>
          <t>Blanco</t>
        </is>
      </c>
      <c r="C58" s="3" t="n">
        <v>46053</v>
      </c>
      <c r="D58" s="2" t="inlineStr">
        <is>
          <t>B11019877</t>
        </is>
      </c>
      <c r="E58" s="2" t="inlineStr">
        <is>
          <t>Redes Estr…</t>
        </is>
      </c>
      <c r="F58" s="2" t="n">
        <v>1572533</v>
      </c>
      <c r="G58" s="4" t="n">
        <v>2773.13</v>
      </c>
      <c r="H58" s="3" t="n">
        <v>46047</v>
      </c>
      <c r="I58" s="3" t="n">
        <v>46177</v>
      </c>
      <c r="J58" s="2" t="n">
        <v>60</v>
      </c>
      <c r="K58" s="2" t="n">
        <v>38.39</v>
      </c>
      <c r="L58" s="2" t="n">
        <v>2.43</v>
      </c>
      <c r="M58" s="4" t="n">
        <v>67.39</v>
      </c>
      <c r="N58" s="4" t="n">
        <v>177.43</v>
      </c>
      <c r="O58" s="2" t="n">
        <v>40</v>
      </c>
      <c r="P58" s="4" t="n">
        <v>27</v>
      </c>
      <c r="Q58" s="4" t="n">
        <v>71.03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Oro</t>
        </is>
      </c>
      <c r="B59" s="2" t="inlineStr">
        <is>
          <t>Blanco</t>
        </is>
      </c>
      <c r="C59" s="3" t="n">
        <v>46053</v>
      </c>
      <c r="D59" s="2" t="inlineStr">
        <is>
          <t>B66857232</t>
        </is>
      </c>
      <c r="E59" s="2" t="inlineStr">
        <is>
          <t>Inversores…</t>
        </is>
      </c>
      <c r="F59" s="2" t="n">
        <v>3563129</v>
      </c>
      <c r="G59" s="4" t="n">
        <v>8193.48</v>
      </c>
      <c r="H59" s="3" t="n">
        <v>46034</v>
      </c>
      <c r="I59" s="3" t="n">
        <v>46131</v>
      </c>
      <c r="J59" s="2" t="n">
        <v>55</v>
      </c>
      <c r="K59" s="2" t="n">
        <v>10.02</v>
      </c>
      <c r="L59" s="2" t="n">
        <v>2.94</v>
      </c>
      <c r="M59" s="4" t="n">
        <v>240.89</v>
      </c>
      <c r="N59" s="4" t="n">
        <v>125.43</v>
      </c>
      <c r="O59" s="2" t="n">
        <v>60</v>
      </c>
      <c r="P59" s="4" t="n">
        <v>144.28</v>
      </c>
      <c r="Q59" s="4" t="n">
        <v>75.12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Oro</t>
        </is>
      </c>
      <c r="B60" s="2" t="inlineStr">
        <is>
          <t>Blanco</t>
        </is>
      </c>
      <c r="C60" s="3" t="n">
        <v>46053</v>
      </c>
      <c r="D60" s="2" t="inlineStr">
        <is>
          <t>B92762376</t>
        </is>
      </c>
      <c r="E60" s="2" t="inlineStr">
        <is>
          <t>Vinagres M…</t>
        </is>
      </c>
      <c r="F60" s="2" t="n">
        <v>1763850</v>
      </c>
      <c r="G60" s="4" t="n">
        <v>721.96</v>
      </c>
      <c r="H60" s="3" t="n">
        <v>46043</v>
      </c>
      <c r="I60" s="3" t="n">
        <v>46206</v>
      </c>
      <c r="J60" s="2" t="n">
        <v>22</v>
      </c>
      <c r="K60" s="2" t="n">
        <v>39.86</v>
      </c>
      <c r="L60" s="2" t="n">
        <v>1.66</v>
      </c>
      <c r="M60" s="4" t="n">
        <v>11.98</v>
      </c>
      <c r="N60" s="4" t="n">
        <v>17.59</v>
      </c>
      <c r="O60" s="2" t="n">
        <v>70</v>
      </c>
      <c r="P60" s="4" t="n">
        <v>8.609999999999999</v>
      </c>
      <c r="Q60" s="4" t="n">
        <v>12.08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Oro</t>
        </is>
      </c>
      <c r="B61" s="2" t="inlineStr">
        <is>
          <t>Blanco</t>
        </is>
      </c>
      <c r="C61" s="3" t="n">
        <v>46053</v>
      </c>
      <c r="D61" s="2" t="inlineStr">
        <is>
          <t>A47886485</t>
        </is>
      </c>
      <c r="E61" s="2" t="inlineStr">
        <is>
          <t>Tinturas So…</t>
        </is>
      </c>
      <c r="F61" s="2" t="n">
        <v>3101824</v>
      </c>
      <c r="G61" s="4" t="n">
        <v>102.75</v>
      </c>
      <c r="H61" s="3" t="n">
        <v>46035</v>
      </c>
      <c r="I61" s="3" t="n">
        <v>46115</v>
      </c>
      <c r="J61" s="2" t="n">
        <v>70</v>
      </c>
      <c r="K61" s="2" t="n">
        <v>26.52</v>
      </c>
      <c r="L61" s="2" t="n">
        <v>1.8</v>
      </c>
      <c r="M61" s="4" t="n">
        <v>1.85</v>
      </c>
      <c r="N61" s="4" t="n">
        <v>5.3</v>
      </c>
      <c r="O61" s="2" t="n">
        <v>40</v>
      </c>
      <c r="P61" s="4" t="n">
        <v>0.9</v>
      </c>
      <c r="Q61" s="4" t="n">
        <v>2.24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Oro</t>
        </is>
      </c>
      <c r="B62" s="2" t="inlineStr">
        <is>
          <t>Blanco</t>
        </is>
      </c>
      <c r="C62" s="3" t="n">
        <v>46053</v>
      </c>
      <c r="D62" s="2" t="inlineStr">
        <is>
          <t>B04771216</t>
        </is>
      </c>
      <c r="E62" s="2" t="inlineStr">
        <is>
          <t>Reactivos…</t>
        </is>
      </c>
      <c r="F62" s="2" t="n">
        <v>2675339</v>
      </c>
      <c r="G62" s="4" t="n">
        <v>620.71</v>
      </c>
      <c r="H62" s="3" t="n">
        <v>46023</v>
      </c>
      <c r="I62" s="3" t="n">
        <v>46080</v>
      </c>
      <c r="J62" s="2" t="n">
        <v>75</v>
      </c>
      <c r="K62" s="2" t="n">
        <v>11.84</v>
      </c>
      <c r="L62" s="2" t="n">
        <v>0.84</v>
      </c>
      <c r="M62" s="4" t="n">
        <v>5.21</v>
      </c>
      <c r="N62" s="4" t="n">
        <v>15.31</v>
      </c>
      <c r="O62" s="2" t="n">
        <v>40</v>
      </c>
      <c r="P62" s="4" t="n">
        <v>2.32</v>
      </c>
      <c r="Q62" s="4" t="n">
        <v>5.98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Oro</t>
        </is>
      </c>
      <c r="B63" s="2" t="inlineStr">
        <is>
          <t>Blanco</t>
        </is>
      </c>
      <c r="C63" s="3" t="n">
        <v>46053</v>
      </c>
      <c r="D63" s="2" t="inlineStr">
        <is>
          <t>A32591255</t>
        </is>
      </c>
      <c r="E63" s="2" t="inlineStr">
        <is>
          <t>Granos Fia…</t>
        </is>
      </c>
      <c r="F63" s="2" t="n">
        <v>4690075</v>
      </c>
      <c r="G63" s="4" t="n">
        <v>570.97</v>
      </c>
      <c r="H63" s="3" t="n">
        <v>46030</v>
      </c>
      <c r="I63" s="3" t="n">
        <v>46115</v>
      </c>
      <c r="J63" s="2" t="n">
        <v>39</v>
      </c>
      <c r="K63" s="2" t="n">
        <v>48.42</v>
      </c>
      <c r="L63" s="2" t="n">
        <v>0.99</v>
      </c>
      <c r="M63" s="4" t="n">
        <v>5.65</v>
      </c>
      <c r="N63" s="4" t="n">
        <v>29.95</v>
      </c>
      <c r="O63" s="2" t="n">
        <v>50</v>
      </c>
      <c r="P63" s="4" t="n">
        <v>2.69</v>
      </c>
      <c r="Q63" s="4" t="n">
        <v>15.07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Oro</t>
        </is>
      </c>
      <c r="B64" s="2" t="inlineStr">
        <is>
          <t>Blanco</t>
        </is>
      </c>
      <c r="C64" s="3" t="n">
        <v>46053</v>
      </c>
      <c r="D64" s="2" t="inlineStr">
        <is>
          <t>B92844237</t>
        </is>
      </c>
      <c r="E64" s="2" t="inlineStr">
        <is>
          <t>Grafitos Int…</t>
        </is>
      </c>
      <c r="F64" s="2" t="n">
        <v>3617192</v>
      </c>
      <c r="G64" s="4" t="n">
        <v>636.46</v>
      </c>
      <c r="H64" s="3" t="n">
        <v>46049</v>
      </c>
      <c r="I64" s="3" t="n">
        <v>46147</v>
      </c>
      <c r="J64" s="2" t="n">
        <v>25</v>
      </c>
      <c r="K64" s="2" t="n">
        <v>46.5</v>
      </c>
      <c r="L64" s="2" t="n">
        <v>0.67</v>
      </c>
      <c r="M64" s="4" t="n">
        <v>4.26</v>
      </c>
      <c r="N64" s="4" t="n">
        <v>20.55</v>
      </c>
      <c r="O64" s="2" t="n">
        <v>60</v>
      </c>
      <c r="P64" s="4" t="n">
        <v>2.77</v>
      </c>
      <c r="Q64" s="4" t="n">
        <v>12.26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Oro</t>
        </is>
      </c>
      <c r="B65" s="2" t="inlineStr">
        <is>
          <t>Blanco</t>
        </is>
      </c>
      <c r="C65" s="3" t="n">
        <v>46053</v>
      </c>
      <c r="D65" s="2" t="inlineStr">
        <is>
          <t>B05094639</t>
        </is>
      </c>
      <c r="E65" s="2" t="inlineStr">
        <is>
          <t>Certificacio…</t>
        </is>
      </c>
      <c r="F65" s="2" t="n">
        <v>4069445</v>
      </c>
      <c r="G65" s="4" t="n">
        <v>868.0599999999999</v>
      </c>
      <c r="H65" s="3" t="n">
        <v>46030</v>
      </c>
      <c r="I65" s="3" t="n">
        <v>46114</v>
      </c>
      <c r="J65" s="2" t="n">
        <v>63</v>
      </c>
      <c r="K65" s="2" t="n">
        <v>41</v>
      </c>
      <c r="L65" s="2" t="n">
        <v>0.96</v>
      </c>
      <c r="M65" s="4" t="n">
        <v>8.33</v>
      </c>
      <c r="N65" s="4" t="n">
        <v>62.28</v>
      </c>
      <c r="O65" s="2" t="n">
        <v>50</v>
      </c>
      <c r="P65" s="4" t="n">
        <v>4.24</v>
      </c>
      <c r="Q65" s="4" t="n">
        <v>31.07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Oro</t>
        </is>
      </c>
      <c r="B66" s="2" t="inlineStr">
        <is>
          <t>Blanco</t>
        </is>
      </c>
      <c r="C66" s="3" t="n">
        <v>46053</v>
      </c>
      <c r="D66" s="2" t="inlineStr">
        <is>
          <t>B50149591</t>
        </is>
      </c>
      <c r="E66" s="2" t="inlineStr">
        <is>
          <t>Pizarras Do…</t>
        </is>
      </c>
      <c r="F66" s="2" t="n">
        <v>4912524</v>
      </c>
      <c r="G66" s="4" t="n">
        <v>142.9</v>
      </c>
      <c r="H66" s="3" t="n">
        <v>46037</v>
      </c>
      <c r="I66" s="3" t="n">
        <v>46077</v>
      </c>
      <c r="J66" s="2" t="n">
        <v>88</v>
      </c>
      <c r="K66" s="2" t="n">
        <v>40.29</v>
      </c>
      <c r="L66" s="2" t="n">
        <v>0.67</v>
      </c>
      <c r="M66" s="4" t="n">
        <v>0.96</v>
      </c>
      <c r="N66" s="4" t="n">
        <v>14.07</v>
      </c>
      <c r="O66" s="2" t="n">
        <v>20</v>
      </c>
      <c r="P66" s="4" t="n">
        <v>-0.07000000000000001</v>
      </c>
      <c r="Q66" s="4" t="n">
        <v>2.74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Oro</t>
        </is>
      </c>
      <c r="B67" s="2" t="inlineStr">
        <is>
          <t>Blanco</t>
        </is>
      </c>
      <c r="C67" s="3" t="n">
        <v>46053</v>
      </c>
      <c r="D67" s="2" t="inlineStr">
        <is>
          <t>B73409919</t>
        </is>
      </c>
      <c r="E67" s="2" t="inlineStr">
        <is>
          <t>Celulosas…</t>
        </is>
      </c>
      <c r="F67" s="2" t="n">
        <v>4894014</v>
      </c>
      <c r="G67" s="4" t="n">
        <v>604.3200000000001</v>
      </c>
      <c r="H67" s="3" t="n">
        <v>46024</v>
      </c>
      <c r="I67" s="3" t="n">
        <v>46081</v>
      </c>
      <c r="J67" s="2" t="n">
        <v>90</v>
      </c>
      <c r="K67" s="2" t="n">
        <v>29.66</v>
      </c>
      <c r="L67" s="2" t="n">
        <v>2.76</v>
      </c>
      <c r="M67" s="4" t="n">
        <v>16.68</v>
      </c>
      <c r="N67" s="4" t="n">
        <v>44.81</v>
      </c>
      <c r="O67" s="2" t="n">
        <v>50</v>
      </c>
      <c r="P67" s="4" t="n">
        <v>8.25</v>
      </c>
      <c r="Q67" s="4" t="n">
        <v>22.3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Oro</t>
        </is>
      </c>
      <c r="B68" s="2" t="inlineStr">
        <is>
          <t>Blanco</t>
        </is>
      </c>
      <c r="C68" s="3" t="n">
        <v>46053</v>
      </c>
      <c r="D68" s="2" t="inlineStr">
        <is>
          <t>B71207632</t>
        </is>
      </c>
      <c r="E68" s="2" t="inlineStr">
        <is>
          <t>Geles Livia…</t>
        </is>
      </c>
      <c r="F68" s="2" t="n">
        <v>4177374</v>
      </c>
      <c r="G68" s="4" t="n">
        <v>630.52</v>
      </c>
      <c r="H68" s="3" t="n">
        <v>46043</v>
      </c>
      <c r="I68" s="3" t="n">
        <v>46119</v>
      </c>
      <c r="J68" s="2" t="n">
        <v>51</v>
      </c>
      <c r="K68" s="2" t="n">
        <v>11.72</v>
      </c>
      <c r="L68" s="2" t="n">
        <v>1.84</v>
      </c>
      <c r="M68" s="4" t="n">
        <v>11.6</v>
      </c>
      <c r="N68" s="4" t="n">
        <v>10.47</v>
      </c>
      <c r="O68" s="2" t="n">
        <v>60</v>
      </c>
      <c r="P68" s="4" t="n">
        <v>6.9</v>
      </c>
      <c r="Q68" s="4" t="n">
        <v>6.58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Oro</t>
        </is>
      </c>
      <c r="B69" s="2" t="inlineStr">
        <is>
          <t>Blanco</t>
        </is>
      </c>
      <c r="C69" s="3" t="n">
        <v>46053</v>
      </c>
      <c r="D69" s="2" t="inlineStr">
        <is>
          <t>B53134368</t>
        </is>
      </c>
      <c r="E69" s="2" t="inlineStr">
        <is>
          <t>Cárnicos S…</t>
        </is>
      </c>
      <c r="F69" s="2" t="n">
        <v>4194214</v>
      </c>
      <c r="G69" s="4" t="n">
        <v>4794.96</v>
      </c>
      <c r="H69" s="3" t="n">
        <v>46029</v>
      </c>
      <c r="I69" s="3" t="n">
        <v>46087</v>
      </c>
      <c r="J69" s="2" t="n">
        <v>43</v>
      </c>
      <c r="K69" s="2" t="n">
        <v>41.36</v>
      </c>
      <c r="L69" s="2" t="n">
        <v>2.59</v>
      </c>
      <c r="M69" s="4" t="n">
        <v>124.19</v>
      </c>
      <c r="N69" s="4" t="n">
        <v>236.88</v>
      </c>
      <c r="O69" s="2" t="n">
        <v>20</v>
      </c>
      <c r="P69" s="4" t="n">
        <v>25.05</v>
      </c>
      <c r="Q69" s="4" t="n">
        <v>47.24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Oro</t>
        </is>
      </c>
      <c r="B70" s="2" t="inlineStr">
        <is>
          <t>Blanco</t>
        </is>
      </c>
      <c r="C70" s="3" t="n">
        <v>46053</v>
      </c>
      <c r="D70" s="2" t="inlineStr">
        <is>
          <t>A87658642</t>
        </is>
      </c>
      <c r="E70" s="2" t="inlineStr">
        <is>
          <t>Fusibles C…</t>
        </is>
      </c>
      <c r="F70" s="2" t="n">
        <v>2167594</v>
      </c>
      <c r="G70" s="4" t="n">
        <v>4999.3</v>
      </c>
      <c r="H70" s="3" t="n">
        <v>46047</v>
      </c>
      <c r="I70" s="3" t="n">
        <v>46155</v>
      </c>
      <c r="J70" s="2" t="n">
        <v>17</v>
      </c>
      <c r="K70" s="2" t="n">
        <v>12.01</v>
      </c>
      <c r="L70" s="2" t="n">
        <v>1.18</v>
      </c>
      <c r="M70" s="4" t="n">
        <v>58.99</v>
      </c>
      <c r="N70" s="4" t="n">
        <v>28.35</v>
      </c>
      <c r="O70" s="2" t="n">
        <v>70</v>
      </c>
      <c r="P70" s="4" t="n">
        <v>41.35</v>
      </c>
      <c r="Q70" s="4" t="n">
        <v>19.57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Oro</t>
        </is>
      </c>
      <c r="B71" s="2" t="inlineStr">
        <is>
          <t>Blanco</t>
        </is>
      </c>
      <c r="C71" s="3" t="n">
        <v>46053</v>
      </c>
      <c r="D71" s="2" t="inlineStr">
        <is>
          <t>A42680146</t>
        </is>
      </c>
      <c r="E71" s="2" t="inlineStr">
        <is>
          <t>Algodones…</t>
        </is>
      </c>
      <c r="F71" s="2" t="n">
        <v>4147153</v>
      </c>
      <c r="G71" s="4" t="n">
        <v>332.27</v>
      </c>
      <c r="H71" s="3" t="n">
        <v>46048</v>
      </c>
      <c r="I71" s="3" t="n">
        <v>46072</v>
      </c>
      <c r="J71" s="2" t="n">
        <v>41</v>
      </c>
      <c r="K71" s="2" t="n">
        <v>40.84</v>
      </c>
      <c r="L71" s="2" t="n">
        <v>2.61</v>
      </c>
      <c r="M71" s="4" t="n">
        <v>8.67</v>
      </c>
      <c r="N71" s="4" t="n">
        <v>15.45</v>
      </c>
      <c r="O71" s="2" t="n">
        <v>30</v>
      </c>
      <c r="P71" s="4" t="n">
        <v>2.75</v>
      </c>
      <c r="Q71" s="4" t="n">
        <v>4.47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Oro</t>
        </is>
      </c>
      <c r="B72" s="2" t="inlineStr">
        <is>
          <t>Blanco</t>
        </is>
      </c>
      <c r="C72" s="3" t="n">
        <v>46053</v>
      </c>
      <c r="D72" s="2" t="inlineStr">
        <is>
          <t>A66652986</t>
        </is>
      </c>
      <c r="E72" s="2" t="inlineStr">
        <is>
          <t>Pizarras Na…</t>
        </is>
      </c>
      <c r="F72" s="2" t="n">
        <v>1413998</v>
      </c>
      <c r="G72" s="4" t="n">
        <v>217.83</v>
      </c>
      <c r="H72" s="3" t="n">
        <v>46025</v>
      </c>
      <c r="I72" s="3" t="n">
        <v>46069</v>
      </c>
      <c r="J72" s="2" t="n">
        <v>79</v>
      </c>
      <c r="K72" s="2" t="n">
        <v>23.96</v>
      </c>
      <c r="L72" s="2" t="n">
        <v>2.6</v>
      </c>
      <c r="M72" s="4" t="n">
        <v>5.66</v>
      </c>
      <c r="N72" s="4" t="n">
        <v>11.45</v>
      </c>
      <c r="O72" s="2" t="n">
        <v>40</v>
      </c>
      <c r="P72" s="4" t="n">
        <v>2.56</v>
      </c>
      <c r="Q72" s="4" t="n">
        <v>4.35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Oro</t>
        </is>
      </c>
      <c r="B73" s="2" t="inlineStr">
        <is>
          <t>Blanco</t>
        </is>
      </c>
      <c r="C73" s="3" t="n">
        <v>46053</v>
      </c>
      <c r="D73" s="2" t="inlineStr">
        <is>
          <t>B67859772</t>
        </is>
      </c>
      <c r="E73" s="2" t="inlineStr">
        <is>
          <t>Tarimas Pi…</t>
        </is>
      </c>
      <c r="F73" s="2" t="n">
        <v>2031651</v>
      </c>
      <c r="G73" s="4" t="n">
        <v>1981.78</v>
      </c>
      <c r="H73" s="3" t="n">
        <v>46024</v>
      </c>
      <c r="I73" s="3" t="n">
        <v>46162</v>
      </c>
      <c r="J73" s="2" t="n">
        <v>84</v>
      </c>
      <c r="K73" s="2" t="n">
        <v>35.93</v>
      </c>
      <c r="L73" s="2" t="n">
        <v>2.54</v>
      </c>
      <c r="M73" s="4" t="n">
        <v>50.34</v>
      </c>
      <c r="N73" s="4" t="n">
        <v>166.15</v>
      </c>
      <c r="O73" s="2" t="n">
        <v>30</v>
      </c>
      <c r="P73" s="4" t="n">
        <v>14.87</v>
      </c>
      <c r="Q73" s="4" t="n">
        <v>50.13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Oro</t>
        </is>
      </c>
      <c r="B74" s="2" t="inlineStr">
        <is>
          <t>Blanco</t>
        </is>
      </c>
      <c r="C74" s="3" t="n">
        <v>46053</v>
      </c>
      <c r="D74" s="2" t="inlineStr">
        <is>
          <t>B58303778</t>
        </is>
      </c>
      <c r="E74" s="2" t="inlineStr">
        <is>
          <t>Tornillos R…</t>
        </is>
      </c>
      <c r="F74" s="2" t="n">
        <v>2108297</v>
      </c>
      <c r="G74" s="4" t="n">
        <v>899.2</v>
      </c>
      <c r="H74" s="3" t="n">
        <v>46032</v>
      </c>
      <c r="I74" s="3" t="n">
        <v>46064</v>
      </c>
      <c r="J74" s="2" t="n">
        <v>28</v>
      </c>
      <c r="K74" s="2" t="n">
        <v>28.89</v>
      </c>
      <c r="L74" s="2" t="n">
        <v>1.02</v>
      </c>
      <c r="M74" s="4" t="n">
        <v>9.17</v>
      </c>
      <c r="N74" s="4" t="n">
        <v>20.21</v>
      </c>
      <c r="O74" s="2" t="n">
        <v>70</v>
      </c>
      <c r="P74" s="4" t="n">
        <v>6.17</v>
      </c>
      <c r="Q74" s="4" t="n">
        <v>13.88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Oro</t>
        </is>
      </c>
      <c r="B75" s="2" t="inlineStr">
        <is>
          <t>Blanco</t>
        </is>
      </c>
      <c r="C75" s="3" t="n">
        <v>46053</v>
      </c>
      <c r="D75" s="2" t="inlineStr">
        <is>
          <t>A07310343</t>
        </is>
      </c>
      <c r="E75" s="2" t="inlineStr">
        <is>
          <t>Listones C…</t>
        </is>
      </c>
      <c r="F75" s="2" t="n">
        <v>3961676</v>
      </c>
      <c r="G75" s="4" t="n">
        <v>234.26</v>
      </c>
      <c r="H75" s="3" t="n">
        <v>46023</v>
      </c>
      <c r="I75" s="3" t="n">
        <v>46132</v>
      </c>
      <c r="J75" s="2" t="n">
        <v>64</v>
      </c>
      <c r="K75" s="2" t="n">
        <v>37.37</v>
      </c>
      <c r="L75" s="2" t="n">
        <v>2.99</v>
      </c>
      <c r="M75" s="4" t="n">
        <v>7</v>
      </c>
      <c r="N75" s="4" t="n">
        <v>15.56</v>
      </c>
      <c r="O75" s="2" t="n">
        <v>50</v>
      </c>
      <c r="P75" s="4" t="n">
        <v>3.4</v>
      </c>
      <c r="Q75" s="4" t="n">
        <v>7.91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Oro</t>
        </is>
      </c>
      <c r="B76" s="2" t="inlineStr">
        <is>
          <t>Blanco</t>
        </is>
      </c>
      <c r="C76" s="3" t="n">
        <v>46053</v>
      </c>
      <c r="D76" s="2" t="inlineStr">
        <is>
          <t>A83977236</t>
        </is>
      </c>
      <c r="E76" s="2" t="inlineStr">
        <is>
          <t>Contrachap…</t>
        </is>
      </c>
      <c r="F76" s="2" t="n">
        <v>1163047</v>
      </c>
      <c r="G76" s="4" t="n">
        <v>440.09</v>
      </c>
      <c r="H76" s="3" t="n">
        <v>46031</v>
      </c>
      <c r="I76" s="3" t="n">
        <v>46135</v>
      </c>
      <c r="J76" s="2" t="n">
        <v>65</v>
      </c>
      <c r="K76" s="2" t="n">
        <v>14.52</v>
      </c>
      <c r="L76" s="2" t="n">
        <v>2.15</v>
      </c>
      <c r="M76" s="4" t="n">
        <v>9.460000000000001</v>
      </c>
      <c r="N76" s="4" t="n">
        <v>11.54</v>
      </c>
      <c r="O76" s="2" t="n">
        <v>40</v>
      </c>
      <c r="P76" s="4" t="n">
        <v>3.57</v>
      </c>
      <c r="Q76" s="4" t="n">
        <v>4.55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Oro</t>
        </is>
      </c>
      <c r="B77" s="2" t="inlineStr">
        <is>
          <t>Blanco</t>
        </is>
      </c>
      <c r="C77" s="3" t="n">
        <v>46053</v>
      </c>
      <c r="D77" s="2" t="inlineStr">
        <is>
          <t>A61795318</t>
        </is>
      </c>
      <c r="E77" s="2" t="inlineStr">
        <is>
          <t>Pizarras M…</t>
        </is>
      </c>
      <c r="F77" s="2" t="n">
        <v>2909928</v>
      </c>
      <c r="G77" s="4" t="n">
        <v>6285.88</v>
      </c>
      <c r="H77" s="3" t="n">
        <v>46050</v>
      </c>
      <c r="I77" s="3" t="n">
        <v>46231</v>
      </c>
      <c r="J77" s="2" t="n">
        <v>77</v>
      </c>
      <c r="K77" s="2" t="n">
        <v>28.18</v>
      </c>
      <c r="L77" s="2" t="n">
        <v>1.89</v>
      </c>
      <c r="M77" s="4" t="n">
        <v>118.8</v>
      </c>
      <c r="N77" s="4" t="n">
        <v>378.87</v>
      </c>
      <c r="O77" s="2" t="n">
        <v>70</v>
      </c>
      <c r="P77" s="4" t="n">
        <v>83.29000000000001</v>
      </c>
      <c r="Q77" s="4" t="n">
        <v>264.92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Oro</t>
        </is>
      </c>
      <c r="B78" s="2" t="inlineStr">
        <is>
          <t>Blanco</t>
        </is>
      </c>
      <c r="C78" s="3" t="n">
        <v>46053</v>
      </c>
      <c r="D78" s="2" t="inlineStr">
        <is>
          <t>A26824603</t>
        </is>
      </c>
      <c r="E78" s="2" t="inlineStr">
        <is>
          <t>Rodamient…</t>
        </is>
      </c>
      <c r="F78" s="2" t="n">
        <v>3737713</v>
      </c>
      <c r="G78" s="4" t="n">
        <v>843.62</v>
      </c>
      <c r="H78" s="3" t="n">
        <v>46047</v>
      </c>
      <c r="I78" s="3" t="n">
        <v>46071</v>
      </c>
      <c r="J78" s="2" t="n">
        <v>83</v>
      </c>
      <c r="K78" s="2" t="n">
        <v>10.96</v>
      </c>
      <c r="L78" s="2" t="n">
        <v>2.95</v>
      </c>
      <c r="M78" s="4" t="n">
        <v>24.89</v>
      </c>
      <c r="N78" s="4" t="n">
        <v>21.32</v>
      </c>
      <c r="O78" s="2" t="n">
        <v>50</v>
      </c>
      <c r="P78" s="4" t="n">
        <v>12.35</v>
      </c>
      <c r="Q78" s="4" t="n">
        <v>10.36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Oro</t>
        </is>
      </c>
      <c r="B79" s="2" t="inlineStr">
        <is>
          <t>Blanco</t>
        </is>
      </c>
      <c r="C79" s="3" t="n">
        <v>46053</v>
      </c>
      <c r="D79" s="2" t="inlineStr">
        <is>
          <t>B70553437</t>
        </is>
      </c>
      <c r="E79" s="2" t="inlineStr">
        <is>
          <t>Tejidos Ind…</t>
        </is>
      </c>
      <c r="F79" s="2" t="n">
        <v>2601482</v>
      </c>
      <c r="G79" s="4" t="n">
        <v>424.42</v>
      </c>
      <c r="H79" s="3" t="n">
        <v>46036</v>
      </c>
      <c r="I79" s="3" t="n">
        <v>46117</v>
      </c>
      <c r="J79" s="2" t="n">
        <v>26</v>
      </c>
      <c r="K79" s="2" t="n">
        <v>18.53</v>
      </c>
      <c r="L79" s="2" t="n">
        <v>2.85</v>
      </c>
      <c r="M79" s="4" t="n">
        <v>12.1</v>
      </c>
      <c r="N79" s="4" t="n">
        <v>5.68</v>
      </c>
      <c r="O79" s="2" t="n">
        <v>20</v>
      </c>
      <c r="P79" s="4" t="n">
        <v>2.61</v>
      </c>
      <c r="Q79" s="4" t="n">
        <v>0.93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Oro</t>
        </is>
      </c>
      <c r="B80" s="2" t="inlineStr">
        <is>
          <t>Blanco</t>
        </is>
      </c>
      <c r="C80" s="3" t="n">
        <v>46053</v>
      </c>
      <c r="D80" s="2" t="inlineStr">
        <is>
          <t>B05094639</t>
        </is>
      </c>
      <c r="E80" s="2" t="inlineStr">
        <is>
          <t>Certificacio…</t>
        </is>
      </c>
      <c r="F80" s="2" t="n">
        <v>2005950</v>
      </c>
      <c r="G80" s="4" t="n">
        <v>799.33</v>
      </c>
      <c r="H80" s="3" t="n">
        <v>46039</v>
      </c>
      <c r="I80" s="3" t="n">
        <v>46092</v>
      </c>
      <c r="J80" s="2" t="n">
        <v>15</v>
      </c>
      <c r="K80" s="2" t="n">
        <v>18.65</v>
      </c>
      <c r="L80" s="2" t="n">
        <v>2.29</v>
      </c>
      <c r="M80" s="4" t="n">
        <v>18.3</v>
      </c>
      <c r="N80" s="4" t="n">
        <v>6.21</v>
      </c>
      <c r="O80" s="2" t="n">
        <v>40</v>
      </c>
      <c r="P80" s="4" t="n">
        <v>7.15</v>
      </c>
      <c r="Q80" s="4" t="n">
        <v>2.2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Oro</t>
        </is>
      </c>
      <c r="B81" s="2" t="inlineStr">
        <is>
          <t>Blanco</t>
        </is>
      </c>
      <c r="C81" s="3" t="n">
        <v>46053</v>
      </c>
      <c r="D81" s="2" t="inlineStr">
        <is>
          <t>B50149591</t>
        </is>
      </c>
      <c r="E81" s="2" t="inlineStr">
        <is>
          <t>Pizarras Do…</t>
        </is>
      </c>
      <c r="F81" s="2" t="n">
        <v>4413120</v>
      </c>
      <c r="G81" s="4" t="n">
        <v>241.7</v>
      </c>
      <c r="H81" s="3" t="n">
        <v>46035</v>
      </c>
      <c r="I81" s="3" t="n">
        <v>46081</v>
      </c>
      <c r="J81" s="2" t="n">
        <v>15</v>
      </c>
      <c r="K81" s="2" t="n">
        <v>38.78</v>
      </c>
      <c r="L81" s="2" t="n">
        <v>2.16</v>
      </c>
      <c r="M81" s="4" t="n">
        <v>5.22</v>
      </c>
      <c r="N81" s="4" t="n">
        <v>3.91</v>
      </c>
      <c r="O81" s="2" t="n">
        <v>50</v>
      </c>
      <c r="P81" s="4" t="n">
        <v>2.9</v>
      </c>
      <c r="Q81" s="4" t="n">
        <v>2.17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Oro</t>
        </is>
      </c>
      <c r="B82" s="2" t="inlineStr">
        <is>
          <t>Blanco</t>
        </is>
      </c>
      <c r="C82" s="3" t="n">
        <v>46053</v>
      </c>
      <c r="D82" s="2" t="inlineStr">
        <is>
          <t>A00748575</t>
        </is>
      </c>
      <c r="E82" s="2" t="inlineStr">
        <is>
          <t>Resinas Te…</t>
        </is>
      </c>
      <c r="F82" s="2" t="n">
        <v>3209867</v>
      </c>
      <c r="G82" s="4" t="n">
        <v>310.13</v>
      </c>
      <c r="H82" s="3" t="n">
        <v>46037</v>
      </c>
      <c r="I82" s="3" t="n">
        <v>46059</v>
      </c>
      <c r="J82" s="2" t="n">
        <v>78</v>
      </c>
      <c r="K82" s="2" t="n">
        <v>24.14</v>
      </c>
      <c r="L82" s="2" t="n">
        <v>2.84</v>
      </c>
      <c r="M82" s="4" t="n">
        <v>8.81</v>
      </c>
      <c r="N82" s="4" t="n">
        <v>16.22</v>
      </c>
      <c r="O82" s="2" t="n">
        <v>30</v>
      </c>
      <c r="P82" s="4" t="n">
        <v>2.79</v>
      </c>
      <c r="Q82" s="4" t="n">
        <v>4.78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Oro</t>
        </is>
      </c>
      <c r="B83" s="2" t="inlineStr">
        <is>
          <t>Blanco</t>
        </is>
      </c>
      <c r="C83" s="3" t="n">
        <v>46053</v>
      </c>
      <c r="D83" s="2" t="inlineStr">
        <is>
          <t>B33010261</t>
        </is>
      </c>
      <c r="E83" s="2" t="inlineStr">
        <is>
          <t>Especias M…</t>
        </is>
      </c>
      <c r="F83" s="2" t="n">
        <v>2209998</v>
      </c>
      <c r="G83" s="4" t="n">
        <v>208.05</v>
      </c>
      <c r="H83" s="3" t="n">
        <v>46032</v>
      </c>
      <c r="I83" s="3" t="n">
        <v>46185</v>
      </c>
      <c r="J83" s="2" t="n">
        <v>41</v>
      </c>
      <c r="K83" s="2" t="n">
        <v>27.28</v>
      </c>
      <c r="L83" s="2" t="n">
        <v>2.22</v>
      </c>
      <c r="M83" s="4" t="n">
        <v>4.62</v>
      </c>
      <c r="N83" s="4" t="n">
        <v>6.46</v>
      </c>
      <c r="O83" s="2" t="n">
        <v>60</v>
      </c>
      <c r="P83" s="4" t="n">
        <v>2.92</v>
      </c>
      <c r="Q83" s="4" t="n">
        <v>4.07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Oro</t>
        </is>
      </c>
      <c r="B84" s="2" t="inlineStr">
        <is>
          <t>Blanco</t>
        </is>
      </c>
      <c r="C84" s="3" t="n">
        <v>46053</v>
      </c>
      <c r="D84" s="2" t="inlineStr">
        <is>
          <t>A00142489</t>
        </is>
      </c>
      <c r="E84" s="2" t="inlineStr">
        <is>
          <t>Colas Mon…</t>
        </is>
      </c>
      <c r="F84" s="2" t="n">
        <v>4211321</v>
      </c>
      <c r="G84" s="4" t="n">
        <v>911.66</v>
      </c>
      <c r="H84" s="3" t="n">
        <v>46050</v>
      </c>
      <c r="I84" s="3" t="n">
        <v>46157</v>
      </c>
      <c r="J84" s="2" t="n">
        <v>65</v>
      </c>
      <c r="K84" s="2" t="n">
        <v>12.06</v>
      </c>
      <c r="L84" s="2" t="n">
        <v>0.58</v>
      </c>
      <c r="M84" s="4" t="n">
        <v>5.29</v>
      </c>
      <c r="N84" s="4" t="n">
        <v>19.85</v>
      </c>
      <c r="O84" s="2" t="n">
        <v>20</v>
      </c>
      <c r="P84" s="4" t="n">
        <v>0.97</v>
      </c>
      <c r="Q84" s="4" t="n">
        <v>4.15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Oro</t>
        </is>
      </c>
      <c r="B85" s="2" t="inlineStr">
        <is>
          <t>Blanco</t>
        </is>
      </c>
      <c r="C85" s="3" t="n">
        <v>46053</v>
      </c>
      <c r="D85" s="2" t="inlineStr">
        <is>
          <t>B07110495</t>
        </is>
      </c>
      <c r="E85" s="2" t="inlineStr">
        <is>
          <t>Mástiles Se…</t>
        </is>
      </c>
      <c r="F85" s="2" t="n">
        <v>1990175</v>
      </c>
      <c r="G85" s="4" t="n">
        <v>335.93</v>
      </c>
      <c r="H85" s="3" t="n">
        <v>46029</v>
      </c>
      <c r="I85" s="3" t="n">
        <v>46126</v>
      </c>
      <c r="J85" s="2" t="n">
        <v>78</v>
      </c>
      <c r="K85" s="2" t="n">
        <v>49.28</v>
      </c>
      <c r="L85" s="2" t="n">
        <v>1.89</v>
      </c>
      <c r="M85" s="4" t="n">
        <v>6.35</v>
      </c>
      <c r="N85" s="4" t="n">
        <v>35.87</v>
      </c>
      <c r="O85" s="2" t="n">
        <v>50</v>
      </c>
      <c r="P85" s="4" t="n">
        <v>3.35</v>
      </c>
      <c r="Q85" s="4" t="n">
        <v>17.8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Oro</t>
        </is>
      </c>
      <c r="B86" s="2" t="inlineStr">
        <is>
          <t>Blanco</t>
        </is>
      </c>
      <c r="C86" s="3" t="n">
        <v>46053</v>
      </c>
      <c r="D86" s="2" t="inlineStr">
        <is>
          <t>A68208702</t>
        </is>
      </c>
      <c r="E86" s="2" t="inlineStr">
        <is>
          <t>Zumos Red…</t>
        </is>
      </c>
      <c r="F86" s="2" t="n">
        <v>1464754</v>
      </c>
      <c r="G86" s="4" t="n">
        <v>455.27</v>
      </c>
      <c r="H86" s="3" t="n">
        <v>46026</v>
      </c>
      <c r="I86" s="3" t="n">
        <v>46146</v>
      </c>
      <c r="J86" s="2" t="n">
        <v>38</v>
      </c>
      <c r="K86" s="2" t="n">
        <v>15.71</v>
      </c>
      <c r="L86" s="2" t="n">
        <v>2.04</v>
      </c>
      <c r="M86" s="4" t="n">
        <v>9.289999999999999</v>
      </c>
      <c r="N86" s="4" t="n">
        <v>7.55</v>
      </c>
      <c r="O86" s="2" t="n">
        <v>50</v>
      </c>
      <c r="P86" s="4" t="n">
        <v>4.6</v>
      </c>
      <c r="Q86" s="4" t="n">
        <v>3.79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Oro</t>
        </is>
      </c>
      <c r="B87" s="2" t="inlineStr">
        <is>
          <t>Blanco</t>
        </is>
      </c>
      <c r="C87" s="3" t="n">
        <v>46053</v>
      </c>
      <c r="D87" s="2" t="inlineStr">
        <is>
          <t>A78701777</t>
        </is>
      </c>
      <c r="E87" s="2" t="inlineStr">
        <is>
          <t>Perfiles Tra…</t>
        </is>
      </c>
      <c r="F87" s="2" t="n">
        <v>2483583</v>
      </c>
      <c r="G87" s="4" t="n">
        <v>7226.99</v>
      </c>
      <c r="H87" s="3" t="n">
        <v>46040</v>
      </c>
      <c r="I87" s="3" t="n">
        <v>46162</v>
      </c>
      <c r="J87" s="2" t="n">
        <v>63</v>
      </c>
      <c r="K87" s="2" t="n">
        <v>47.86</v>
      </c>
      <c r="L87" s="2" t="n">
        <v>1</v>
      </c>
      <c r="M87" s="4" t="n">
        <v>72.27</v>
      </c>
      <c r="N87" s="4" t="n">
        <v>605.3</v>
      </c>
      <c r="O87" s="2" t="n">
        <v>70</v>
      </c>
      <c r="P87" s="4" t="n">
        <v>50.64</v>
      </c>
      <c r="Q87" s="4" t="n">
        <v>423.99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Oro</t>
        </is>
      </c>
      <c r="B88" s="2" t="inlineStr">
        <is>
          <t>Blanco</t>
        </is>
      </c>
      <c r="C88" s="3" t="n">
        <v>46053</v>
      </c>
      <c r="D88" s="2" t="inlineStr">
        <is>
          <t>B73902506</t>
        </is>
      </c>
      <c r="E88" s="2" t="inlineStr">
        <is>
          <t>Licores Sist…</t>
        </is>
      </c>
      <c r="F88" s="2" t="n">
        <v>1176529</v>
      </c>
      <c r="G88" s="4" t="n">
        <v>5371.28</v>
      </c>
      <c r="H88" s="3" t="n">
        <v>46041</v>
      </c>
      <c r="I88" s="3" t="n">
        <v>46156</v>
      </c>
      <c r="J88" s="2" t="n">
        <v>74</v>
      </c>
      <c r="K88" s="2" t="n">
        <v>35.51</v>
      </c>
      <c r="L88" s="2" t="n">
        <v>1.58</v>
      </c>
      <c r="M88" s="4" t="n">
        <v>84.87</v>
      </c>
      <c r="N88" s="4" t="n">
        <v>392.06</v>
      </c>
      <c r="O88" s="2" t="n">
        <v>60</v>
      </c>
      <c r="P88" s="4" t="n">
        <v>51.19</v>
      </c>
      <c r="Q88" s="4" t="n">
        <v>235.12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Oro</t>
        </is>
      </c>
      <c r="B89" s="2" t="inlineStr">
        <is>
          <t>Blanco</t>
        </is>
      </c>
      <c r="C89" s="3" t="n">
        <v>46053</v>
      </c>
      <c r="D89" s="2" t="inlineStr">
        <is>
          <t>A61568053</t>
        </is>
      </c>
      <c r="E89" s="2" t="inlineStr">
        <is>
          <t>Motores Do…</t>
        </is>
      </c>
      <c r="F89" s="2" t="n">
        <v>4353572</v>
      </c>
      <c r="G89" s="4" t="n">
        <v>5849.71</v>
      </c>
      <c r="H89" s="3" t="n">
        <v>46046</v>
      </c>
      <c r="I89" s="3" t="n">
        <v>46088</v>
      </c>
      <c r="J89" s="2" t="n">
        <v>44</v>
      </c>
      <c r="K89" s="2" t="n">
        <v>37.45</v>
      </c>
      <c r="L89" s="2" t="n">
        <v>2.42</v>
      </c>
      <c r="M89" s="4" t="n">
        <v>141.56</v>
      </c>
      <c r="N89" s="4" t="n">
        <v>267.75</v>
      </c>
      <c r="O89" s="2" t="n">
        <v>40</v>
      </c>
      <c r="P89" s="4" t="n">
        <v>56.92</v>
      </c>
      <c r="Q89" s="4" t="n">
        <v>107.01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Oro</t>
        </is>
      </c>
      <c r="B90" s="2" t="inlineStr">
        <is>
          <t>Blanco</t>
        </is>
      </c>
      <c r="C90" s="3" t="n">
        <v>46053</v>
      </c>
      <c r="D90" s="2" t="inlineStr">
        <is>
          <t>A75308037</t>
        </is>
      </c>
      <c r="E90" s="2" t="inlineStr">
        <is>
          <t>Anclas Can…</t>
        </is>
      </c>
      <c r="F90" s="2" t="n">
        <v>4424310</v>
      </c>
      <c r="G90" s="4" t="n">
        <v>942.16</v>
      </c>
      <c r="H90" s="3" t="n">
        <v>46027</v>
      </c>
      <c r="I90" s="3" t="n">
        <v>46105</v>
      </c>
      <c r="J90" s="2" t="n">
        <v>21</v>
      </c>
      <c r="K90" s="2" t="n">
        <v>35.59</v>
      </c>
      <c r="L90" s="2" t="n">
        <v>1.89</v>
      </c>
      <c r="M90" s="4" t="n">
        <v>17.81</v>
      </c>
      <c r="N90" s="4" t="n">
        <v>19.56</v>
      </c>
      <c r="O90" s="2" t="n">
        <v>50</v>
      </c>
      <c r="P90" s="4" t="n">
        <v>8.81</v>
      </c>
      <c r="Q90" s="4" t="n">
        <v>9.77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Oro</t>
        </is>
      </c>
      <c r="B91" s="2" t="inlineStr">
        <is>
          <t>Blanco</t>
        </is>
      </c>
      <c r="C91" s="3" t="n">
        <v>46053</v>
      </c>
      <c r="D91" s="2" t="inlineStr">
        <is>
          <t>A79321555</t>
        </is>
      </c>
      <c r="E91" s="2" t="inlineStr">
        <is>
          <t>Pigmentos…</t>
        </is>
      </c>
      <c r="F91" s="2" t="n">
        <v>1066454</v>
      </c>
      <c r="G91" s="4" t="n">
        <v>5822.91</v>
      </c>
      <c r="H91" s="3" t="n">
        <v>46044</v>
      </c>
      <c r="I91" s="3" t="n">
        <v>46200</v>
      </c>
      <c r="J91" s="2" t="n">
        <v>13</v>
      </c>
      <c r="K91" s="2" t="n">
        <v>35.41</v>
      </c>
      <c r="L91" s="2" t="n">
        <v>2.23</v>
      </c>
      <c r="M91" s="4" t="n">
        <v>129.85</v>
      </c>
      <c r="N91" s="4" t="n">
        <v>74.45999999999999</v>
      </c>
      <c r="O91" s="2" t="n">
        <v>20</v>
      </c>
      <c r="P91" s="4" t="n">
        <v>25.82</v>
      </c>
      <c r="Q91" s="4" t="n">
        <v>14.65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Oro</t>
        </is>
      </c>
      <c r="B92" s="2" t="inlineStr">
        <is>
          <t>Blanco</t>
        </is>
      </c>
      <c r="C92" s="3" t="n">
        <v>46053</v>
      </c>
      <c r="D92" s="2" t="inlineStr">
        <is>
          <t>B78819727</t>
        </is>
      </c>
      <c r="E92" s="2" t="inlineStr">
        <is>
          <t>Solventes…</t>
        </is>
      </c>
      <c r="F92" s="2" t="n">
        <v>4103913</v>
      </c>
      <c r="G92" s="4" t="n">
        <v>123.54</v>
      </c>
      <c r="H92" s="3" t="n">
        <v>46024</v>
      </c>
      <c r="I92" s="3" t="n">
        <v>46109</v>
      </c>
      <c r="J92" s="2" t="n">
        <v>41</v>
      </c>
      <c r="K92" s="2" t="n">
        <v>23.36</v>
      </c>
      <c r="L92" s="2" t="n">
        <v>0.85</v>
      </c>
      <c r="M92" s="4" t="n">
        <v>1.05</v>
      </c>
      <c r="N92" s="4" t="n">
        <v>3.29</v>
      </c>
      <c r="O92" s="2" t="n">
        <v>30</v>
      </c>
      <c r="P92" s="4" t="n">
        <v>0.54</v>
      </c>
      <c r="Q92" s="4" t="n">
        <v>0.9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Oro</t>
        </is>
      </c>
      <c r="B93" s="2" t="inlineStr">
        <is>
          <t>Blanco</t>
        </is>
      </c>
      <c r="C93" s="3" t="n">
        <v>46053</v>
      </c>
      <c r="D93" s="2" t="inlineStr">
        <is>
          <t>B44709467</t>
        </is>
      </c>
      <c r="E93" s="2" t="inlineStr">
        <is>
          <t>Poliésteres…</t>
        </is>
      </c>
      <c r="F93" s="2" t="n">
        <v>3948856</v>
      </c>
      <c r="G93" s="4" t="n">
        <v>7703.89</v>
      </c>
      <c r="H93" s="3" t="n">
        <v>46040</v>
      </c>
      <c r="I93" s="3" t="n">
        <v>46094</v>
      </c>
      <c r="J93" s="2" t="n">
        <v>53</v>
      </c>
      <c r="K93" s="2" t="n">
        <v>11.69</v>
      </c>
      <c r="L93" s="2" t="n">
        <v>0.79</v>
      </c>
      <c r="M93" s="4" t="n">
        <v>60.86</v>
      </c>
      <c r="N93" s="4" t="n">
        <v>132.59</v>
      </c>
      <c r="O93" s="2" t="n">
        <v>30</v>
      </c>
      <c r="P93" s="4" t="n">
        <v>18.14</v>
      </c>
      <c r="Q93" s="4" t="n">
        <v>39.52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Oro</t>
        </is>
      </c>
      <c r="B94" s="2" t="inlineStr">
        <is>
          <t>Blanco</t>
        </is>
      </c>
      <c r="C94" s="3" t="n">
        <v>46053</v>
      </c>
      <c r="D94" s="2" t="inlineStr">
        <is>
          <t>B86649621</t>
        </is>
      </c>
      <c r="E94" s="2" t="inlineStr">
        <is>
          <t>Escayolas…</t>
        </is>
      </c>
      <c r="F94" s="2" t="n">
        <v>3934205</v>
      </c>
      <c r="G94" s="4" t="n">
        <v>549.3</v>
      </c>
      <c r="H94" s="3" t="n">
        <v>46034</v>
      </c>
      <c r="I94" s="3" t="n">
        <v>46195</v>
      </c>
      <c r="J94" s="2" t="n">
        <v>67</v>
      </c>
      <c r="K94" s="2" t="n">
        <v>27.12</v>
      </c>
      <c r="L94" s="2" t="n">
        <v>0.65</v>
      </c>
      <c r="M94" s="4" t="n">
        <v>3.57</v>
      </c>
      <c r="N94" s="4" t="n">
        <v>27.73</v>
      </c>
      <c r="O94" s="2" t="n">
        <v>40</v>
      </c>
      <c r="P94" s="4" t="n">
        <v>1.14</v>
      </c>
      <c r="Q94" s="4" t="n">
        <v>11.12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Oro</t>
        </is>
      </c>
      <c r="B95" s="2" t="inlineStr">
        <is>
          <t>Blanco</t>
        </is>
      </c>
      <c r="C95" s="3" t="n">
        <v>46053</v>
      </c>
      <c r="D95" s="2" t="inlineStr">
        <is>
          <t>B86647848</t>
        </is>
      </c>
      <c r="E95" s="2" t="inlineStr">
        <is>
          <t>Precursore…</t>
        </is>
      </c>
      <c r="F95" s="2" t="n">
        <v>3236001</v>
      </c>
      <c r="G95" s="4" t="n">
        <v>316.99</v>
      </c>
      <c r="H95" s="3" t="n">
        <v>46038</v>
      </c>
      <c r="I95" s="3" t="n">
        <v>46180</v>
      </c>
      <c r="J95" s="2" t="n">
        <v>64</v>
      </c>
      <c r="K95" s="2" t="n">
        <v>11.18</v>
      </c>
      <c r="L95" s="2" t="n">
        <v>1.78</v>
      </c>
      <c r="M95" s="4" t="n">
        <v>5.64</v>
      </c>
      <c r="N95" s="4" t="n">
        <v>6.3</v>
      </c>
      <c r="O95" s="2" t="n">
        <v>40</v>
      </c>
      <c r="P95" s="4" t="n">
        <v>1.99</v>
      </c>
      <c r="Q95" s="4" t="n">
        <v>2.63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Oro</t>
        </is>
      </c>
      <c r="B96" s="2" t="inlineStr">
        <is>
          <t>Blanco</t>
        </is>
      </c>
      <c r="C96" s="3" t="n">
        <v>46053</v>
      </c>
      <c r="D96" s="2" t="inlineStr">
        <is>
          <t>B07110495</t>
        </is>
      </c>
      <c r="E96" s="2" t="inlineStr">
        <is>
          <t>Mástiles Se…</t>
        </is>
      </c>
      <c r="F96" s="2" t="n">
        <v>3052169</v>
      </c>
      <c r="G96" s="4" t="n">
        <v>9506.219999999999</v>
      </c>
      <c r="H96" s="3" t="n">
        <v>46043</v>
      </c>
      <c r="I96" s="3" t="n">
        <v>46224</v>
      </c>
      <c r="J96" s="2" t="n">
        <v>80</v>
      </c>
      <c r="K96" s="2" t="n">
        <v>30.71</v>
      </c>
      <c r="L96" s="2" t="n">
        <v>1.09</v>
      </c>
      <c r="M96" s="4" t="n">
        <v>103.62</v>
      </c>
      <c r="N96" s="4" t="n">
        <v>648.75</v>
      </c>
      <c r="O96" s="2" t="n">
        <v>40</v>
      </c>
      <c r="P96" s="4" t="n">
        <v>41.52</v>
      </c>
      <c r="Q96" s="4" t="n">
        <v>259.34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Oro</t>
        </is>
      </c>
      <c r="B97" s="2" t="inlineStr">
        <is>
          <t>Blanco</t>
        </is>
      </c>
      <c r="C97" s="3" t="n">
        <v>46053</v>
      </c>
      <c r="D97" s="2" t="inlineStr">
        <is>
          <t>B08185527</t>
        </is>
      </c>
      <c r="E97" s="2" t="inlineStr">
        <is>
          <t>Perfiles Re…</t>
        </is>
      </c>
      <c r="F97" s="2" t="n">
        <v>3354101</v>
      </c>
      <c r="G97" s="4" t="n">
        <v>848.09</v>
      </c>
      <c r="H97" s="3" t="n">
        <v>46038</v>
      </c>
      <c r="I97" s="3" t="n">
        <v>46149</v>
      </c>
      <c r="J97" s="2" t="n">
        <v>25</v>
      </c>
      <c r="K97" s="2" t="n">
        <v>38.62</v>
      </c>
      <c r="L97" s="2" t="n">
        <v>0.9399999999999999</v>
      </c>
      <c r="M97" s="4" t="n">
        <v>7.97</v>
      </c>
      <c r="N97" s="4" t="n">
        <v>22.75</v>
      </c>
      <c r="O97" s="2" t="n">
        <v>60</v>
      </c>
      <c r="P97" s="4" t="n">
        <v>4.89</v>
      </c>
      <c r="Q97" s="4" t="n">
        <v>13.7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Oro</t>
        </is>
      </c>
      <c r="B98" s="2" t="inlineStr">
        <is>
          <t>Blanco</t>
        </is>
      </c>
      <c r="C98" s="3" t="n">
        <v>46053</v>
      </c>
      <c r="D98" s="2" t="inlineStr">
        <is>
          <t>A31637699</t>
        </is>
      </c>
      <c r="E98" s="2" t="inlineStr">
        <is>
          <t>Cadenas C…</t>
        </is>
      </c>
      <c r="F98" s="2" t="n">
        <v>1795701</v>
      </c>
      <c r="G98" s="4" t="n">
        <v>758.92</v>
      </c>
      <c r="H98" s="3" t="n">
        <v>46032</v>
      </c>
      <c r="I98" s="3" t="n">
        <v>46128</v>
      </c>
      <c r="J98" s="2" t="n">
        <v>68</v>
      </c>
      <c r="K98" s="2" t="n">
        <v>44.45</v>
      </c>
      <c r="L98" s="2" t="n">
        <v>0.8</v>
      </c>
      <c r="M98" s="4" t="n">
        <v>6.07</v>
      </c>
      <c r="N98" s="4" t="n">
        <v>63.72</v>
      </c>
      <c r="O98" s="2" t="n">
        <v>30</v>
      </c>
      <c r="P98" s="4" t="n">
        <v>2.04</v>
      </c>
      <c r="Q98" s="4" t="n">
        <v>19.01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Oro</t>
        </is>
      </c>
      <c r="B99" s="2" t="inlineStr">
        <is>
          <t>Blanco</t>
        </is>
      </c>
      <c r="C99" s="3" t="n">
        <v>46053</v>
      </c>
      <c r="D99" s="2" t="inlineStr">
        <is>
          <t>A82804660</t>
        </is>
      </c>
      <c r="E99" s="2" t="inlineStr">
        <is>
          <t>Geles Plani…</t>
        </is>
      </c>
      <c r="F99" s="2" t="n">
        <v>3958804</v>
      </c>
      <c r="G99" s="4" t="n">
        <v>658.23</v>
      </c>
      <c r="H99" s="3" t="n">
        <v>46050</v>
      </c>
      <c r="I99" s="3" t="n">
        <v>46214</v>
      </c>
      <c r="J99" s="2" t="n">
        <v>59</v>
      </c>
      <c r="K99" s="2" t="n">
        <v>22.53</v>
      </c>
      <c r="L99" s="2" t="n">
        <v>2.73</v>
      </c>
      <c r="M99" s="4" t="n">
        <v>17.97</v>
      </c>
      <c r="N99" s="4" t="n">
        <v>24.3</v>
      </c>
      <c r="O99" s="2" t="n">
        <v>30</v>
      </c>
      <c r="P99" s="4" t="n">
        <v>5.17</v>
      </c>
      <c r="Q99" s="4" t="n">
        <v>7.04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Oro</t>
        </is>
      </c>
      <c r="B100" s="2" t="inlineStr">
        <is>
          <t>Blanco</t>
        </is>
      </c>
      <c r="C100" s="3" t="n">
        <v>46053</v>
      </c>
      <c r="D100" s="2" t="inlineStr">
        <is>
          <t>B81778269</t>
        </is>
      </c>
      <c r="E100" s="2" t="inlineStr">
        <is>
          <t>Azúcares T…</t>
        </is>
      </c>
      <c r="F100" s="2" t="n">
        <v>4705922</v>
      </c>
      <c r="G100" s="4" t="n">
        <v>7794.29</v>
      </c>
      <c r="H100" s="3" t="n">
        <v>46040</v>
      </c>
      <c r="I100" s="3" t="n">
        <v>46136</v>
      </c>
      <c r="J100" s="2" t="n">
        <v>66</v>
      </c>
      <c r="K100" s="2" t="n">
        <v>20.19</v>
      </c>
      <c r="L100" s="2" t="n">
        <v>1.81</v>
      </c>
      <c r="M100" s="4" t="n">
        <v>141.08</v>
      </c>
      <c r="N100" s="4" t="n">
        <v>288.51</v>
      </c>
      <c r="O100" s="2" t="n">
        <v>20</v>
      </c>
      <c r="P100" s="4" t="n">
        <v>27.99</v>
      </c>
      <c r="Q100" s="4" t="n">
        <v>57.53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Oro</t>
        </is>
      </c>
      <c r="B101" s="2" t="inlineStr">
        <is>
          <t>Blanco</t>
        </is>
      </c>
      <c r="C101" s="3" t="n">
        <v>46053</v>
      </c>
      <c r="D101" s="2" t="inlineStr">
        <is>
          <t>B22712566</t>
        </is>
      </c>
      <c r="E101" s="2" t="inlineStr">
        <is>
          <t>Abonos Est…</t>
        </is>
      </c>
      <c r="F101" s="2" t="n">
        <v>4485589</v>
      </c>
      <c r="G101" s="4" t="n">
        <v>626.1799999999999</v>
      </c>
      <c r="H101" s="3" t="n">
        <v>46041</v>
      </c>
      <c r="I101" s="3" t="n">
        <v>46072</v>
      </c>
      <c r="J101" s="2" t="n">
        <v>58</v>
      </c>
      <c r="K101" s="2" t="n">
        <v>43.72</v>
      </c>
      <c r="L101" s="2" t="n">
        <v>1.6</v>
      </c>
      <c r="M101" s="4" t="n">
        <v>10.02</v>
      </c>
      <c r="N101" s="4" t="n">
        <v>44.11</v>
      </c>
      <c r="O101" s="2" t="n">
        <v>20</v>
      </c>
      <c r="P101" s="4" t="n">
        <v>1.75</v>
      </c>
      <c r="Q101" s="4" t="n">
        <v>9.07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Oro</t>
        </is>
      </c>
      <c r="B102" s="2" t="inlineStr">
        <is>
          <t>Blanco</t>
        </is>
      </c>
      <c r="C102" s="3" t="n">
        <v>46053</v>
      </c>
      <c r="D102" s="2" t="inlineStr">
        <is>
          <t>A26123274</t>
        </is>
      </c>
      <c r="E102" s="2" t="inlineStr">
        <is>
          <t>Sales Expa…</t>
        </is>
      </c>
      <c r="F102" s="2" t="n">
        <v>2895642</v>
      </c>
      <c r="G102" s="4" t="n">
        <v>9938.07</v>
      </c>
      <c r="H102" s="3" t="n">
        <v>46033</v>
      </c>
      <c r="I102" s="3" t="n">
        <v>46186</v>
      </c>
      <c r="J102" s="2" t="n">
        <v>45</v>
      </c>
      <c r="K102" s="2" t="n">
        <v>48.72</v>
      </c>
      <c r="L102" s="2" t="n">
        <v>2.06</v>
      </c>
      <c r="M102" s="4" t="n">
        <v>204.72</v>
      </c>
      <c r="N102" s="4" t="n">
        <v>605.23</v>
      </c>
      <c r="O102" s="2" t="n">
        <v>50</v>
      </c>
      <c r="P102" s="4" t="n">
        <v>102.18</v>
      </c>
      <c r="Q102" s="4" t="n">
        <v>302.84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Oro</t>
        </is>
      </c>
      <c r="B103" s="2" t="inlineStr">
        <is>
          <t>Blanco</t>
        </is>
      </c>
      <c r="C103" s="3" t="n">
        <v>46053</v>
      </c>
      <c r="D103" s="2" t="inlineStr">
        <is>
          <t>B60803962</t>
        </is>
      </c>
      <c r="E103" s="2" t="inlineStr">
        <is>
          <t>Tintes Cent…</t>
        </is>
      </c>
      <c r="F103" s="2" t="n">
        <v>1318048</v>
      </c>
      <c r="G103" s="4" t="n">
        <v>775.3</v>
      </c>
      <c r="H103" s="3" t="n">
        <v>46043</v>
      </c>
      <c r="I103" s="3" t="n">
        <v>46229</v>
      </c>
      <c r="J103" s="2" t="n">
        <v>36</v>
      </c>
      <c r="K103" s="2" t="n">
        <v>18.85</v>
      </c>
      <c r="L103" s="2" t="n">
        <v>1.58</v>
      </c>
      <c r="M103" s="4" t="n">
        <v>12.25</v>
      </c>
      <c r="N103" s="4" t="n">
        <v>14.61</v>
      </c>
      <c r="O103" s="2" t="n">
        <v>20</v>
      </c>
      <c r="P103" s="4" t="n">
        <v>2.55</v>
      </c>
      <c r="Q103" s="4" t="n">
        <v>3.11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Oro</t>
        </is>
      </c>
      <c r="B104" s="2" t="inlineStr">
        <is>
          <t>Blanco</t>
        </is>
      </c>
      <c r="C104" s="3" t="n">
        <v>46053</v>
      </c>
      <c r="D104" s="2" t="inlineStr">
        <is>
          <t>B05772234</t>
        </is>
      </c>
      <c r="E104" s="2" t="inlineStr">
        <is>
          <t>Component…</t>
        </is>
      </c>
      <c r="F104" s="2" t="n">
        <v>4504432</v>
      </c>
      <c r="G104" s="4" t="n">
        <v>1460.75</v>
      </c>
      <c r="H104" s="3" t="n">
        <v>46048</v>
      </c>
      <c r="I104" s="3" t="n">
        <v>46213</v>
      </c>
      <c r="J104" s="2" t="n">
        <v>80</v>
      </c>
      <c r="K104" s="2" t="n">
        <v>39.1</v>
      </c>
      <c r="L104" s="2" t="n">
        <v>0.79</v>
      </c>
      <c r="M104" s="4" t="n">
        <v>11.54</v>
      </c>
      <c r="N104" s="4" t="n">
        <v>126.92</v>
      </c>
      <c r="O104" s="2" t="n">
        <v>70</v>
      </c>
      <c r="P104" s="4" t="n">
        <v>8.300000000000001</v>
      </c>
      <c r="Q104" s="4" t="n">
        <v>89.14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Oro</t>
        </is>
      </c>
      <c r="B105" s="2" t="inlineStr">
        <is>
          <t>Blanco</t>
        </is>
      </c>
      <c r="C105" s="3" t="n">
        <v>46053</v>
      </c>
      <c r="D105" s="2" t="inlineStr">
        <is>
          <t>A38674534</t>
        </is>
      </c>
      <c r="E105" s="2" t="inlineStr">
        <is>
          <t>Cápsulas E…</t>
        </is>
      </c>
      <c r="F105" s="2" t="n">
        <v>1790077</v>
      </c>
      <c r="G105" s="4" t="n">
        <v>761.52</v>
      </c>
      <c r="H105" s="3" t="n">
        <v>46029</v>
      </c>
      <c r="I105" s="3" t="n">
        <v>46168</v>
      </c>
      <c r="J105" s="2" t="n">
        <v>77</v>
      </c>
      <c r="K105" s="2" t="n">
        <v>35.08</v>
      </c>
      <c r="L105" s="2" t="n">
        <v>1.97</v>
      </c>
      <c r="M105" s="4" t="n">
        <v>15</v>
      </c>
      <c r="N105" s="4" t="n">
        <v>57.14</v>
      </c>
      <c r="O105" s="2" t="n">
        <v>20</v>
      </c>
      <c r="P105" s="4" t="n">
        <v>3.21</v>
      </c>
      <c r="Q105" s="4" t="n">
        <v>11.62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Oro</t>
        </is>
      </c>
      <c r="B106" s="2" t="inlineStr">
        <is>
          <t>Blanco</t>
        </is>
      </c>
      <c r="C106" s="3" t="n">
        <v>46053</v>
      </c>
      <c r="D106" s="2" t="inlineStr">
        <is>
          <t>B68459952</t>
        </is>
      </c>
      <c r="E106" s="2" t="inlineStr">
        <is>
          <t>Fitosanitari…</t>
        </is>
      </c>
      <c r="F106" s="2" t="n">
        <v>2895961</v>
      </c>
      <c r="G106" s="4" t="n">
        <v>9287.129999999999</v>
      </c>
      <c r="H106" s="3" t="n">
        <v>46038</v>
      </c>
      <c r="I106" s="3" t="n">
        <v>46230</v>
      </c>
      <c r="J106" s="2" t="n">
        <v>37</v>
      </c>
      <c r="K106" s="2" t="n">
        <v>39.1</v>
      </c>
      <c r="L106" s="2" t="n">
        <v>1.44</v>
      </c>
      <c r="M106" s="4" t="n">
        <v>133.73</v>
      </c>
      <c r="N106" s="4" t="n">
        <v>373.21</v>
      </c>
      <c r="O106" s="2" t="n">
        <v>30</v>
      </c>
      <c r="P106" s="4" t="n">
        <v>40.42</v>
      </c>
      <c r="Q106" s="4" t="n">
        <v>111.68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Oro</t>
        </is>
      </c>
      <c r="B107" s="2" t="inlineStr">
        <is>
          <t>Blanco</t>
        </is>
      </c>
      <c r="C107" s="3" t="n">
        <v>46053</v>
      </c>
      <c r="D107" s="2" t="inlineStr">
        <is>
          <t>A06074465</t>
        </is>
      </c>
      <c r="E107" s="2" t="inlineStr">
        <is>
          <t>Aceites En…</t>
        </is>
      </c>
      <c r="F107" s="2" t="n">
        <v>3810785</v>
      </c>
      <c r="G107" s="4" t="n">
        <v>5165.81</v>
      </c>
      <c r="H107" s="3" t="n">
        <v>46047</v>
      </c>
      <c r="I107" s="3" t="n">
        <v>46149</v>
      </c>
      <c r="J107" s="2" t="n">
        <v>32</v>
      </c>
      <c r="K107" s="2" t="n">
        <v>12.98</v>
      </c>
      <c r="L107" s="2" t="n">
        <v>2.16</v>
      </c>
      <c r="M107" s="4" t="n">
        <v>111.58</v>
      </c>
      <c r="N107" s="4" t="n">
        <v>59.6</v>
      </c>
      <c r="O107" s="2" t="n">
        <v>50</v>
      </c>
      <c r="P107" s="4" t="n">
        <v>55.74</v>
      </c>
      <c r="Q107" s="4" t="n">
        <v>30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Oro</t>
        </is>
      </c>
      <c r="B108" s="2" t="inlineStr">
        <is>
          <t>Blanco</t>
        </is>
      </c>
      <c r="C108" s="3" t="n">
        <v>46053</v>
      </c>
      <c r="D108" s="2" t="inlineStr">
        <is>
          <t>B31671697</t>
        </is>
      </c>
      <c r="E108" s="2" t="inlineStr">
        <is>
          <t>Maderas R…</t>
        </is>
      </c>
      <c r="F108" s="2" t="n">
        <v>4738219</v>
      </c>
      <c r="G108" s="4" t="n">
        <v>524.1</v>
      </c>
      <c r="H108" s="3" t="n">
        <v>46029</v>
      </c>
      <c r="I108" s="3" t="n">
        <v>46069</v>
      </c>
      <c r="J108" s="2" t="n">
        <v>12</v>
      </c>
      <c r="K108" s="2" t="n">
        <v>48.09</v>
      </c>
      <c r="L108" s="2" t="n">
        <v>1.09</v>
      </c>
      <c r="M108" s="4" t="n">
        <v>5.71</v>
      </c>
      <c r="N108" s="4" t="n">
        <v>8.4</v>
      </c>
      <c r="O108" s="2" t="n">
        <v>70</v>
      </c>
      <c r="P108" s="4" t="n">
        <v>3.82</v>
      </c>
      <c r="Q108" s="4" t="n">
        <v>5.87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Oro</t>
        </is>
      </c>
      <c r="B109" s="2" t="inlineStr">
        <is>
          <t>Blanco</t>
        </is>
      </c>
      <c r="C109" s="3" t="n">
        <v>46053</v>
      </c>
      <c r="D109" s="2" t="inlineStr">
        <is>
          <t>A39063221</t>
        </is>
      </c>
      <c r="E109" s="2" t="inlineStr">
        <is>
          <t>Cobres Ma…</t>
        </is>
      </c>
      <c r="F109" s="2" t="n">
        <v>2536249</v>
      </c>
      <c r="G109" s="4" t="n">
        <v>816.47</v>
      </c>
      <c r="H109" s="3" t="n">
        <v>46026</v>
      </c>
      <c r="I109" s="3" t="n">
        <v>46085</v>
      </c>
      <c r="J109" s="2" t="n">
        <v>51</v>
      </c>
      <c r="K109" s="2" t="n">
        <v>26.43</v>
      </c>
      <c r="L109" s="2" t="n">
        <v>2.89</v>
      </c>
      <c r="M109" s="4" t="n">
        <v>23.6</v>
      </c>
      <c r="N109" s="4" t="n">
        <v>30.57</v>
      </c>
      <c r="O109" s="2" t="n">
        <v>20</v>
      </c>
      <c r="P109" s="4" t="n">
        <v>4.93</v>
      </c>
      <c r="Q109" s="4" t="n">
        <v>6.15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Oro</t>
        </is>
      </c>
      <c r="B110" s="2" t="inlineStr">
        <is>
          <t>Blanco</t>
        </is>
      </c>
      <c r="C110" s="3" t="n">
        <v>46053</v>
      </c>
      <c r="D110" s="2" t="inlineStr">
        <is>
          <t>B25150721</t>
        </is>
      </c>
      <c r="E110" s="2" t="inlineStr">
        <is>
          <t>Transistore…</t>
        </is>
      </c>
      <c r="F110" s="2" t="n">
        <v>2520074</v>
      </c>
      <c r="G110" s="4" t="n">
        <v>705.9400000000001</v>
      </c>
      <c r="H110" s="3" t="n">
        <v>46032</v>
      </c>
      <c r="I110" s="3" t="n">
        <v>46186</v>
      </c>
      <c r="J110" s="2" t="n">
        <v>86</v>
      </c>
      <c r="K110" s="2" t="n">
        <v>45.1</v>
      </c>
      <c r="L110" s="2" t="n">
        <v>1.74</v>
      </c>
      <c r="M110" s="4" t="n">
        <v>12.28</v>
      </c>
      <c r="N110" s="4" t="n">
        <v>76.06</v>
      </c>
      <c r="O110" s="2" t="n">
        <v>50</v>
      </c>
      <c r="P110" s="4" t="n">
        <v>5.98</v>
      </c>
      <c r="Q110" s="4" t="n">
        <v>37.95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Oro</t>
        </is>
      </c>
      <c r="B111" s="2" t="inlineStr">
        <is>
          <t>Blanco</t>
        </is>
      </c>
      <c r="C111" s="3" t="n">
        <v>46053</v>
      </c>
      <c r="D111" s="2" t="inlineStr">
        <is>
          <t>A29596985</t>
        </is>
      </c>
      <c r="E111" s="2" t="inlineStr">
        <is>
          <t>Siliconas C…</t>
        </is>
      </c>
      <c r="F111" s="2" t="n">
        <v>1794483</v>
      </c>
      <c r="G111" s="4" t="n">
        <v>906.9</v>
      </c>
      <c r="H111" s="3" t="n">
        <v>46026</v>
      </c>
      <c r="I111" s="3" t="n">
        <v>46185</v>
      </c>
      <c r="J111" s="2" t="n">
        <v>36</v>
      </c>
      <c r="K111" s="2" t="n">
        <v>30.98</v>
      </c>
      <c r="L111" s="2" t="n">
        <v>2.58</v>
      </c>
      <c r="M111" s="4" t="n">
        <v>23.4</v>
      </c>
      <c r="N111" s="4" t="n">
        <v>28.1</v>
      </c>
      <c r="O111" s="2" t="n">
        <v>40</v>
      </c>
      <c r="P111" s="4" t="n">
        <v>9.49</v>
      </c>
      <c r="Q111" s="4" t="n">
        <v>11.12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Oro</t>
        </is>
      </c>
      <c r="B112" s="2" t="inlineStr">
        <is>
          <t>Blanco</t>
        </is>
      </c>
      <c r="C112" s="3" t="n">
        <v>46053</v>
      </c>
      <c r="D112" s="2" t="inlineStr">
        <is>
          <t>A00748575</t>
        </is>
      </c>
      <c r="E112" s="2" t="inlineStr">
        <is>
          <t>Resinas Te…</t>
        </is>
      </c>
      <c r="F112" s="2" t="n">
        <v>4060869</v>
      </c>
      <c r="G112" s="4" t="n">
        <v>936.17</v>
      </c>
      <c r="H112" s="3" t="n">
        <v>46037</v>
      </c>
      <c r="I112" s="3" t="n">
        <v>46128</v>
      </c>
      <c r="J112" s="2" t="n">
        <v>81</v>
      </c>
      <c r="K112" s="2" t="n">
        <v>24.22</v>
      </c>
      <c r="L112" s="2" t="n">
        <v>0.63</v>
      </c>
      <c r="M112" s="4" t="n">
        <v>5.9</v>
      </c>
      <c r="N112" s="4" t="n">
        <v>51.02</v>
      </c>
      <c r="O112" s="2" t="n">
        <v>60</v>
      </c>
      <c r="P112" s="4" t="n">
        <v>3.5</v>
      </c>
      <c r="Q112" s="4" t="n">
        <v>30.81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Oro</t>
        </is>
      </c>
      <c r="B113" s="2" t="inlineStr">
        <is>
          <t>Blanco</t>
        </is>
      </c>
      <c r="C113" s="3" t="n">
        <v>46053</v>
      </c>
      <c r="D113" s="2" t="inlineStr">
        <is>
          <t>B53439160</t>
        </is>
      </c>
      <c r="E113" s="2" t="inlineStr">
        <is>
          <t>Fundicione…</t>
        </is>
      </c>
      <c r="F113" s="2" t="n">
        <v>3438336</v>
      </c>
      <c r="G113" s="4" t="n">
        <v>890.3200000000001</v>
      </c>
      <c r="H113" s="3" t="n">
        <v>46023</v>
      </c>
      <c r="I113" s="3" t="n">
        <v>46145</v>
      </c>
      <c r="J113" s="2" t="n">
        <v>16</v>
      </c>
      <c r="K113" s="2" t="n">
        <v>36.27</v>
      </c>
      <c r="L113" s="2" t="n">
        <v>0.86</v>
      </c>
      <c r="M113" s="4" t="n">
        <v>7.66</v>
      </c>
      <c r="N113" s="4" t="n">
        <v>14.35</v>
      </c>
      <c r="O113" s="2" t="n">
        <v>70</v>
      </c>
      <c r="P113" s="4" t="n">
        <v>5.08</v>
      </c>
      <c r="Q113" s="4" t="n">
        <v>9.859999999999999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Oro</t>
        </is>
      </c>
      <c r="B114" s="2" t="inlineStr">
        <is>
          <t>Blanco</t>
        </is>
      </c>
      <c r="C114" s="3" t="n">
        <v>46053</v>
      </c>
      <c r="D114" s="2" t="inlineStr">
        <is>
          <t>A84327401</t>
        </is>
      </c>
      <c r="E114" s="2" t="inlineStr">
        <is>
          <t>Ladrillos Se…</t>
        </is>
      </c>
      <c r="F114" s="2" t="n">
        <v>2318197</v>
      </c>
      <c r="G114" s="4" t="n">
        <v>8097.29</v>
      </c>
      <c r="H114" s="3" t="n">
        <v>46037</v>
      </c>
      <c r="I114" s="3" t="n">
        <v>46075</v>
      </c>
      <c r="J114" s="2" t="n">
        <v>12</v>
      </c>
      <c r="K114" s="2" t="n">
        <v>34.64</v>
      </c>
      <c r="L114" s="2" t="n">
        <v>1.01</v>
      </c>
      <c r="M114" s="4" t="n">
        <v>81.78</v>
      </c>
      <c r="N114" s="4" t="n">
        <v>93.5</v>
      </c>
      <c r="O114" s="2" t="n">
        <v>50</v>
      </c>
      <c r="P114" s="4" t="n">
        <v>40.59</v>
      </c>
      <c r="Q114" s="4" t="n">
        <v>46.97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Oro</t>
        </is>
      </c>
      <c r="B115" s="2" t="inlineStr">
        <is>
          <t>Blanco</t>
        </is>
      </c>
      <c r="C115" s="3" t="n">
        <v>46053</v>
      </c>
      <c r="D115" s="2" t="inlineStr">
        <is>
          <t>A32805421</t>
        </is>
      </c>
      <c r="E115" s="2" t="inlineStr">
        <is>
          <t>Palés Trata…</t>
        </is>
      </c>
      <c r="F115" s="2" t="n">
        <v>4786592</v>
      </c>
      <c r="G115" s="4" t="n">
        <v>786.4299999999999</v>
      </c>
      <c r="H115" s="3" t="n">
        <v>46035</v>
      </c>
      <c r="I115" s="3" t="n">
        <v>46201</v>
      </c>
      <c r="J115" s="2" t="n">
        <v>71</v>
      </c>
      <c r="K115" s="2" t="n">
        <v>40.03</v>
      </c>
      <c r="L115" s="2" t="n">
        <v>2.34</v>
      </c>
      <c r="M115" s="4" t="n">
        <v>18.4</v>
      </c>
      <c r="N115" s="4" t="n">
        <v>62.09</v>
      </c>
      <c r="O115" s="2" t="n">
        <v>20</v>
      </c>
      <c r="P115" s="4" t="n">
        <v>3.41</v>
      </c>
      <c r="Q115" s="4" t="n">
        <v>12.37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Oro</t>
        </is>
      </c>
      <c r="B116" s="2" t="inlineStr">
        <is>
          <t>Blanco</t>
        </is>
      </c>
      <c r="C116" s="3" t="n">
        <v>46053</v>
      </c>
      <c r="D116" s="2" t="inlineStr">
        <is>
          <t>A15943154</t>
        </is>
      </c>
      <c r="E116" s="2" t="inlineStr">
        <is>
          <t>Sedas Com…</t>
        </is>
      </c>
      <c r="F116" s="2" t="n">
        <v>3121219</v>
      </c>
      <c r="G116" s="4" t="n">
        <v>738.5</v>
      </c>
      <c r="H116" s="3" t="n">
        <v>46038</v>
      </c>
      <c r="I116" s="3" t="n">
        <v>46074</v>
      </c>
      <c r="J116" s="2" t="n">
        <v>21</v>
      </c>
      <c r="K116" s="2" t="n">
        <v>11.11</v>
      </c>
      <c r="L116" s="2" t="n">
        <v>0.8100000000000001</v>
      </c>
      <c r="M116" s="4" t="n">
        <v>5.98</v>
      </c>
      <c r="N116" s="4" t="n">
        <v>4.79</v>
      </c>
      <c r="O116" s="2" t="n">
        <v>30</v>
      </c>
      <c r="P116" s="4" t="n">
        <v>1.94</v>
      </c>
      <c r="Q116" s="4" t="n">
        <v>1.73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Oro</t>
        </is>
      </c>
      <c r="B117" s="2" t="inlineStr">
        <is>
          <t>Blanco</t>
        </is>
      </c>
      <c r="C117" s="3" t="n">
        <v>46053</v>
      </c>
      <c r="D117" s="2" t="inlineStr">
        <is>
          <t>B06548308</t>
        </is>
      </c>
      <c r="E117" s="2" t="inlineStr">
        <is>
          <t>Mieles Iridi…</t>
        </is>
      </c>
      <c r="F117" s="2" t="n">
        <v>1677796</v>
      </c>
      <c r="G117" s="4" t="n">
        <v>380.67</v>
      </c>
      <c r="H117" s="3" t="n">
        <v>46023</v>
      </c>
      <c r="I117" s="3" t="n">
        <v>46216</v>
      </c>
      <c r="J117" s="2" t="n">
        <v>14</v>
      </c>
      <c r="K117" s="2" t="n">
        <v>36.42</v>
      </c>
      <c r="L117" s="2" t="n">
        <v>2.7</v>
      </c>
      <c r="M117" s="4" t="n">
        <v>10.28</v>
      </c>
      <c r="N117" s="4" t="n">
        <v>5.39</v>
      </c>
      <c r="O117" s="2" t="n">
        <v>40</v>
      </c>
      <c r="P117" s="4" t="n">
        <v>4.2</v>
      </c>
      <c r="Q117" s="4" t="n">
        <v>2.21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Oro</t>
        </is>
      </c>
      <c r="B118" s="2" t="inlineStr">
        <is>
          <t>Blanco</t>
        </is>
      </c>
      <c r="C118" s="3" t="n">
        <v>46053</v>
      </c>
      <c r="D118" s="2" t="inlineStr">
        <is>
          <t>A78687274</t>
        </is>
      </c>
      <c r="E118" s="2" t="inlineStr">
        <is>
          <t>Cojinetes R…</t>
        </is>
      </c>
      <c r="F118" s="2" t="n">
        <v>2793473</v>
      </c>
      <c r="G118" s="4" t="n">
        <v>142.8</v>
      </c>
      <c r="H118" s="3" t="n">
        <v>46041</v>
      </c>
      <c r="I118" s="3" t="n">
        <v>46138</v>
      </c>
      <c r="J118" s="2" t="n">
        <v>33</v>
      </c>
      <c r="K118" s="2" t="n">
        <v>15.85</v>
      </c>
      <c r="L118" s="2" t="n">
        <v>0.6</v>
      </c>
      <c r="M118" s="4" t="n">
        <v>0.86</v>
      </c>
      <c r="N118" s="4" t="n">
        <v>2.07</v>
      </c>
      <c r="O118" s="2" t="n">
        <v>60</v>
      </c>
      <c r="P118" s="4" t="n">
        <v>0.31</v>
      </c>
      <c r="Q118" s="4" t="n">
        <v>1.2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Oro</t>
        </is>
      </c>
      <c r="B119" s="2" t="inlineStr">
        <is>
          <t>Blanco</t>
        </is>
      </c>
      <c r="C119" s="3" t="n">
        <v>46053</v>
      </c>
      <c r="D119" s="2" t="inlineStr">
        <is>
          <t>A09361757</t>
        </is>
      </c>
      <c r="E119" s="2" t="inlineStr">
        <is>
          <t>Lacas Extr…</t>
        </is>
      </c>
      <c r="F119" s="2" t="n">
        <v>3067079</v>
      </c>
      <c r="G119" s="4" t="n">
        <v>302.16</v>
      </c>
      <c r="H119" s="3" t="n">
        <v>46037</v>
      </c>
      <c r="I119" s="3" t="n">
        <v>46166</v>
      </c>
      <c r="J119" s="2" t="n">
        <v>26</v>
      </c>
      <c r="K119" s="2" t="n">
        <v>14.85</v>
      </c>
      <c r="L119" s="2" t="n">
        <v>2.39</v>
      </c>
      <c r="M119" s="4" t="n">
        <v>7.22</v>
      </c>
      <c r="N119" s="4" t="n">
        <v>3.24</v>
      </c>
      <c r="O119" s="2" t="n">
        <v>30</v>
      </c>
      <c r="P119" s="4" t="n">
        <v>2.35</v>
      </c>
      <c r="Q119" s="4" t="n">
        <v>0.91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Oro</t>
        </is>
      </c>
      <c r="B120" s="2" t="inlineStr">
        <is>
          <t>Blanco</t>
        </is>
      </c>
      <c r="C120" s="3" t="n">
        <v>46053</v>
      </c>
      <c r="D120" s="2" t="inlineStr">
        <is>
          <t>B10372782</t>
        </is>
      </c>
      <c r="E120" s="2" t="inlineStr">
        <is>
          <t>Precintos B…</t>
        </is>
      </c>
      <c r="F120" s="2" t="n">
        <v>3586741</v>
      </c>
      <c r="G120" s="4" t="n">
        <v>197.42</v>
      </c>
      <c r="H120" s="3" t="n">
        <v>46046</v>
      </c>
      <c r="I120" s="3" t="n">
        <v>46137</v>
      </c>
      <c r="J120" s="2" t="n">
        <v>54</v>
      </c>
      <c r="K120" s="2" t="n">
        <v>32.19</v>
      </c>
      <c r="L120" s="2" t="n">
        <v>2.76</v>
      </c>
      <c r="M120" s="4" t="n">
        <v>5.45</v>
      </c>
      <c r="N120" s="4" t="n">
        <v>9.529999999999999</v>
      </c>
      <c r="O120" s="2" t="n">
        <v>50</v>
      </c>
      <c r="P120" s="4" t="n">
        <v>2.61</v>
      </c>
      <c r="Q120" s="4" t="n">
        <v>4.65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Oro</t>
        </is>
      </c>
      <c r="B121" s="2" t="inlineStr">
        <is>
          <t>Blanco</t>
        </is>
      </c>
      <c r="C121" s="3" t="n">
        <v>46053</v>
      </c>
      <c r="D121" s="2" t="inlineStr">
        <is>
          <t>A73709218</t>
        </is>
      </c>
      <c r="E121" s="2" t="inlineStr">
        <is>
          <t>Variadores…</t>
        </is>
      </c>
      <c r="F121" s="2" t="n">
        <v>1826001</v>
      </c>
      <c r="G121" s="4" t="n">
        <v>851.4</v>
      </c>
      <c r="H121" s="3" t="n">
        <v>46039</v>
      </c>
      <c r="I121" s="3" t="n">
        <v>46060</v>
      </c>
      <c r="J121" s="2" t="n">
        <v>68</v>
      </c>
      <c r="K121" s="2" t="n">
        <v>37.28</v>
      </c>
      <c r="L121" s="2" t="n">
        <v>1.11</v>
      </c>
      <c r="M121" s="4" t="n">
        <v>9.449999999999999</v>
      </c>
      <c r="N121" s="4" t="n">
        <v>59.95</v>
      </c>
      <c r="O121" s="2" t="n">
        <v>20</v>
      </c>
      <c r="P121" s="4" t="n">
        <v>1.72</v>
      </c>
      <c r="Q121" s="4" t="n">
        <v>11.95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Oro</t>
        </is>
      </c>
      <c r="B122" s="2" t="inlineStr">
        <is>
          <t>Blanco</t>
        </is>
      </c>
      <c r="C122" s="3" t="n">
        <v>46053</v>
      </c>
      <c r="D122" s="2" t="inlineStr">
        <is>
          <t>A22924416</t>
        </is>
      </c>
      <c r="E122" s="2" t="inlineStr">
        <is>
          <t>Tinturas Gl…</t>
        </is>
      </c>
      <c r="F122" s="2" t="n">
        <v>1414008</v>
      </c>
      <c r="G122" s="4" t="n">
        <v>1269.81</v>
      </c>
      <c r="H122" s="3" t="n">
        <v>46038</v>
      </c>
      <c r="I122" s="3" t="n">
        <v>46055</v>
      </c>
      <c r="J122" s="2" t="n">
        <v>25</v>
      </c>
      <c r="K122" s="2" t="n">
        <v>42.89</v>
      </c>
      <c r="L122" s="2" t="n">
        <v>1.12</v>
      </c>
      <c r="M122" s="4" t="n">
        <v>14.22</v>
      </c>
      <c r="N122" s="4" t="n">
        <v>37.82</v>
      </c>
      <c r="O122" s="2" t="n">
        <v>40</v>
      </c>
      <c r="P122" s="4" t="n">
        <v>5.65</v>
      </c>
      <c r="Q122" s="4" t="n">
        <v>14.91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Oro</t>
        </is>
      </c>
      <c r="B123" s="2" t="inlineStr">
        <is>
          <t>Blanco</t>
        </is>
      </c>
      <c r="C123" s="3" t="n">
        <v>46053</v>
      </c>
      <c r="D123" s="2" t="inlineStr">
        <is>
          <t>A83802131</t>
        </is>
      </c>
      <c r="E123" s="2" t="inlineStr">
        <is>
          <t>Baterías D…</t>
        </is>
      </c>
      <c r="F123" s="2" t="n">
        <v>4997407</v>
      </c>
      <c r="G123" s="4" t="n">
        <v>4963.49</v>
      </c>
      <c r="H123" s="3" t="n">
        <v>46026</v>
      </c>
      <c r="I123" s="3" t="n">
        <v>46187</v>
      </c>
      <c r="J123" s="2" t="n">
        <v>51</v>
      </c>
      <c r="K123" s="2" t="n">
        <v>29.5</v>
      </c>
      <c r="L123" s="2" t="n">
        <v>0.61</v>
      </c>
      <c r="M123" s="4" t="n">
        <v>30.28</v>
      </c>
      <c r="N123" s="4" t="n">
        <v>207.43</v>
      </c>
      <c r="O123" s="2" t="n">
        <v>60</v>
      </c>
      <c r="P123" s="4" t="n">
        <v>18.09</v>
      </c>
      <c r="Q123" s="4" t="n">
        <v>124.18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Oro</t>
        </is>
      </c>
      <c r="B124" s="2" t="inlineStr">
        <is>
          <t>Blanco</t>
        </is>
      </c>
      <c r="C124" s="3" t="n">
        <v>46053</v>
      </c>
      <c r="D124" s="2" t="inlineStr">
        <is>
          <t>B87357031</t>
        </is>
      </c>
      <c r="E124" s="2" t="inlineStr">
        <is>
          <t>Inversores…</t>
        </is>
      </c>
      <c r="F124" s="2" t="n">
        <v>2244942</v>
      </c>
      <c r="G124" s="4" t="n">
        <v>568.15</v>
      </c>
      <c r="H124" s="3" t="n">
        <v>46023</v>
      </c>
      <c r="I124" s="3" t="n">
        <v>46120</v>
      </c>
      <c r="J124" s="2" t="n">
        <v>48</v>
      </c>
      <c r="K124" s="2" t="n">
        <v>45.52</v>
      </c>
      <c r="L124" s="2" t="n">
        <v>2.51</v>
      </c>
      <c r="M124" s="4" t="n">
        <v>14.26</v>
      </c>
      <c r="N124" s="4" t="n">
        <v>34.48</v>
      </c>
      <c r="O124" s="2" t="n">
        <v>40</v>
      </c>
      <c r="P124" s="4" t="n">
        <v>5.53</v>
      </c>
      <c r="Q124" s="4" t="n">
        <v>13.62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Oro</t>
        </is>
      </c>
      <c r="B125" s="2" t="inlineStr">
        <is>
          <t>Blanco</t>
        </is>
      </c>
      <c r="C125" s="3" t="n">
        <v>46053</v>
      </c>
      <c r="D125" s="2" t="inlineStr">
        <is>
          <t>A55687689</t>
        </is>
      </c>
      <c r="E125" s="2" t="inlineStr">
        <is>
          <t>Aditivos Bio…</t>
        </is>
      </c>
      <c r="F125" s="2" t="n">
        <v>4722745</v>
      </c>
      <c r="G125" s="4" t="n">
        <v>350.19</v>
      </c>
      <c r="H125" s="3" t="n">
        <v>46028</v>
      </c>
      <c r="I125" s="3" t="n">
        <v>46189</v>
      </c>
      <c r="J125" s="2" t="n">
        <v>90</v>
      </c>
      <c r="K125" s="2" t="n">
        <v>12.54</v>
      </c>
      <c r="L125" s="2" t="n">
        <v>1.93</v>
      </c>
      <c r="M125" s="4" t="n">
        <v>6.76</v>
      </c>
      <c r="N125" s="4" t="n">
        <v>10.98</v>
      </c>
      <c r="O125" s="2" t="n">
        <v>50</v>
      </c>
      <c r="P125" s="4" t="n">
        <v>3.31</v>
      </c>
      <c r="Q125" s="4" t="n">
        <v>5.35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Oro</t>
        </is>
      </c>
      <c r="B126" s="2" t="inlineStr">
        <is>
          <t>Blanco</t>
        </is>
      </c>
      <c r="C126" s="3" t="n">
        <v>46053</v>
      </c>
      <c r="D126" s="2" t="inlineStr">
        <is>
          <t>A77287566</t>
        </is>
      </c>
      <c r="E126" s="2" t="inlineStr">
        <is>
          <t>Perfiles En…</t>
        </is>
      </c>
      <c r="F126" s="2" t="n">
        <v>3205838</v>
      </c>
      <c r="G126" s="4" t="n">
        <v>954.5700000000001</v>
      </c>
      <c r="H126" s="3" t="n">
        <v>46024</v>
      </c>
      <c r="I126" s="3" t="n">
        <v>46213</v>
      </c>
      <c r="J126" s="2" t="n">
        <v>18</v>
      </c>
      <c r="K126" s="2" t="n">
        <v>26.23</v>
      </c>
      <c r="L126" s="2" t="n">
        <v>2.18</v>
      </c>
      <c r="M126" s="4" t="n">
        <v>20.81</v>
      </c>
      <c r="N126" s="4" t="n">
        <v>12.52</v>
      </c>
      <c r="O126" s="2" t="n">
        <v>70</v>
      </c>
      <c r="P126" s="4" t="n">
        <v>14.42</v>
      </c>
      <c r="Q126" s="4" t="n">
        <v>8.83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Oro</t>
        </is>
      </c>
      <c r="B127" s="2" t="inlineStr">
        <is>
          <t>Blanco</t>
        </is>
      </c>
      <c r="C127" s="3" t="n">
        <v>46053</v>
      </c>
      <c r="D127" s="2" t="inlineStr">
        <is>
          <t>B45408846</t>
        </is>
      </c>
      <c r="E127" s="2" t="inlineStr">
        <is>
          <t>Procesador…</t>
        </is>
      </c>
      <c r="F127" s="2" t="n">
        <v>2045406</v>
      </c>
      <c r="G127" s="4" t="n">
        <v>6879.98</v>
      </c>
      <c r="H127" s="3" t="n">
        <v>46029</v>
      </c>
      <c r="I127" s="3" t="n">
        <v>46168</v>
      </c>
      <c r="J127" s="2" t="n">
        <v>40</v>
      </c>
      <c r="K127" s="2" t="n">
        <v>37.65</v>
      </c>
      <c r="L127" s="2" t="n">
        <v>2.64</v>
      </c>
      <c r="M127" s="4" t="n">
        <v>181.63</v>
      </c>
      <c r="N127" s="4" t="n">
        <v>287.81</v>
      </c>
      <c r="O127" s="2" t="n">
        <v>60</v>
      </c>
      <c r="P127" s="4" t="n">
        <v>108.85</v>
      </c>
      <c r="Q127" s="4" t="n">
        <v>172.78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Oro</t>
        </is>
      </c>
      <c r="B128" s="2" t="inlineStr">
        <is>
          <t>Blanco</t>
        </is>
      </c>
      <c r="C128" s="3" t="n">
        <v>46053</v>
      </c>
      <c r="D128" s="2" t="inlineStr">
        <is>
          <t>B42104691</t>
        </is>
      </c>
      <c r="E128" s="2" t="inlineStr">
        <is>
          <t>Prensas Na…</t>
        </is>
      </c>
      <c r="F128" s="2" t="n">
        <v>3221498</v>
      </c>
      <c r="G128" s="4" t="n">
        <v>304.53</v>
      </c>
      <c r="H128" s="3" t="n">
        <v>46039</v>
      </c>
      <c r="I128" s="3" t="n">
        <v>46230</v>
      </c>
      <c r="J128" s="2" t="n">
        <v>90</v>
      </c>
      <c r="K128" s="2" t="n">
        <v>44.13</v>
      </c>
      <c r="L128" s="2" t="n">
        <v>1.26</v>
      </c>
      <c r="M128" s="4" t="n">
        <v>3.84</v>
      </c>
      <c r="N128" s="4" t="n">
        <v>33.6</v>
      </c>
      <c r="O128" s="2" t="n">
        <v>60</v>
      </c>
      <c r="P128" s="4" t="n">
        <v>2.59</v>
      </c>
      <c r="Q128" s="4" t="n">
        <v>20.13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Oro</t>
        </is>
      </c>
      <c r="B129" s="2" t="inlineStr">
        <is>
          <t>Blanco</t>
        </is>
      </c>
      <c r="C129" s="3" t="n">
        <v>46053</v>
      </c>
      <c r="D129" s="2" t="inlineStr">
        <is>
          <t>A11647340</t>
        </is>
      </c>
      <c r="E129" s="2" t="inlineStr">
        <is>
          <t>Component…</t>
        </is>
      </c>
      <c r="F129" s="2" t="n">
        <v>1363771</v>
      </c>
      <c r="G129" s="4" t="n">
        <v>8175.31</v>
      </c>
      <c r="H129" s="3" t="n">
        <v>46040</v>
      </c>
      <c r="I129" s="3" t="n">
        <v>46143</v>
      </c>
      <c r="J129" s="2" t="n">
        <v>72</v>
      </c>
      <c r="K129" s="2" t="n">
        <v>10.94</v>
      </c>
      <c r="L129" s="2" t="n">
        <v>1.83</v>
      </c>
      <c r="M129" s="4" t="n">
        <v>149.61</v>
      </c>
      <c r="N129" s="4" t="n">
        <v>178.88</v>
      </c>
      <c r="O129" s="2" t="n">
        <v>40</v>
      </c>
      <c r="P129" s="4" t="n">
        <v>59.7</v>
      </c>
      <c r="Q129" s="4" t="n">
        <v>71.67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Oro</t>
        </is>
      </c>
      <c r="B130" s="2" t="inlineStr">
        <is>
          <t>Blanco</t>
        </is>
      </c>
      <c r="C130" s="3" t="n">
        <v>46053</v>
      </c>
      <c r="D130" s="2" t="inlineStr">
        <is>
          <t>B04980286</t>
        </is>
      </c>
      <c r="E130" s="2" t="inlineStr">
        <is>
          <t>Resinas Ce…</t>
        </is>
      </c>
      <c r="F130" s="2" t="n">
        <v>4900729</v>
      </c>
      <c r="G130" s="4" t="n">
        <v>718.02</v>
      </c>
      <c r="H130" s="3" t="n">
        <v>46050</v>
      </c>
      <c r="I130" s="3" t="n">
        <v>46057</v>
      </c>
      <c r="J130" s="2" t="n">
        <v>15</v>
      </c>
      <c r="K130" s="2" t="n">
        <v>11.01</v>
      </c>
      <c r="L130" s="2" t="n">
        <v>1.08</v>
      </c>
      <c r="M130" s="4" t="n">
        <v>7.75</v>
      </c>
      <c r="N130" s="4" t="n">
        <v>3.29</v>
      </c>
      <c r="O130" s="2" t="n">
        <v>40</v>
      </c>
      <c r="P130" s="4" t="n">
        <v>3.06</v>
      </c>
      <c r="Q130" s="4" t="n">
        <v>1.53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Oro</t>
        </is>
      </c>
      <c r="B131" s="2" t="inlineStr">
        <is>
          <t>Blanco</t>
        </is>
      </c>
      <c r="C131" s="3" t="n">
        <v>46053</v>
      </c>
      <c r="D131" s="2" t="inlineStr">
        <is>
          <t>B08185527</t>
        </is>
      </c>
      <c r="E131" s="2" t="inlineStr">
        <is>
          <t>Perfiles Re…</t>
        </is>
      </c>
      <c r="F131" s="2" t="n">
        <v>3626271</v>
      </c>
      <c r="G131" s="4" t="n">
        <v>718.3</v>
      </c>
      <c r="H131" s="3" t="n">
        <v>46023</v>
      </c>
      <c r="I131" s="3" t="n">
        <v>46217</v>
      </c>
      <c r="J131" s="2" t="n">
        <v>45</v>
      </c>
      <c r="K131" s="2" t="n">
        <v>36.65</v>
      </c>
      <c r="L131" s="2" t="n">
        <v>2.15</v>
      </c>
      <c r="M131" s="4" t="n">
        <v>15.44</v>
      </c>
      <c r="N131" s="4" t="n">
        <v>32.91</v>
      </c>
      <c r="O131" s="2" t="n">
        <v>40</v>
      </c>
      <c r="P131" s="4" t="n">
        <v>6.2</v>
      </c>
      <c r="Q131" s="4" t="n">
        <v>13.35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Oro</t>
        </is>
      </c>
      <c r="B132" s="2" t="inlineStr">
        <is>
          <t>Blanco</t>
        </is>
      </c>
      <c r="C132" s="3" t="n">
        <v>46053</v>
      </c>
      <c r="D132" s="2" t="inlineStr">
        <is>
          <t>A07912612</t>
        </is>
      </c>
      <c r="E132" s="2" t="inlineStr">
        <is>
          <t>Prótesis Bi…</t>
        </is>
      </c>
      <c r="F132" s="2" t="n">
        <v>4988278</v>
      </c>
      <c r="G132" s="4" t="n">
        <v>464.11</v>
      </c>
      <c r="H132" s="3" t="n">
        <v>46050</v>
      </c>
      <c r="I132" s="3" t="n">
        <v>46221</v>
      </c>
      <c r="J132" s="2" t="n">
        <v>52</v>
      </c>
      <c r="K132" s="2" t="n">
        <v>23.92</v>
      </c>
      <c r="L132" s="2" t="n">
        <v>0.52</v>
      </c>
      <c r="M132" s="4" t="n">
        <v>2.41</v>
      </c>
      <c r="N132" s="4" t="n">
        <v>16.04</v>
      </c>
      <c r="O132" s="2" t="n">
        <v>50</v>
      </c>
      <c r="P132" s="4" t="n">
        <v>1.45</v>
      </c>
      <c r="Q132" s="4" t="n">
        <v>7.88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Oro</t>
        </is>
      </c>
      <c r="B133" s="2" t="inlineStr">
        <is>
          <t>Blanco</t>
        </is>
      </c>
      <c r="C133" s="3" t="n">
        <v>46053</v>
      </c>
      <c r="D133" s="2" t="inlineStr">
        <is>
          <t>A63044454</t>
        </is>
      </c>
      <c r="E133" s="2" t="inlineStr">
        <is>
          <t>Inoxidables…</t>
        </is>
      </c>
      <c r="F133" s="2" t="n">
        <v>4657439</v>
      </c>
      <c r="G133" s="4" t="n">
        <v>584.13</v>
      </c>
      <c r="H133" s="3" t="n">
        <v>46028</v>
      </c>
      <c r="I133" s="3" t="n">
        <v>46168</v>
      </c>
      <c r="J133" s="2" t="n">
        <v>48</v>
      </c>
      <c r="K133" s="2" t="n">
        <v>32.65</v>
      </c>
      <c r="L133" s="2" t="n">
        <v>2.27</v>
      </c>
      <c r="M133" s="4" t="n">
        <v>13.26</v>
      </c>
      <c r="N133" s="4" t="n">
        <v>25.43</v>
      </c>
      <c r="O133" s="2" t="n">
        <v>70</v>
      </c>
      <c r="P133" s="4" t="n">
        <v>8.99</v>
      </c>
      <c r="Q133" s="4" t="n">
        <v>17.65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Oro</t>
        </is>
      </c>
      <c r="B134" s="2" t="inlineStr">
        <is>
          <t>Blanco</t>
        </is>
      </c>
      <c r="C134" s="3" t="n">
        <v>46053</v>
      </c>
      <c r="D134" s="2" t="inlineStr">
        <is>
          <t>A55374284</t>
        </is>
      </c>
      <c r="E134" s="2" t="inlineStr">
        <is>
          <t>Oleicos Im…</t>
        </is>
      </c>
      <c r="F134" s="2" t="n">
        <v>3208482</v>
      </c>
      <c r="G134" s="4" t="n">
        <v>8469.92</v>
      </c>
      <c r="H134" s="3" t="n">
        <v>46030</v>
      </c>
      <c r="I134" s="3" t="n">
        <v>46140</v>
      </c>
      <c r="J134" s="2" t="n">
        <v>54</v>
      </c>
      <c r="K134" s="2" t="n">
        <v>35.87</v>
      </c>
      <c r="L134" s="2" t="n">
        <v>2.97</v>
      </c>
      <c r="M134" s="4" t="n">
        <v>251.56</v>
      </c>
      <c r="N134" s="4" t="n">
        <v>455.72</v>
      </c>
      <c r="O134" s="2" t="n">
        <v>40</v>
      </c>
      <c r="P134" s="4" t="n">
        <v>100.44</v>
      </c>
      <c r="Q134" s="4" t="n">
        <v>182.24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Oro</t>
        </is>
      </c>
      <c r="B135" s="2" t="inlineStr">
        <is>
          <t>Blanco</t>
        </is>
      </c>
      <c r="C135" s="3" t="n">
        <v>46053</v>
      </c>
      <c r="D135" s="2" t="inlineStr">
        <is>
          <t>B49497327</t>
        </is>
      </c>
      <c r="E135" s="2" t="inlineStr">
        <is>
          <t>Agroquímic…</t>
        </is>
      </c>
      <c r="F135" s="2" t="n">
        <v>4428076</v>
      </c>
      <c r="G135" s="4" t="n">
        <v>9378.1</v>
      </c>
      <c r="H135" s="3" t="n">
        <v>46029</v>
      </c>
      <c r="I135" s="3" t="n">
        <v>46219</v>
      </c>
      <c r="J135" s="2" t="n">
        <v>21</v>
      </c>
      <c r="K135" s="2" t="n">
        <v>49.44</v>
      </c>
      <c r="L135" s="2" t="n">
        <v>1.91</v>
      </c>
      <c r="M135" s="4" t="n">
        <v>179.12</v>
      </c>
      <c r="N135" s="4" t="n">
        <v>270.46</v>
      </c>
      <c r="O135" s="2" t="n">
        <v>60</v>
      </c>
      <c r="P135" s="4" t="n">
        <v>107.56</v>
      </c>
      <c r="Q135" s="4" t="n">
        <v>162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Oro</t>
        </is>
      </c>
      <c r="B136" s="2" t="inlineStr">
        <is>
          <t>Blanco</t>
        </is>
      </c>
      <c r="C136" s="3" t="n">
        <v>46053</v>
      </c>
      <c r="D136" s="2" t="inlineStr">
        <is>
          <t>B47657785</t>
        </is>
      </c>
      <c r="E136" s="2" t="inlineStr">
        <is>
          <t>Residuos C…</t>
        </is>
      </c>
      <c r="F136" s="2" t="n">
        <v>2236896</v>
      </c>
      <c r="G136" s="4" t="n">
        <v>372.43</v>
      </c>
      <c r="H136" s="3" t="n">
        <v>46035</v>
      </c>
      <c r="I136" s="3" t="n">
        <v>46209</v>
      </c>
      <c r="J136" s="2" t="n">
        <v>63</v>
      </c>
      <c r="K136" s="2" t="n">
        <v>25.58</v>
      </c>
      <c r="L136" s="2" t="n">
        <v>2.08</v>
      </c>
      <c r="M136" s="4" t="n">
        <v>7.75</v>
      </c>
      <c r="N136" s="4" t="n">
        <v>16.67</v>
      </c>
      <c r="O136" s="2" t="n">
        <v>70</v>
      </c>
      <c r="P136" s="4" t="n">
        <v>5.29</v>
      </c>
      <c r="Q136" s="4" t="n">
        <v>11.64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Oro</t>
        </is>
      </c>
      <c r="B137" s="2" t="inlineStr">
        <is>
          <t>Blanco</t>
        </is>
      </c>
      <c r="C137" s="3" t="n">
        <v>46053</v>
      </c>
      <c r="D137" s="2" t="inlineStr">
        <is>
          <t>B50766877</t>
        </is>
      </c>
      <c r="E137" s="2" t="inlineStr">
        <is>
          <t>Depuracion…</t>
        </is>
      </c>
      <c r="F137" s="2" t="n">
        <v>3606810</v>
      </c>
      <c r="G137" s="4" t="n">
        <v>3126.02</v>
      </c>
      <c r="H137" s="3" t="n">
        <v>46042</v>
      </c>
      <c r="I137" s="3" t="n">
        <v>46076</v>
      </c>
      <c r="J137" s="2" t="n">
        <v>85</v>
      </c>
      <c r="K137" s="2" t="n">
        <v>41.39</v>
      </c>
      <c r="L137" s="2" t="n">
        <v>1.08</v>
      </c>
      <c r="M137" s="4" t="n">
        <v>33.76</v>
      </c>
      <c r="N137" s="4" t="n">
        <v>305.49</v>
      </c>
      <c r="O137" s="2" t="n">
        <v>70</v>
      </c>
      <c r="P137" s="4" t="n">
        <v>23.48</v>
      </c>
      <c r="Q137" s="4" t="n">
        <v>214.11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Oro</t>
        </is>
      </c>
      <c r="B138" s="2" t="inlineStr">
        <is>
          <t>Blanco</t>
        </is>
      </c>
      <c r="C138" s="3" t="n">
        <v>46053</v>
      </c>
      <c r="D138" s="2" t="inlineStr">
        <is>
          <t>A63625900</t>
        </is>
      </c>
      <c r="E138" s="2" t="inlineStr">
        <is>
          <t>Alcalis Sect…</t>
        </is>
      </c>
      <c r="F138" s="2" t="n">
        <v>3143499</v>
      </c>
      <c r="G138" s="4" t="n">
        <v>391.25</v>
      </c>
      <c r="H138" s="3" t="n">
        <v>46044</v>
      </c>
      <c r="I138" s="3" t="n">
        <v>46207</v>
      </c>
      <c r="J138" s="2" t="n">
        <v>27</v>
      </c>
      <c r="K138" s="2" t="n">
        <v>33</v>
      </c>
      <c r="L138" s="2" t="n">
        <v>2.89</v>
      </c>
      <c r="M138" s="4" t="n">
        <v>11.31</v>
      </c>
      <c r="N138" s="4" t="n">
        <v>9.68</v>
      </c>
      <c r="O138" s="2" t="n">
        <v>30</v>
      </c>
      <c r="P138" s="4" t="n">
        <v>3.19</v>
      </c>
      <c r="Q138" s="4" t="n">
        <v>2.8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Oro</t>
        </is>
      </c>
      <c r="B139" s="2" t="inlineStr">
        <is>
          <t>Blanco</t>
        </is>
      </c>
      <c r="C139" s="3" t="n">
        <v>46053</v>
      </c>
      <c r="D139" s="2" t="inlineStr">
        <is>
          <t>B38637782</t>
        </is>
      </c>
      <c r="E139" s="2" t="inlineStr">
        <is>
          <t>Ejes Antioxi…</t>
        </is>
      </c>
      <c r="F139" s="2" t="n">
        <v>3134867</v>
      </c>
      <c r="G139" s="4" t="n">
        <v>523.22</v>
      </c>
      <c r="H139" s="3" t="n">
        <v>46040</v>
      </c>
      <c r="I139" s="3" t="n">
        <v>46131</v>
      </c>
      <c r="J139" s="2" t="n">
        <v>56</v>
      </c>
      <c r="K139" s="2" t="n">
        <v>15.23</v>
      </c>
      <c r="L139" s="2" t="n">
        <v>1.2</v>
      </c>
      <c r="M139" s="4" t="n">
        <v>6.28</v>
      </c>
      <c r="N139" s="4" t="n">
        <v>12.4</v>
      </c>
      <c r="O139" s="2" t="n">
        <v>50</v>
      </c>
      <c r="P139" s="4" t="n">
        <v>3.25</v>
      </c>
      <c r="Q139" s="4" t="n">
        <v>6.08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Oro</t>
        </is>
      </c>
      <c r="B140" s="2" t="inlineStr">
        <is>
          <t>Blanco</t>
        </is>
      </c>
      <c r="C140" s="3" t="n">
        <v>46053</v>
      </c>
      <c r="D140" s="2" t="inlineStr">
        <is>
          <t>B57999838</t>
        </is>
      </c>
      <c r="E140" s="2" t="inlineStr">
        <is>
          <t>Módulos M…</t>
        </is>
      </c>
      <c r="F140" s="2" t="n">
        <v>4148222</v>
      </c>
      <c r="G140" s="4" t="n">
        <v>192.13</v>
      </c>
      <c r="H140" s="3" t="n">
        <v>46033</v>
      </c>
      <c r="I140" s="3" t="n">
        <v>46102</v>
      </c>
      <c r="J140" s="2" t="n">
        <v>74</v>
      </c>
      <c r="K140" s="2" t="n">
        <v>13.05</v>
      </c>
      <c r="L140" s="2" t="n">
        <v>2.06</v>
      </c>
      <c r="M140" s="4" t="n">
        <v>3.96</v>
      </c>
      <c r="N140" s="4" t="n">
        <v>5.15</v>
      </c>
      <c r="O140" s="2" t="n">
        <v>20</v>
      </c>
      <c r="P140" s="4" t="n">
        <v>0.97</v>
      </c>
      <c r="Q140" s="4" t="n">
        <v>0.99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Oro</t>
        </is>
      </c>
      <c r="B141" s="2" t="inlineStr">
        <is>
          <t>Blanco</t>
        </is>
      </c>
      <c r="C141" s="3" t="n">
        <v>46053</v>
      </c>
      <c r="D141" s="2" t="inlineStr">
        <is>
          <t>A79905621</t>
        </is>
      </c>
      <c r="E141" s="2" t="inlineStr">
        <is>
          <t>Mieles Mag…</t>
        </is>
      </c>
      <c r="F141" s="2" t="n">
        <v>1015808</v>
      </c>
      <c r="G141" s="4" t="n">
        <v>680.12</v>
      </c>
      <c r="H141" s="3" t="n">
        <v>46029</v>
      </c>
      <c r="I141" s="3" t="n">
        <v>46115</v>
      </c>
      <c r="J141" s="2" t="n">
        <v>69</v>
      </c>
      <c r="K141" s="2" t="n">
        <v>37.03</v>
      </c>
      <c r="L141" s="2" t="n">
        <v>1.69</v>
      </c>
      <c r="M141" s="4" t="n">
        <v>11.49</v>
      </c>
      <c r="N141" s="4" t="n">
        <v>48.27</v>
      </c>
      <c r="O141" s="2" t="n">
        <v>70</v>
      </c>
      <c r="P141" s="4" t="n">
        <v>7.96</v>
      </c>
      <c r="Q141" s="4" t="n">
        <v>33.9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Oro</t>
        </is>
      </c>
      <c r="B142" s="2" t="inlineStr">
        <is>
          <t>Blanco</t>
        </is>
      </c>
      <c r="C142" s="3" t="n">
        <v>46053</v>
      </c>
      <c r="D142" s="2" t="inlineStr">
        <is>
          <t>A15378741</t>
        </is>
      </c>
      <c r="E142" s="2" t="inlineStr">
        <is>
          <t>Matrices A…</t>
        </is>
      </c>
      <c r="F142" s="2" t="n">
        <v>2421633</v>
      </c>
      <c r="G142" s="4" t="n">
        <v>3983.62</v>
      </c>
      <c r="H142" s="3" t="n">
        <v>46047</v>
      </c>
      <c r="I142" s="3" t="n">
        <v>46060</v>
      </c>
      <c r="J142" s="2" t="n">
        <v>66</v>
      </c>
      <c r="K142" s="2" t="n">
        <v>41.47</v>
      </c>
      <c r="L142" s="2" t="n">
        <v>1.39</v>
      </c>
      <c r="M142" s="4" t="n">
        <v>55.37</v>
      </c>
      <c r="N142" s="4" t="n">
        <v>302.87</v>
      </c>
      <c r="O142" s="2" t="n">
        <v>30</v>
      </c>
      <c r="P142" s="4" t="n">
        <v>16.81</v>
      </c>
      <c r="Q142" s="4" t="n">
        <v>90.84999999999999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Oro</t>
        </is>
      </c>
      <c r="B143" s="2" t="inlineStr">
        <is>
          <t>Blanco</t>
        </is>
      </c>
      <c r="C143" s="3" t="n">
        <v>46053</v>
      </c>
      <c r="D143" s="2" t="inlineStr">
        <is>
          <t>A05163125</t>
        </is>
      </c>
      <c r="E143" s="2" t="inlineStr">
        <is>
          <t>Palets Igníf…</t>
        </is>
      </c>
      <c r="F143" s="2" t="n">
        <v>1369810</v>
      </c>
      <c r="G143" s="4" t="n">
        <v>411.82</v>
      </c>
      <c r="H143" s="3" t="n">
        <v>46033</v>
      </c>
      <c r="I143" s="3" t="n">
        <v>46070</v>
      </c>
      <c r="J143" s="2" t="n">
        <v>53</v>
      </c>
      <c r="K143" s="2" t="n">
        <v>26.81</v>
      </c>
      <c r="L143" s="2" t="n">
        <v>1.81</v>
      </c>
      <c r="M143" s="4" t="n">
        <v>7.45</v>
      </c>
      <c r="N143" s="4" t="n">
        <v>16.25</v>
      </c>
      <c r="O143" s="2" t="n">
        <v>50</v>
      </c>
      <c r="P143" s="4" t="n">
        <v>3.95</v>
      </c>
      <c r="Q143" s="4" t="n">
        <v>8.31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Oro</t>
        </is>
      </c>
      <c r="B144" s="2" t="inlineStr">
        <is>
          <t>Blanco</t>
        </is>
      </c>
      <c r="C144" s="3" t="n">
        <v>46053</v>
      </c>
      <c r="D144" s="2" t="inlineStr">
        <is>
          <t>A57243039</t>
        </is>
      </c>
      <c r="E144" s="2" t="inlineStr">
        <is>
          <t>Aluminios…</t>
        </is>
      </c>
      <c r="F144" s="2" t="n">
        <v>3470750</v>
      </c>
      <c r="G144" s="4" t="n">
        <v>626.37</v>
      </c>
      <c r="H144" s="3" t="n">
        <v>46033</v>
      </c>
      <c r="I144" s="3" t="n">
        <v>46055</v>
      </c>
      <c r="J144" s="2" t="n">
        <v>40</v>
      </c>
      <c r="K144" s="2" t="n">
        <v>23.26</v>
      </c>
      <c r="L144" s="2" t="n">
        <v>2.83</v>
      </c>
      <c r="M144" s="4" t="n">
        <v>17.73</v>
      </c>
      <c r="N144" s="4" t="n">
        <v>16.19</v>
      </c>
      <c r="O144" s="2" t="n">
        <v>70</v>
      </c>
      <c r="P144" s="4" t="n">
        <v>12.45</v>
      </c>
      <c r="Q144" s="4" t="n">
        <v>11.14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Oro</t>
        </is>
      </c>
      <c r="B145" s="2" t="inlineStr">
        <is>
          <t>Blanco</t>
        </is>
      </c>
      <c r="C145" s="3" t="n">
        <v>46053</v>
      </c>
      <c r="D145" s="2" t="inlineStr">
        <is>
          <t>A76431470</t>
        </is>
      </c>
      <c r="E145" s="2" t="inlineStr">
        <is>
          <t>Algodones…</t>
        </is>
      </c>
      <c r="F145" s="2" t="n">
        <v>3289405</v>
      </c>
      <c r="G145" s="4" t="n">
        <v>125.47</v>
      </c>
      <c r="H145" s="3" t="n">
        <v>46039</v>
      </c>
      <c r="I145" s="3" t="n">
        <v>46071</v>
      </c>
      <c r="J145" s="2" t="n">
        <v>28</v>
      </c>
      <c r="K145" s="2" t="n">
        <v>24.33</v>
      </c>
      <c r="L145" s="2" t="n">
        <v>0.9399999999999999</v>
      </c>
      <c r="M145" s="4" t="n">
        <v>1.18</v>
      </c>
      <c r="N145" s="4" t="n">
        <v>2.37</v>
      </c>
      <c r="O145" s="2" t="n">
        <v>60</v>
      </c>
      <c r="P145" s="4" t="n">
        <v>0.85</v>
      </c>
      <c r="Q145" s="4" t="n">
        <v>1.13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Oro</t>
        </is>
      </c>
      <c r="B146" s="2" t="inlineStr">
        <is>
          <t>Blanco</t>
        </is>
      </c>
      <c r="C146" s="3" t="n">
        <v>46053</v>
      </c>
      <c r="D146" s="2" t="inlineStr">
        <is>
          <t>B02008883</t>
        </is>
      </c>
      <c r="E146" s="2" t="inlineStr">
        <is>
          <t>Excipientes…</t>
        </is>
      </c>
      <c r="F146" s="2" t="n">
        <v>4593131</v>
      </c>
      <c r="G146" s="4" t="n">
        <v>338.96</v>
      </c>
      <c r="H146" s="3" t="n">
        <v>46039</v>
      </c>
      <c r="I146" s="3" t="n">
        <v>46054</v>
      </c>
      <c r="J146" s="2" t="n">
        <v>72</v>
      </c>
      <c r="K146" s="2" t="n">
        <v>24.98</v>
      </c>
      <c r="L146" s="2" t="n">
        <v>0.77</v>
      </c>
      <c r="M146" s="4" t="n">
        <v>2.61</v>
      </c>
      <c r="N146" s="4" t="n">
        <v>16.93</v>
      </c>
      <c r="O146" s="2" t="n">
        <v>70</v>
      </c>
      <c r="P146" s="4" t="n">
        <v>1.7</v>
      </c>
      <c r="Q146" s="4" t="n">
        <v>11.96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Oro</t>
        </is>
      </c>
      <c r="B147" s="2" t="inlineStr">
        <is>
          <t>Blanco</t>
        </is>
      </c>
      <c r="C147" s="3" t="n">
        <v>46053</v>
      </c>
      <c r="D147" s="2" t="inlineStr">
        <is>
          <t>A48932627</t>
        </is>
      </c>
      <c r="E147" s="2" t="inlineStr">
        <is>
          <t>Depósitos…</t>
        </is>
      </c>
      <c r="F147" s="2" t="n">
        <v>4622037</v>
      </c>
      <c r="G147" s="4" t="n">
        <v>662.12</v>
      </c>
      <c r="H147" s="3" t="n">
        <v>46033</v>
      </c>
      <c r="I147" s="3" t="n">
        <v>46062</v>
      </c>
      <c r="J147" s="2" t="n">
        <v>26</v>
      </c>
      <c r="K147" s="2" t="n">
        <v>28.57</v>
      </c>
      <c r="L147" s="2" t="n">
        <v>2.41</v>
      </c>
      <c r="M147" s="4" t="n">
        <v>15.96</v>
      </c>
      <c r="N147" s="4" t="n">
        <v>13.66</v>
      </c>
      <c r="O147" s="2" t="n">
        <v>50</v>
      </c>
      <c r="P147" s="4" t="n">
        <v>8.06</v>
      </c>
      <c r="Q147" s="4" t="n">
        <v>6.94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Oro</t>
        </is>
      </c>
      <c r="B148" s="2" t="inlineStr">
        <is>
          <t>Blanco</t>
        </is>
      </c>
      <c r="C148" s="3" t="n">
        <v>46053</v>
      </c>
      <c r="D148" s="2" t="inlineStr">
        <is>
          <t>A93784332</t>
        </is>
      </c>
      <c r="E148" s="2" t="inlineStr">
        <is>
          <t>Biogases C…</t>
        </is>
      </c>
      <c r="F148" s="2" t="n">
        <v>2359027</v>
      </c>
      <c r="G148" s="4" t="n">
        <v>4335.38</v>
      </c>
      <c r="H148" s="3" t="n">
        <v>46032</v>
      </c>
      <c r="I148" s="3" t="n">
        <v>46218</v>
      </c>
      <c r="J148" s="2" t="n">
        <v>76</v>
      </c>
      <c r="K148" s="2" t="n">
        <v>38.54</v>
      </c>
      <c r="L148" s="2" t="n">
        <v>1.57</v>
      </c>
      <c r="M148" s="4" t="n">
        <v>68.06999999999999</v>
      </c>
      <c r="N148" s="4" t="n">
        <v>352.74</v>
      </c>
      <c r="O148" s="2" t="n">
        <v>50</v>
      </c>
      <c r="P148" s="4" t="n">
        <v>34.31</v>
      </c>
      <c r="Q148" s="4" t="n">
        <v>176.41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Oro</t>
        </is>
      </c>
      <c r="B149" s="2" t="inlineStr">
        <is>
          <t>Blanco</t>
        </is>
      </c>
      <c r="C149" s="3" t="n">
        <v>46053</v>
      </c>
      <c r="D149" s="2" t="inlineStr">
        <is>
          <t>B91460171</t>
        </is>
      </c>
      <c r="E149" s="2" t="inlineStr">
        <is>
          <t>Reactivos…</t>
        </is>
      </c>
      <c r="F149" s="2" t="n">
        <v>2911521</v>
      </c>
      <c r="G149" s="4" t="n">
        <v>610.01</v>
      </c>
      <c r="H149" s="3" t="n">
        <v>46048</v>
      </c>
      <c r="I149" s="3" t="n">
        <v>46088</v>
      </c>
      <c r="J149" s="2" t="n">
        <v>62</v>
      </c>
      <c r="K149" s="2" t="n">
        <v>24.51</v>
      </c>
      <c r="L149" s="2" t="n">
        <v>2.58</v>
      </c>
      <c r="M149" s="4" t="n">
        <v>15.74</v>
      </c>
      <c r="N149" s="4" t="n">
        <v>25.75</v>
      </c>
      <c r="O149" s="2" t="n">
        <v>70</v>
      </c>
      <c r="P149" s="4" t="n">
        <v>10.74</v>
      </c>
      <c r="Q149" s="4" t="n">
        <v>18.22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Oro</t>
        </is>
      </c>
      <c r="B150" s="2" t="inlineStr">
        <is>
          <t>Blanco</t>
        </is>
      </c>
      <c r="C150" s="3" t="n">
        <v>46053</v>
      </c>
      <c r="D150" s="2" t="inlineStr">
        <is>
          <t>B84562652</t>
        </is>
      </c>
      <c r="E150" s="2" t="inlineStr">
        <is>
          <t>Telas Mold…</t>
        </is>
      </c>
      <c r="F150" s="2" t="n">
        <v>2076211</v>
      </c>
      <c r="G150" s="4" t="n">
        <v>9838.16</v>
      </c>
      <c r="H150" s="3" t="n">
        <v>46047</v>
      </c>
      <c r="I150" s="3" t="n">
        <v>46089</v>
      </c>
      <c r="J150" s="2" t="n">
        <v>72</v>
      </c>
      <c r="K150" s="2" t="n">
        <v>26.23</v>
      </c>
      <c r="L150" s="2" t="n">
        <v>2.15</v>
      </c>
      <c r="M150" s="4" t="n">
        <v>211.52</v>
      </c>
      <c r="N150" s="4" t="n">
        <v>516.11</v>
      </c>
      <c r="O150" s="2" t="n">
        <v>20</v>
      </c>
      <c r="P150" s="4" t="n">
        <v>42.34</v>
      </c>
      <c r="Q150" s="4" t="n">
        <v>103.33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Oro</t>
        </is>
      </c>
      <c r="B151" s="2" t="inlineStr">
        <is>
          <t>Blanco</t>
        </is>
      </c>
      <c r="C151" s="3" t="n">
        <v>46053</v>
      </c>
      <c r="D151" s="2" t="inlineStr">
        <is>
          <t>A91563398</t>
        </is>
      </c>
      <c r="E151" s="2" t="inlineStr">
        <is>
          <t>Relés Cro…</t>
        </is>
      </c>
      <c r="F151" s="2" t="n">
        <v>4871193</v>
      </c>
      <c r="G151" s="4" t="n">
        <v>394.87</v>
      </c>
      <c r="H151" s="3" t="n">
        <v>46035</v>
      </c>
      <c r="I151" s="3" t="n">
        <v>46184</v>
      </c>
      <c r="J151" s="2" t="n">
        <v>83</v>
      </c>
      <c r="K151" s="2" t="n">
        <v>37.54</v>
      </c>
      <c r="L151" s="2" t="n">
        <v>0.89</v>
      </c>
      <c r="M151" s="4" t="n">
        <v>3.51</v>
      </c>
      <c r="N151" s="4" t="n">
        <v>34.18</v>
      </c>
      <c r="O151" s="2" t="n">
        <v>20</v>
      </c>
      <c r="P151" s="4" t="n">
        <v>0.91</v>
      </c>
      <c r="Q151" s="4" t="n">
        <v>6.85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Oro</t>
        </is>
      </c>
      <c r="B152" s="2" t="inlineStr">
        <is>
          <t>Blanco</t>
        </is>
      </c>
      <c r="C152" s="3" t="n">
        <v>46053</v>
      </c>
      <c r="D152" s="2" t="inlineStr">
        <is>
          <t>A28635458</t>
        </is>
      </c>
      <c r="E152" s="2" t="inlineStr">
        <is>
          <t>Datos Cant…</t>
        </is>
      </c>
      <c r="F152" s="2" t="n">
        <v>2926622</v>
      </c>
      <c r="G152" s="4" t="n">
        <v>855.58</v>
      </c>
      <c r="H152" s="3" t="n">
        <v>46050</v>
      </c>
      <c r="I152" s="3" t="n">
        <v>46199</v>
      </c>
      <c r="J152" s="2" t="n">
        <v>83</v>
      </c>
      <c r="K152" s="2" t="n">
        <v>26.83</v>
      </c>
      <c r="L152" s="2" t="n">
        <v>2.06</v>
      </c>
      <c r="M152" s="4" t="n">
        <v>17.62</v>
      </c>
      <c r="N152" s="4" t="n">
        <v>52.92</v>
      </c>
      <c r="O152" s="2" t="n">
        <v>20</v>
      </c>
      <c r="P152" s="4" t="n">
        <v>3.24</v>
      </c>
      <c r="Q152" s="4" t="n">
        <v>10.43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Oro</t>
        </is>
      </c>
      <c r="B153" s="2" t="inlineStr">
        <is>
          <t>Blanco</t>
        </is>
      </c>
      <c r="C153" s="3" t="n">
        <v>46053</v>
      </c>
      <c r="D153" s="2" t="inlineStr">
        <is>
          <t>B30225175</t>
        </is>
      </c>
      <c r="E153" s="2" t="inlineStr">
        <is>
          <t>Aguas Exte…</t>
        </is>
      </c>
      <c r="F153" s="2" t="n">
        <v>3605551</v>
      </c>
      <c r="G153" s="4" t="n">
        <v>167.82</v>
      </c>
      <c r="H153" s="3" t="n">
        <v>46041</v>
      </c>
      <c r="I153" s="3" t="n">
        <v>46068</v>
      </c>
      <c r="J153" s="2" t="n">
        <v>46</v>
      </c>
      <c r="K153" s="2" t="n">
        <v>15.29</v>
      </c>
      <c r="L153" s="2" t="n">
        <v>2.91</v>
      </c>
      <c r="M153" s="4" t="n">
        <v>4.88</v>
      </c>
      <c r="N153" s="4" t="n">
        <v>3.28</v>
      </c>
      <c r="O153" s="2" t="n">
        <v>30</v>
      </c>
      <c r="P153" s="4" t="n">
        <v>1.67</v>
      </c>
      <c r="Q153" s="4" t="n">
        <v>0.76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Oro</t>
        </is>
      </c>
      <c r="B154" s="2" t="inlineStr">
        <is>
          <t>Blanco</t>
        </is>
      </c>
      <c r="C154" s="3" t="n">
        <v>46053</v>
      </c>
      <c r="D154" s="2" t="inlineStr">
        <is>
          <t>A84834649</t>
        </is>
      </c>
      <c r="E154" s="2" t="inlineStr">
        <is>
          <t>Poliésteres…</t>
        </is>
      </c>
      <c r="F154" s="2" t="n">
        <v>4497010</v>
      </c>
      <c r="G154" s="4" t="n">
        <v>922.86</v>
      </c>
      <c r="H154" s="3" t="n">
        <v>46042</v>
      </c>
      <c r="I154" s="3" t="n">
        <v>46181</v>
      </c>
      <c r="J154" s="2" t="n">
        <v>77</v>
      </c>
      <c r="K154" s="2" t="n">
        <v>24.72</v>
      </c>
      <c r="L154" s="2" t="n">
        <v>1.44</v>
      </c>
      <c r="M154" s="4" t="n">
        <v>13.29</v>
      </c>
      <c r="N154" s="4" t="n">
        <v>48.79</v>
      </c>
      <c r="O154" s="2" t="n">
        <v>70</v>
      </c>
      <c r="P154" s="4" t="n">
        <v>9.449999999999999</v>
      </c>
      <c r="Q154" s="4" t="n">
        <v>33.89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Oro</t>
        </is>
      </c>
      <c r="B155" s="2" t="inlineStr">
        <is>
          <t>Blanco</t>
        </is>
      </c>
      <c r="C155" s="3" t="n">
        <v>46053</v>
      </c>
      <c r="D155" s="2" t="inlineStr">
        <is>
          <t>A12267650</t>
        </is>
      </c>
      <c r="E155" s="2" t="inlineStr">
        <is>
          <t>Rectificado…</t>
        </is>
      </c>
      <c r="F155" s="2" t="n">
        <v>3886095</v>
      </c>
      <c r="G155" s="4" t="n">
        <v>873.17</v>
      </c>
      <c r="H155" s="3" t="n">
        <v>46050</v>
      </c>
      <c r="I155" s="3" t="n">
        <v>46108</v>
      </c>
      <c r="J155" s="2" t="n">
        <v>24</v>
      </c>
      <c r="K155" s="2" t="n">
        <v>18.2</v>
      </c>
      <c r="L155" s="2" t="n">
        <v>1.87</v>
      </c>
      <c r="M155" s="4" t="n">
        <v>16.33</v>
      </c>
      <c r="N155" s="4" t="n">
        <v>10.59</v>
      </c>
      <c r="O155" s="2" t="n">
        <v>60</v>
      </c>
      <c r="P155" s="4" t="n">
        <v>9.9</v>
      </c>
      <c r="Q155" s="4" t="n">
        <v>6.59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Oro</t>
        </is>
      </c>
      <c r="B156" s="2" t="inlineStr">
        <is>
          <t>Blanco</t>
        </is>
      </c>
      <c r="C156" s="3" t="n">
        <v>46053</v>
      </c>
      <c r="D156" s="2" t="inlineStr">
        <is>
          <t>B13416158</t>
        </is>
      </c>
      <c r="E156" s="2" t="inlineStr">
        <is>
          <t>Resistencia…</t>
        </is>
      </c>
      <c r="F156" s="2" t="n">
        <v>2888488</v>
      </c>
      <c r="G156" s="4" t="n">
        <v>375.25</v>
      </c>
      <c r="H156" s="3" t="n">
        <v>46040</v>
      </c>
      <c r="I156" s="3" t="n">
        <v>46170</v>
      </c>
      <c r="J156" s="2" t="n">
        <v>46</v>
      </c>
      <c r="K156" s="2" t="n">
        <v>28.78</v>
      </c>
      <c r="L156" s="2" t="n">
        <v>0.95</v>
      </c>
      <c r="M156" s="4" t="n">
        <v>3.56</v>
      </c>
      <c r="N156" s="4" t="n">
        <v>13.8</v>
      </c>
      <c r="O156" s="2" t="n">
        <v>40</v>
      </c>
      <c r="P156" s="4" t="n">
        <v>1.3</v>
      </c>
      <c r="Q156" s="4" t="n">
        <v>5.28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Oro</t>
        </is>
      </c>
      <c r="B157" s="2" t="inlineStr">
        <is>
          <t>Blanco</t>
        </is>
      </c>
      <c r="C157" s="3" t="n">
        <v>46053</v>
      </c>
      <c r="D157" s="2" t="inlineStr">
        <is>
          <t>A89762365</t>
        </is>
      </c>
      <c r="E157" s="2" t="inlineStr">
        <is>
          <t>Canalizacio…</t>
        </is>
      </c>
      <c r="F157" s="2" t="n">
        <v>2506553</v>
      </c>
      <c r="G157" s="4" t="n">
        <v>9909.59</v>
      </c>
      <c r="H157" s="3" t="n">
        <v>46050</v>
      </c>
      <c r="I157" s="3" t="n">
        <v>46127</v>
      </c>
      <c r="J157" s="2" t="n">
        <v>24</v>
      </c>
      <c r="K157" s="2" t="n">
        <v>43.2</v>
      </c>
      <c r="L157" s="2" t="n">
        <v>2.77</v>
      </c>
      <c r="M157" s="4" t="n">
        <v>274.5</v>
      </c>
      <c r="N157" s="4" t="n">
        <v>285.4</v>
      </c>
      <c r="O157" s="2" t="n">
        <v>70</v>
      </c>
      <c r="P157" s="4" t="n">
        <v>192.3</v>
      </c>
      <c r="Q157" s="4" t="n">
        <v>199.8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Oro</t>
        </is>
      </c>
      <c r="B158" s="2" t="inlineStr">
        <is>
          <t>Blanco</t>
        </is>
      </c>
      <c r="C158" s="3" t="n">
        <v>46053</v>
      </c>
      <c r="D158" s="2" t="inlineStr">
        <is>
          <t>B61028814</t>
        </is>
      </c>
      <c r="E158" s="2" t="inlineStr">
        <is>
          <t>Sacos Her…</t>
        </is>
      </c>
      <c r="F158" s="2" t="n">
        <v>4333694</v>
      </c>
      <c r="G158" s="4" t="n">
        <v>9238.799999999999</v>
      </c>
      <c r="H158" s="3" t="n">
        <v>46023</v>
      </c>
      <c r="I158" s="3" t="n">
        <v>46193</v>
      </c>
      <c r="J158" s="2" t="n">
        <v>82</v>
      </c>
      <c r="K158" s="2" t="n">
        <v>44.09</v>
      </c>
      <c r="L158" s="2" t="n">
        <v>1.61</v>
      </c>
      <c r="M158" s="4" t="n">
        <v>148.74</v>
      </c>
      <c r="N158" s="4" t="n">
        <v>927.83</v>
      </c>
      <c r="O158" s="2" t="n">
        <v>40</v>
      </c>
      <c r="P158" s="4" t="n">
        <v>59.39</v>
      </c>
      <c r="Q158" s="4" t="n">
        <v>371.14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Oro</t>
        </is>
      </c>
      <c r="B159" s="2" t="inlineStr">
        <is>
          <t>Blanco</t>
        </is>
      </c>
      <c r="C159" s="3" t="n">
        <v>46053</v>
      </c>
      <c r="D159" s="2" t="inlineStr">
        <is>
          <t>B26594886</t>
        </is>
      </c>
      <c r="E159" s="2" t="inlineStr">
        <is>
          <t>Autocares…</t>
        </is>
      </c>
      <c r="F159" s="2" t="n">
        <v>4685896</v>
      </c>
      <c r="G159" s="4" t="n">
        <v>992.27</v>
      </c>
      <c r="H159" s="3" t="n">
        <v>46037</v>
      </c>
      <c r="I159" s="3" t="n">
        <v>46217</v>
      </c>
      <c r="J159" s="2" t="n">
        <v>41</v>
      </c>
      <c r="K159" s="2" t="n">
        <v>42.95</v>
      </c>
      <c r="L159" s="2" t="n">
        <v>2.66</v>
      </c>
      <c r="M159" s="4" t="n">
        <v>26.39</v>
      </c>
      <c r="N159" s="4" t="n">
        <v>48.54</v>
      </c>
      <c r="O159" s="2" t="n">
        <v>60</v>
      </c>
      <c r="P159" s="4" t="n">
        <v>16.11</v>
      </c>
      <c r="Q159" s="4" t="n">
        <v>29.17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Oro</t>
        </is>
      </c>
      <c r="B160" s="2" t="inlineStr">
        <is>
          <t>Blanco</t>
        </is>
      </c>
      <c r="C160" s="3" t="n">
        <v>46053</v>
      </c>
      <c r="D160" s="2" t="inlineStr">
        <is>
          <t>B36150061</t>
        </is>
      </c>
      <c r="E160" s="2" t="inlineStr">
        <is>
          <t>Juntas Per…</t>
        </is>
      </c>
      <c r="F160" s="2" t="n">
        <v>1478958</v>
      </c>
      <c r="G160" s="4" t="n">
        <v>933.78</v>
      </c>
      <c r="H160" s="3" t="n">
        <v>46023</v>
      </c>
      <c r="I160" s="3" t="n">
        <v>46060</v>
      </c>
      <c r="J160" s="2" t="n">
        <v>74</v>
      </c>
      <c r="K160" s="2" t="n">
        <v>23.28</v>
      </c>
      <c r="L160" s="2" t="n">
        <v>2.38</v>
      </c>
      <c r="M160" s="4" t="n">
        <v>22.22</v>
      </c>
      <c r="N160" s="4" t="n">
        <v>44.68</v>
      </c>
      <c r="O160" s="2" t="n">
        <v>50</v>
      </c>
      <c r="P160" s="4" t="n">
        <v>11.14</v>
      </c>
      <c r="Q160" s="4" t="n">
        <v>22.5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Oro</t>
        </is>
      </c>
      <c r="B161" s="2" t="inlineStr">
        <is>
          <t>Blanco</t>
        </is>
      </c>
      <c r="C161" s="3" t="n">
        <v>46053</v>
      </c>
      <c r="D161" s="2" t="inlineStr">
        <is>
          <t>A30783339</t>
        </is>
      </c>
      <c r="E161" s="2" t="inlineStr">
        <is>
          <t>Gestiones…</t>
        </is>
      </c>
      <c r="F161" s="2" t="n">
        <v>3067373</v>
      </c>
      <c r="G161" s="4" t="n">
        <v>276.13</v>
      </c>
      <c r="H161" s="3" t="n">
        <v>46042</v>
      </c>
      <c r="I161" s="3" t="n">
        <v>46101</v>
      </c>
      <c r="J161" s="2" t="n">
        <v>63</v>
      </c>
      <c r="K161" s="2" t="n">
        <v>17.22</v>
      </c>
      <c r="L161" s="2" t="n">
        <v>0.9</v>
      </c>
      <c r="M161" s="4" t="n">
        <v>2.49</v>
      </c>
      <c r="N161" s="4" t="n">
        <v>8.32</v>
      </c>
      <c r="O161" s="2" t="n">
        <v>20</v>
      </c>
      <c r="P161" s="4" t="n">
        <v>0.32</v>
      </c>
      <c r="Q161" s="4" t="n">
        <v>1.73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Oro</t>
        </is>
      </c>
      <c r="B162" s="2" t="inlineStr">
        <is>
          <t>Blanco</t>
        </is>
      </c>
      <c r="C162" s="3" t="n">
        <v>46053</v>
      </c>
      <c r="D162" s="2" t="inlineStr">
        <is>
          <t>A12373125</t>
        </is>
      </c>
      <c r="E162" s="2" t="inlineStr">
        <is>
          <t>Tejas Com…</t>
        </is>
      </c>
      <c r="F162" s="2" t="n">
        <v>3388181</v>
      </c>
      <c r="G162" s="4" t="n">
        <v>9476.940000000001</v>
      </c>
      <c r="H162" s="3" t="n">
        <v>46045</v>
      </c>
      <c r="I162" s="3" t="n">
        <v>46101</v>
      </c>
      <c r="J162" s="2" t="n">
        <v>21</v>
      </c>
      <c r="K162" s="2" t="n">
        <v>48.91</v>
      </c>
      <c r="L162" s="2" t="n">
        <v>2</v>
      </c>
      <c r="M162" s="4" t="n">
        <v>189.54</v>
      </c>
      <c r="N162" s="4" t="n">
        <v>270.38</v>
      </c>
      <c r="O162" s="2" t="n">
        <v>40</v>
      </c>
      <c r="P162" s="4" t="n">
        <v>75.53</v>
      </c>
      <c r="Q162" s="4" t="n">
        <v>108.03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Oro</t>
        </is>
      </c>
      <c r="B163" s="2" t="inlineStr">
        <is>
          <t>Blanco</t>
        </is>
      </c>
      <c r="C163" s="3" t="n">
        <v>46053</v>
      </c>
      <c r="D163" s="2" t="inlineStr">
        <is>
          <t>B80087530</t>
        </is>
      </c>
      <c r="E163" s="2" t="inlineStr">
        <is>
          <t>Convertidor…</t>
        </is>
      </c>
      <c r="F163" s="2" t="n">
        <v>1231265</v>
      </c>
      <c r="G163" s="4" t="n">
        <v>313.62</v>
      </c>
      <c r="H163" s="3" t="n">
        <v>46036</v>
      </c>
      <c r="I163" s="3" t="n">
        <v>46164</v>
      </c>
      <c r="J163" s="2" t="n">
        <v>22</v>
      </c>
      <c r="K163" s="2" t="n">
        <v>37.95</v>
      </c>
      <c r="L163" s="2" t="n">
        <v>0.52</v>
      </c>
      <c r="M163" s="4" t="n">
        <v>1.63</v>
      </c>
      <c r="N163" s="4" t="n">
        <v>7.27</v>
      </c>
      <c r="O163" s="2" t="n">
        <v>60</v>
      </c>
      <c r="P163" s="4" t="n">
        <v>0.74</v>
      </c>
      <c r="Q163" s="4" t="n">
        <v>4.48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Oro</t>
        </is>
      </c>
      <c r="B164" s="2" t="inlineStr">
        <is>
          <t>Blanco</t>
        </is>
      </c>
      <c r="C164" s="3" t="n">
        <v>46053</v>
      </c>
      <c r="D164" s="2" t="inlineStr">
        <is>
          <t>B13092319</t>
        </is>
      </c>
      <c r="E164" s="2" t="inlineStr">
        <is>
          <t>Granitos Es…</t>
        </is>
      </c>
      <c r="F164" s="2" t="n">
        <v>3630699</v>
      </c>
      <c r="G164" s="4" t="n">
        <v>556.16</v>
      </c>
      <c r="H164" s="3" t="n">
        <v>46036</v>
      </c>
      <c r="I164" s="3" t="n">
        <v>46065</v>
      </c>
      <c r="J164" s="2" t="n">
        <v>79</v>
      </c>
      <c r="K164" s="2" t="n">
        <v>44.24</v>
      </c>
      <c r="L164" s="2" t="n">
        <v>2.36</v>
      </c>
      <c r="M164" s="4" t="n">
        <v>13.13</v>
      </c>
      <c r="N164" s="4" t="n">
        <v>53.99</v>
      </c>
      <c r="O164" s="2" t="n">
        <v>60</v>
      </c>
      <c r="P164" s="4" t="n">
        <v>8.109999999999999</v>
      </c>
      <c r="Q164" s="4" t="n">
        <v>32.15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Oro</t>
        </is>
      </c>
      <c r="B165" s="2" t="inlineStr">
        <is>
          <t>Blanco</t>
        </is>
      </c>
      <c r="C165" s="3" t="n">
        <v>46053</v>
      </c>
      <c r="D165" s="2" t="inlineStr">
        <is>
          <t>B18749690</t>
        </is>
      </c>
      <c r="E165" s="2" t="inlineStr">
        <is>
          <t>Tinturas Ex…</t>
        </is>
      </c>
      <c r="F165" s="2" t="n">
        <v>3575183</v>
      </c>
      <c r="G165" s="4" t="n">
        <v>824.53</v>
      </c>
      <c r="H165" s="3" t="n">
        <v>46031</v>
      </c>
      <c r="I165" s="3" t="n">
        <v>46063</v>
      </c>
      <c r="J165" s="2" t="n">
        <v>54</v>
      </c>
      <c r="K165" s="2" t="n">
        <v>17.29</v>
      </c>
      <c r="L165" s="2" t="n">
        <v>2.76</v>
      </c>
      <c r="M165" s="4" t="n">
        <v>22.76</v>
      </c>
      <c r="N165" s="4" t="n">
        <v>21.38</v>
      </c>
      <c r="O165" s="2" t="n">
        <v>30</v>
      </c>
      <c r="P165" s="4" t="n">
        <v>6.75</v>
      </c>
      <c r="Q165" s="4" t="n">
        <v>6.57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Oro</t>
        </is>
      </c>
      <c r="B166" s="2" t="inlineStr">
        <is>
          <t>Blanco</t>
        </is>
      </c>
      <c r="C166" s="3" t="n">
        <v>46053</v>
      </c>
      <c r="D166" s="2" t="inlineStr">
        <is>
          <t>B41164557</t>
        </is>
      </c>
      <c r="E166" s="2" t="inlineStr">
        <is>
          <t>Transporte…</t>
        </is>
      </c>
      <c r="F166" s="2" t="n">
        <v>3698119</v>
      </c>
      <c r="G166" s="4" t="n">
        <v>737.52</v>
      </c>
      <c r="H166" s="3" t="n">
        <v>46045</v>
      </c>
      <c r="I166" s="3" t="n">
        <v>46165</v>
      </c>
      <c r="J166" s="2" t="n">
        <v>88</v>
      </c>
      <c r="K166" s="2" t="n">
        <v>35.5</v>
      </c>
      <c r="L166" s="2" t="n">
        <v>1</v>
      </c>
      <c r="M166" s="4" t="n">
        <v>7.38</v>
      </c>
      <c r="N166" s="4" t="n">
        <v>64</v>
      </c>
      <c r="O166" s="2" t="n">
        <v>70</v>
      </c>
      <c r="P166" s="4" t="n">
        <v>5.43</v>
      </c>
      <c r="Q166" s="4" t="n">
        <v>44.63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Oro</t>
        </is>
      </c>
      <c r="B167" s="2" t="inlineStr">
        <is>
          <t>Blanco</t>
        </is>
      </c>
      <c r="C167" s="3" t="n">
        <v>46053</v>
      </c>
      <c r="D167" s="2" t="inlineStr">
        <is>
          <t>B84562652</t>
        </is>
      </c>
      <c r="E167" s="2" t="inlineStr">
        <is>
          <t>Telas Mold…</t>
        </is>
      </c>
      <c r="F167" s="2" t="n">
        <v>4424639</v>
      </c>
      <c r="G167" s="4" t="n">
        <v>824.8200000000001</v>
      </c>
      <c r="H167" s="3" t="n">
        <v>46023</v>
      </c>
      <c r="I167" s="3" t="n">
        <v>46075</v>
      </c>
      <c r="J167" s="2" t="n">
        <v>66</v>
      </c>
      <c r="K167" s="2" t="n">
        <v>26.31</v>
      </c>
      <c r="L167" s="2" t="n">
        <v>2.64</v>
      </c>
      <c r="M167" s="4" t="n">
        <v>21.78</v>
      </c>
      <c r="N167" s="4" t="n">
        <v>39.79</v>
      </c>
      <c r="O167" s="2" t="n">
        <v>40</v>
      </c>
      <c r="P167" s="4" t="n">
        <v>8.98</v>
      </c>
      <c r="Q167" s="4" t="n">
        <v>15.73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Oro</t>
        </is>
      </c>
      <c r="B168" s="2" t="inlineStr">
        <is>
          <t>Blanco</t>
        </is>
      </c>
      <c r="C168" s="3" t="n">
        <v>46053</v>
      </c>
      <c r="D168" s="2" t="inlineStr">
        <is>
          <t>A20181491</t>
        </is>
      </c>
      <c r="E168" s="2" t="inlineStr">
        <is>
          <t>Fitosanitari…</t>
        </is>
      </c>
      <c r="F168" s="2" t="n">
        <v>3117727</v>
      </c>
      <c r="G168" s="4" t="n">
        <v>524.23</v>
      </c>
      <c r="H168" s="3" t="n">
        <v>46046</v>
      </c>
      <c r="I168" s="3" t="n">
        <v>46091</v>
      </c>
      <c r="J168" s="2" t="n">
        <v>68</v>
      </c>
      <c r="K168" s="2" t="n">
        <v>44.48</v>
      </c>
      <c r="L168" s="2" t="n">
        <v>0.58</v>
      </c>
      <c r="M168" s="4" t="n">
        <v>3.04</v>
      </c>
      <c r="N168" s="4" t="n">
        <v>44.04</v>
      </c>
      <c r="O168" s="2" t="n">
        <v>40</v>
      </c>
      <c r="P168" s="4" t="n">
        <v>1.2</v>
      </c>
      <c r="Q168" s="4" t="n">
        <v>17.57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Oro</t>
        </is>
      </c>
      <c r="B169" s="2" t="inlineStr">
        <is>
          <t>Blanco</t>
        </is>
      </c>
      <c r="C169" s="3" t="n">
        <v>46053</v>
      </c>
      <c r="D169" s="2" t="inlineStr">
        <is>
          <t>A91178584</t>
        </is>
      </c>
      <c r="E169" s="2" t="inlineStr">
        <is>
          <t>Circuitos S…</t>
        </is>
      </c>
      <c r="F169" s="2" t="n">
        <v>3445404</v>
      </c>
      <c r="G169" s="4" t="n">
        <v>9564.530000000001</v>
      </c>
      <c r="H169" s="3" t="n">
        <v>46044</v>
      </c>
      <c r="I169" s="3" t="n">
        <v>46064</v>
      </c>
      <c r="J169" s="2" t="n">
        <v>17</v>
      </c>
      <c r="K169" s="2" t="n">
        <v>14.03</v>
      </c>
      <c r="L169" s="2" t="n">
        <v>2.42</v>
      </c>
      <c r="M169" s="4" t="n">
        <v>231.46</v>
      </c>
      <c r="N169" s="4" t="n">
        <v>63.37</v>
      </c>
      <c r="O169" s="2" t="n">
        <v>50</v>
      </c>
      <c r="P169" s="4" t="n">
        <v>115.59</v>
      </c>
      <c r="Q169" s="4" t="n">
        <v>31.73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Oro</t>
        </is>
      </c>
      <c r="B170" s="2" t="inlineStr">
        <is>
          <t>Blanco</t>
        </is>
      </c>
      <c r="C170" s="3" t="n">
        <v>46053</v>
      </c>
      <c r="D170" s="2" t="inlineStr">
        <is>
          <t>B97433996</t>
        </is>
      </c>
      <c r="E170" s="2" t="inlineStr">
        <is>
          <t>Galvanizad…</t>
        </is>
      </c>
      <c r="F170" s="2" t="n">
        <v>1342019</v>
      </c>
      <c r="G170" s="4" t="n">
        <v>1747.82</v>
      </c>
      <c r="H170" s="3" t="n">
        <v>46031</v>
      </c>
      <c r="I170" s="3" t="n">
        <v>46181</v>
      </c>
      <c r="J170" s="2" t="n">
        <v>56</v>
      </c>
      <c r="K170" s="2" t="n">
        <v>49.7</v>
      </c>
      <c r="L170" s="2" t="n">
        <v>2.54</v>
      </c>
      <c r="M170" s="4" t="n">
        <v>44.39</v>
      </c>
      <c r="N170" s="4" t="n">
        <v>135.13</v>
      </c>
      <c r="O170" s="2" t="n">
        <v>60</v>
      </c>
      <c r="P170" s="4" t="n">
        <v>26.48</v>
      </c>
      <c r="Q170" s="4" t="n">
        <v>80.81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Oro</t>
        </is>
      </c>
      <c r="B171" s="2" t="inlineStr">
        <is>
          <t>Blanco</t>
        </is>
      </c>
      <c r="C171" s="3" t="n">
        <v>46053</v>
      </c>
      <c r="D171" s="2" t="inlineStr">
        <is>
          <t>A12267650</t>
        </is>
      </c>
      <c r="E171" s="2" t="inlineStr">
        <is>
          <t>Rectificado…</t>
        </is>
      </c>
      <c r="F171" s="2" t="n">
        <v>4758155</v>
      </c>
      <c r="G171" s="4" t="n">
        <v>587.37</v>
      </c>
      <c r="H171" s="3" t="n">
        <v>46024</v>
      </c>
      <c r="I171" s="3" t="n">
        <v>46208</v>
      </c>
      <c r="J171" s="2" t="n">
        <v>53</v>
      </c>
      <c r="K171" s="2" t="n">
        <v>16.79</v>
      </c>
      <c r="L171" s="2" t="n">
        <v>2.14</v>
      </c>
      <c r="M171" s="4" t="n">
        <v>12.57</v>
      </c>
      <c r="N171" s="4" t="n">
        <v>14.52</v>
      </c>
      <c r="O171" s="2" t="n">
        <v>60</v>
      </c>
      <c r="P171" s="4" t="n">
        <v>7.39</v>
      </c>
      <c r="Q171" s="4" t="n">
        <v>8.779999999999999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Oro</t>
        </is>
      </c>
      <c r="B172" s="2" t="inlineStr">
        <is>
          <t>Blanco</t>
        </is>
      </c>
      <c r="C172" s="3" t="n">
        <v>46053</v>
      </c>
      <c r="D172" s="2" t="inlineStr">
        <is>
          <t>A38325722</t>
        </is>
      </c>
      <c r="E172" s="2" t="inlineStr">
        <is>
          <t>Siliconas O…</t>
        </is>
      </c>
      <c r="F172" s="2" t="n">
        <v>2050203</v>
      </c>
      <c r="G172" s="4" t="n">
        <v>604.09</v>
      </c>
      <c r="H172" s="3" t="n">
        <v>46032</v>
      </c>
      <c r="I172" s="3" t="n">
        <v>46095</v>
      </c>
      <c r="J172" s="2" t="n">
        <v>36</v>
      </c>
      <c r="K172" s="2" t="n">
        <v>31.39</v>
      </c>
      <c r="L172" s="2" t="n">
        <v>2.12</v>
      </c>
      <c r="M172" s="4" t="n">
        <v>12.81</v>
      </c>
      <c r="N172" s="4" t="n">
        <v>18.96</v>
      </c>
      <c r="O172" s="2" t="n">
        <v>70</v>
      </c>
      <c r="P172" s="4" t="n">
        <v>9.140000000000001</v>
      </c>
      <c r="Q172" s="4" t="n">
        <v>13.06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Oro</t>
        </is>
      </c>
      <c r="B173" s="2" t="inlineStr">
        <is>
          <t>Blanco</t>
        </is>
      </c>
      <c r="C173" s="3" t="n">
        <v>46053</v>
      </c>
      <c r="D173" s="2" t="inlineStr">
        <is>
          <t>A37843869</t>
        </is>
      </c>
      <c r="E173" s="2" t="inlineStr">
        <is>
          <t>Tornillos Lo…</t>
        </is>
      </c>
      <c r="F173" s="2" t="n">
        <v>3500936</v>
      </c>
      <c r="G173" s="4" t="n">
        <v>710.64</v>
      </c>
      <c r="H173" s="3" t="n">
        <v>46048</v>
      </c>
      <c r="I173" s="3" t="n">
        <v>46115</v>
      </c>
      <c r="J173" s="2" t="n">
        <v>42</v>
      </c>
      <c r="K173" s="2" t="n">
        <v>15.35</v>
      </c>
      <c r="L173" s="2" t="n">
        <v>1.84</v>
      </c>
      <c r="M173" s="4" t="n">
        <v>13.08</v>
      </c>
      <c r="N173" s="4" t="n">
        <v>12.73</v>
      </c>
      <c r="O173" s="2" t="n">
        <v>50</v>
      </c>
      <c r="P173" s="4" t="n">
        <v>6.49</v>
      </c>
      <c r="Q173" s="4" t="n">
        <v>6.47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Oro</t>
        </is>
      </c>
      <c r="B174" s="2" t="inlineStr">
        <is>
          <t>Blanco</t>
        </is>
      </c>
      <c r="C174" s="3" t="n">
        <v>46053</v>
      </c>
      <c r="D174" s="2" t="inlineStr">
        <is>
          <t>A40186320</t>
        </is>
      </c>
      <c r="E174" s="2" t="inlineStr">
        <is>
          <t>Resistencia…</t>
        </is>
      </c>
      <c r="F174" s="2" t="n">
        <v>1916975</v>
      </c>
      <c r="G174" s="4" t="n">
        <v>851.58</v>
      </c>
      <c r="H174" s="3" t="n">
        <v>46043</v>
      </c>
      <c r="I174" s="3" t="n">
        <v>46097</v>
      </c>
      <c r="J174" s="2" t="n">
        <v>75</v>
      </c>
      <c r="K174" s="2" t="n">
        <v>18.65</v>
      </c>
      <c r="L174" s="2" t="n">
        <v>1.4</v>
      </c>
      <c r="M174" s="4" t="n">
        <v>11.92</v>
      </c>
      <c r="N174" s="4" t="n">
        <v>33.09</v>
      </c>
      <c r="O174" s="2" t="n">
        <v>50</v>
      </c>
      <c r="P174" s="4" t="n">
        <v>6.16</v>
      </c>
      <c r="Q174" s="4" t="n">
        <v>16.68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Oro</t>
        </is>
      </c>
      <c r="B175" s="2" t="inlineStr">
        <is>
          <t>Blanco</t>
        </is>
      </c>
      <c r="C175" s="3" t="n">
        <v>46053</v>
      </c>
      <c r="D175" s="2" t="inlineStr">
        <is>
          <t>A30756925</t>
        </is>
      </c>
      <c r="E175" s="2" t="inlineStr">
        <is>
          <t>Talcos Dor…</t>
        </is>
      </c>
      <c r="F175" s="2" t="n">
        <v>1792541</v>
      </c>
      <c r="G175" s="4" t="n">
        <v>3573.29</v>
      </c>
      <c r="H175" s="3" t="n">
        <v>46040</v>
      </c>
      <c r="I175" s="3" t="n">
        <v>46116</v>
      </c>
      <c r="J175" s="2" t="n">
        <v>52</v>
      </c>
      <c r="K175" s="2" t="n">
        <v>29.13</v>
      </c>
      <c r="L175" s="2" t="n">
        <v>2.02</v>
      </c>
      <c r="M175" s="4" t="n">
        <v>72.18000000000001</v>
      </c>
      <c r="N175" s="4" t="n">
        <v>150.35</v>
      </c>
      <c r="O175" s="2" t="n">
        <v>50</v>
      </c>
      <c r="P175" s="4" t="n">
        <v>35.99</v>
      </c>
      <c r="Q175" s="4" t="n">
        <v>75.02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Oro</t>
        </is>
      </c>
      <c r="B176" s="2" t="inlineStr">
        <is>
          <t>Blanco</t>
        </is>
      </c>
      <c r="C176" s="3" t="n">
        <v>46053</v>
      </c>
      <c r="D176" s="2" t="inlineStr">
        <is>
          <t>A14358012</t>
        </is>
      </c>
      <c r="E176" s="2" t="inlineStr">
        <is>
          <t>Tejidos Sat…</t>
        </is>
      </c>
      <c r="F176" s="2" t="n">
        <v>3067736</v>
      </c>
      <c r="G176" s="4" t="n">
        <v>479.66</v>
      </c>
      <c r="H176" s="3" t="n">
        <v>46048</v>
      </c>
      <c r="I176" s="3" t="n">
        <v>46219</v>
      </c>
      <c r="J176" s="2" t="n">
        <v>72</v>
      </c>
      <c r="K176" s="2" t="n">
        <v>12.2</v>
      </c>
      <c r="L176" s="2" t="n">
        <v>2.44</v>
      </c>
      <c r="M176" s="4" t="n">
        <v>11.7</v>
      </c>
      <c r="N176" s="4" t="n">
        <v>11.7</v>
      </c>
      <c r="O176" s="2" t="n">
        <v>70</v>
      </c>
      <c r="P176" s="4" t="n">
        <v>8.25</v>
      </c>
      <c r="Q176" s="4" t="n">
        <v>8.49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Oro</t>
        </is>
      </c>
      <c r="B177" s="2" t="inlineStr">
        <is>
          <t>Blanco</t>
        </is>
      </c>
      <c r="C177" s="3" t="n">
        <v>46053</v>
      </c>
      <c r="D177" s="2" t="inlineStr">
        <is>
          <t>B86599173</t>
        </is>
      </c>
      <c r="E177" s="2" t="inlineStr">
        <is>
          <t>Certificacio…</t>
        </is>
      </c>
      <c r="F177" s="2" t="n">
        <v>2039991</v>
      </c>
      <c r="G177" s="4" t="n">
        <v>8759.299999999999</v>
      </c>
      <c r="H177" s="3" t="n">
        <v>46027</v>
      </c>
      <c r="I177" s="3" t="n">
        <v>46168</v>
      </c>
      <c r="J177" s="2" t="n">
        <v>81</v>
      </c>
      <c r="K177" s="2" t="n">
        <v>31.47</v>
      </c>
      <c r="L177" s="2" t="n">
        <v>0.96</v>
      </c>
      <c r="M177" s="4" t="n">
        <v>84.09</v>
      </c>
      <c r="N177" s="4" t="n">
        <v>620.22</v>
      </c>
      <c r="O177" s="2" t="n">
        <v>70</v>
      </c>
      <c r="P177" s="4" t="n">
        <v>58.98</v>
      </c>
      <c r="Q177" s="4" t="n">
        <v>434.24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Oro</t>
        </is>
      </c>
      <c r="B178" s="2" t="inlineStr">
        <is>
          <t>Blanco</t>
        </is>
      </c>
      <c r="C178" s="3" t="n">
        <v>46053</v>
      </c>
      <c r="D178" s="2" t="inlineStr">
        <is>
          <t>A69716470</t>
        </is>
      </c>
      <c r="E178" s="2" t="inlineStr">
        <is>
          <t>Morteros G…</t>
        </is>
      </c>
      <c r="F178" s="2" t="n">
        <v>3128212</v>
      </c>
      <c r="G178" s="4" t="n">
        <v>353.85</v>
      </c>
      <c r="H178" s="3" t="n">
        <v>46028</v>
      </c>
      <c r="I178" s="3" t="n">
        <v>46184</v>
      </c>
      <c r="J178" s="2" t="n">
        <v>17</v>
      </c>
      <c r="K178" s="2" t="n">
        <v>19.46</v>
      </c>
      <c r="L178" s="2" t="n">
        <v>1.82</v>
      </c>
      <c r="M178" s="4" t="n">
        <v>6.44</v>
      </c>
      <c r="N178" s="4" t="n">
        <v>3.25</v>
      </c>
      <c r="O178" s="2" t="n">
        <v>30</v>
      </c>
      <c r="P178" s="4" t="n">
        <v>1.85</v>
      </c>
      <c r="Q178" s="4" t="n">
        <v>1.04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Oro</t>
        </is>
      </c>
      <c r="B179" s="2" t="inlineStr">
        <is>
          <t>Blanco</t>
        </is>
      </c>
      <c r="C179" s="3" t="n">
        <v>46053</v>
      </c>
      <c r="D179" s="2" t="inlineStr">
        <is>
          <t>B82570616</t>
        </is>
      </c>
      <c r="E179" s="2" t="inlineStr">
        <is>
          <t>Colorantes…</t>
        </is>
      </c>
      <c r="F179" s="2" t="n">
        <v>2281957</v>
      </c>
      <c r="G179" s="4" t="n">
        <v>453.15</v>
      </c>
      <c r="H179" s="3" t="n">
        <v>46049</v>
      </c>
      <c r="I179" s="3" t="n">
        <v>46137</v>
      </c>
      <c r="J179" s="2" t="n">
        <v>46</v>
      </c>
      <c r="K179" s="2" t="n">
        <v>43.68</v>
      </c>
      <c r="L179" s="2" t="n">
        <v>1.11</v>
      </c>
      <c r="M179" s="4" t="n">
        <v>5.03</v>
      </c>
      <c r="N179" s="4" t="n">
        <v>25.29</v>
      </c>
      <c r="O179" s="2" t="n">
        <v>50</v>
      </c>
      <c r="P179" s="4" t="n">
        <v>2.71</v>
      </c>
      <c r="Q179" s="4" t="n">
        <v>12.78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Oro</t>
        </is>
      </c>
      <c r="B180" s="2" t="inlineStr">
        <is>
          <t>Blanco</t>
        </is>
      </c>
      <c r="C180" s="3" t="n">
        <v>46053</v>
      </c>
      <c r="D180" s="2" t="inlineStr">
        <is>
          <t>A64935709</t>
        </is>
      </c>
      <c r="E180" s="2" t="inlineStr">
        <is>
          <t>Inductores…</t>
        </is>
      </c>
      <c r="F180" s="2" t="n">
        <v>4777096</v>
      </c>
      <c r="G180" s="4" t="n">
        <v>9641.870000000001</v>
      </c>
      <c r="H180" s="3" t="n">
        <v>46046</v>
      </c>
      <c r="I180" s="3" t="n">
        <v>46230</v>
      </c>
      <c r="J180" s="2" t="n">
        <v>10</v>
      </c>
      <c r="K180" s="2" t="n">
        <v>32.47</v>
      </c>
      <c r="L180" s="2" t="n">
        <v>2.63</v>
      </c>
      <c r="M180" s="4" t="n">
        <v>253.58</v>
      </c>
      <c r="N180" s="4" t="n">
        <v>86.95999999999999</v>
      </c>
      <c r="O180" s="2" t="n">
        <v>70</v>
      </c>
      <c r="P180" s="4" t="n">
        <v>177.4</v>
      </c>
      <c r="Q180" s="4" t="n">
        <v>60.89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Oro</t>
        </is>
      </c>
      <c r="B181" s="2" t="inlineStr">
        <is>
          <t>Blanco</t>
        </is>
      </c>
      <c r="C181" s="3" t="n">
        <v>46053</v>
      </c>
      <c r="D181" s="2" t="inlineStr">
        <is>
          <t>A81058085</t>
        </is>
      </c>
      <c r="E181" s="2" t="inlineStr">
        <is>
          <t>Cárnicos Pr…</t>
        </is>
      </c>
      <c r="F181" s="2" t="n">
        <v>2431258</v>
      </c>
      <c r="G181" s="4" t="n">
        <v>819.45</v>
      </c>
      <c r="H181" s="3" t="n">
        <v>46029</v>
      </c>
      <c r="I181" s="3" t="n">
        <v>46086</v>
      </c>
      <c r="J181" s="2" t="n">
        <v>12</v>
      </c>
      <c r="K181" s="2" t="n">
        <v>37.58</v>
      </c>
      <c r="L181" s="2" t="n">
        <v>1.17</v>
      </c>
      <c r="M181" s="4" t="n">
        <v>9.59</v>
      </c>
      <c r="N181" s="4" t="n">
        <v>10.26</v>
      </c>
      <c r="O181" s="2" t="n">
        <v>60</v>
      </c>
      <c r="P181" s="4" t="n">
        <v>5.92</v>
      </c>
      <c r="Q181" s="4" t="n">
        <v>6.24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Oro</t>
        </is>
      </c>
      <c r="B182" s="2" t="inlineStr">
        <is>
          <t>Blanco</t>
        </is>
      </c>
      <c r="C182" s="3" t="n">
        <v>46053</v>
      </c>
      <c r="D182" s="2" t="inlineStr">
        <is>
          <t>A28175548</t>
        </is>
      </c>
      <c r="E182" s="2" t="inlineStr">
        <is>
          <t>Cementos…</t>
        </is>
      </c>
      <c r="F182" s="2" t="n">
        <v>1775226</v>
      </c>
      <c r="G182" s="4" t="n">
        <v>468.89</v>
      </c>
      <c r="H182" s="3" t="n">
        <v>46042</v>
      </c>
      <c r="I182" s="3" t="n">
        <v>46211</v>
      </c>
      <c r="J182" s="2" t="n">
        <v>61</v>
      </c>
      <c r="K182" s="2" t="n">
        <v>49.39</v>
      </c>
      <c r="L182" s="2" t="n">
        <v>1.87</v>
      </c>
      <c r="M182" s="4" t="n">
        <v>8.77</v>
      </c>
      <c r="N182" s="4" t="n">
        <v>39.24</v>
      </c>
      <c r="O182" s="2" t="n">
        <v>70</v>
      </c>
      <c r="P182" s="4" t="n">
        <v>5.92</v>
      </c>
      <c r="Q182" s="4" t="n">
        <v>27.75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Oro</t>
        </is>
      </c>
      <c r="B183" s="2" t="inlineStr">
        <is>
          <t>Blanco</t>
        </is>
      </c>
      <c r="C183" s="3" t="n">
        <v>46053</v>
      </c>
      <c r="D183" s="2" t="inlineStr">
        <is>
          <t>A29004650</t>
        </is>
      </c>
      <c r="E183" s="2" t="inlineStr">
        <is>
          <t>Automatiza…</t>
        </is>
      </c>
      <c r="F183" s="2" t="n">
        <v>4365725</v>
      </c>
      <c r="G183" s="4" t="n">
        <v>9105.360000000001</v>
      </c>
      <c r="H183" s="3" t="n">
        <v>46024</v>
      </c>
      <c r="I183" s="3" t="n">
        <v>46056</v>
      </c>
      <c r="J183" s="2" t="n">
        <v>17</v>
      </c>
      <c r="K183" s="2" t="n">
        <v>30.61</v>
      </c>
      <c r="L183" s="2" t="n">
        <v>2.01</v>
      </c>
      <c r="M183" s="4" t="n">
        <v>183.02</v>
      </c>
      <c r="N183" s="4" t="n">
        <v>131.62</v>
      </c>
      <c r="O183" s="2" t="n">
        <v>20</v>
      </c>
      <c r="P183" s="4" t="n">
        <v>36.47</v>
      </c>
      <c r="Q183" s="4" t="n">
        <v>26.2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Oro</t>
        </is>
      </c>
      <c r="B184" s="2" t="inlineStr">
        <is>
          <t>Blanco</t>
        </is>
      </c>
      <c r="C184" s="3" t="n">
        <v>46053</v>
      </c>
      <c r="D184" s="2" t="inlineStr">
        <is>
          <t>A33377985</t>
        </is>
      </c>
      <c r="E184" s="2" t="inlineStr">
        <is>
          <t>Entarimado…</t>
        </is>
      </c>
      <c r="F184" s="2" t="n">
        <v>2936637</v>
      </c>
      <c r="G184" s="4" t="n">
        <v>741.05</v>
      </c>
      <c r="H184" s="3" t="n">
        <v>46030</v>
      </c>
      <c r="I184" s="3" t="n">
        <v>46193</v>
      </c>
      <c r="J184" s="2" t="n">
        <v>78</v>
      </c>
      <c r="K184" s="2" t="n">
        <v>20.94</v>
      </c>
      <c r="L184" s="2" t="n">
        <v>1.43</v>
      </c>
      <c r="M184" s="4" t="n">
        <v>10.6</v>
      </c>
      <c r="N184" s="4" t="n">
        <v>33.62</v>
      </c>
      <c r="O184" s="2" t="n">
        <v>20</v>
      </c>
      <c r="P184" s="4" t="n">
        <v>2.13</v>
      </c>
      <c r="Q184" s="4" t="n">
        <v>6.84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Oro</t>
        </is>
      </c>
      <c r="B185" s="2" t="inlineStr">
        <is>
          <t>Blanco</t>
        </is>
      </c>
      <c r="C185" s="3" t="n">
        <v>46053</v>
      </c>
      <c r="D185" s="2" t="inlineStr">
        <is>
          <t>A04874614</t>
        </is>
      </c>
      <c r="E185" s="2" t="inlineStr">
        <is>
          <t>Aguas Refr…</t>
        </is>
      </c>
      <c r="F185" s="2" t="n">
        <v>4295817</v>
      </c>
      <c r="G185" s="4" t="n">
        <v>163.05</v>
      </c>
      <c r="H185" s="3" t="n">
        <v>46033</v>
      </c>
      <c r="I185" s="3" t="n">
        <v>46113</v>
      </c>
      <c r="J185" s="2" t="n">
        <v>20</v>
      </c>
      <c r="K185" s="2" t="n">
        <v>37.94</v>
      </c>
      <c r="L185" s="2" t="n">
        <v>2.99</v>
      </c>
      <c r="M185" s="4" t="n">
        <v>4.88</v>
      </c>
      <c r="N185" s="4" t="n">
        <v>3.44</v>
      </c>
      <c r="O185" s="2" t="n">
        <v>70</v>
      </c>
      <c r="P185" s="4" t="n">
        <v>3.43</v>
      </c>
      <c r="Q185" s="4" t="n">
        <v>2.15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Oro</t>
        </is>
      </c>
      <c r="B186" s="2" t="inlineStr">
        <is>
          <t>Blanco</t>
        </is>
      </c>
      <c r="C186" s="3" t="n">
        <v>46053</v>
      </c>
      <c r="D186" s="2" t="inlineStr">
        <is>
          <t>B00755270</t>
        </is>
      </c>
      <c r="E186" s="2" t="inlineStr">
        <is>
          <t>Bauxitas E…</t>
        </is>
      </c>
      <c r="F186" s="2" t="n">
        <v>4921241</v>
      </c>
      <c r="G186" s="4" t="n">
        <v>295.02</v>
      </c>
      <c r="H186" s="3" t="n">
        <v>46033</v>
      </c>
      <c r="I186" s="3" t="n">
        <v>46215</v>
      </c>
      <c r="J186" s="2" t="n">
        <v>25</v>
      </c>
      <c r="K186" s="2" t="n">
        <v>26.03</v>
      </c>
      <c r="L186" s="2" t="n">
        <v>1.29</v>
      </c>
      <c r="M186" s="4" t="n">
        <v>3.81</v>
      </c>
      <c r="N186" s="4" t="n">
        <v>5.33</v>
      </c>
      <c r="O186" s="2" t="n">
        <v>70</v>
      </c>
      <c r="P186" s="4" t="n">
        <v>2.91</v>
      </c>
      <c r="Q186" s="4" t="n">
        <v>3.81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Oro</t>
        </is>
      </c>
      <c r="B187" s="2" t="inlineStr">
        <is>
          <t>Blanco</t>
        </is>
      </c>
      <c r="C187" s="3" t="n">
        <v>46053</v>
      </c>
      <c r="D187" s="2" t="inlineStr">
        <is>
          <t>A14692669</t>
        </is>
      </c>
      <c r="E187" s="2" t="inlineStr">
        <is>
          <t>Principios…</t>
        </is>
      </c>
      <c r="F187" s="2" t="n">
        <v>1284344</v>
      </c>
      <c r="G187" s="4" t="n">
        <v>185.38</v>
      </c>
      <c r="H187" s="3" t="n">
        <v>46037</v>
      </c>
      <c r="I187" s="3" t="n">
        <v>46137</v>
      </c>
      <c r="J187" s="2" t="n">
        <v>70</v>
      </c>
      <c r="K187" s="2" t="n">
        <v>35.76</v>
      </c>
      <c r="L187" s="2" t="n">
        <v>2.38</v>
      </c>
      <c r="M187" s="4" t="n">
        <v>4.41</v>
      </c>
      <c r="N187" s="4" t="n">
        <v>12.89</v>
      </c>
      <c r="O187" s="2" t="n">
        <v>60</v>
      </c>
      <c r="P187" s="4" t="n">
        <v>2.71</v>
      </c>
      <c r="Q187" s="4" t="n">
        <v>7.53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Oro</t>
        </is>
      </c>
      <c r="B188" s="2" t="inlineStr">
        <is>
          <t>Blanco</t>
        </is>
      </c>
      <c r="C188" s="3" t="n">
        <v>46053</v>
      </c>
      <c r="D188" s="2" t="inlineStr">
        <is>
          <t>A12299195</t>
        </is>
      </c>
      <c r="E188" s="2" t="inlineStr">
        <is>
          <t>Licencias S…</t>
        </is>
      </c>
      <c r="F188" s="2" t="n">
        <v>3530901</v>
      </c>
      <c r="G188" s="4" t="n">
        <v>481.74</v>
      </c>
      <c r="H188" s="3" t="n">
        <v>46048</v>
      </c>
      <c r="I188" s="3" t="n">
        <v>46222</v>
      </c>
      <c r="J188" s="2" t="n">
        <v>65</v>
      </c>
      <c r="K188" s="2" t="n">
        <v>27.79</v>
      </c>
      <c r="L188" s="2" t="n">
        <v>2.88</v>
      </c>
      <c r="M188" s="4" t="n">
        <v>13.87</v>
      </c>
      <c r="N188" s="4" t="n">
        <v>24.17</v>
      </c>
      <c r="O188" s="2" t="n">
        <v>70</v>
      </c>
      <c r="P188" s="4" t="n">
        <v>9.98</v>
      </c>
      <c r="Q188" s="4" t="n">
        <v>17.12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Oro</t>
        </is>
      </c>
      <c r="B189" s="2" t="inlineStr">
        <is>
          <t>Blanco</t>
        </is>
      </c>
      <c r="C189" s="3" t="n">
        <v>46053</v>
      </c>
      <c r="D189" s="2" t="inlineStr">
        <is>
          <t>B55201000</t>
        </is>
      </c>
      <c r="E189" s="2" t="inlineStr">
        <is>
          <t>Cajas Gara…</t>
        </is>
      </c>
      <c r="F189" s="2" t="n">
        <v>3799045</v>
      </c>
      <c r="G189" s="4" t="n">
        <v>3052.68</v>
      </c>
      <c r="H189" s="3" t="n">
        <v>46049</v>
      </c>
      <c r="I189" s="3" t="n">
        <v>46161</v>
      </c>
      <c r="J189" s="2" t="n">
        <v>58</v>
      </c>
      <c r="K189" s="2" t="n">
        <v>18.07</v>
      </c>
      <c r="L189" s="2" t="n">
        <v>2.8</v>
      </c>
      <c r="M189" s="4" t="n">
        <v>85.48</v>
      </c>
      <c r="N189" s="4" t="n">
        <v>88.87</v>
      </c>
      <c r="O189" s="2" t="n">
        <v>70</v>
      </c>
      <c r="P189" s="4" t="n">
        <v>59.99</v>
      </c>
      <c r="Q189" s="4" t="n">
        <v>62.07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Oro</t>
        </is>
      </c>
      <c r="B190" s="2" t="inlineStr">
        <is>
          <t>Blanco</t>
        </is>
      </c>
      <c r="C190" s="3" t="n">
        <v>46053</v>
      </c>
      <c r="D190" s="2" t="inlineStr">
        <is>
          <t>B27562387</t>
        </is>
      </c>
      <c r="E190" s="2" t="inlineStr">
        <is>
          <t>Fermentos…</t>
        </is>
      </c>
      <c r="F190" s="2" t="n">
        <v>1925585</v>
      </c>
      <c r="G190" s="4" t="n">
        <v>366.15</v>
      </c>
      <c r="H190" s="3" t="n">
        <v>46048</v>
      </c>
      <c r="I190" s="3" t="n">
        <v>46060</v>
      </c>
      <c r="J190" s="2" t="n">
        <v>57</v>
      </c>
      <c r="K190" s="2" t="n">
        <v>42.16</v>
      </c>
      <c r="L190" s="2" t="n">
        <v>2.51</v>
      </c>
      <c r="M190" s="4" t="n">
        <v>9.19</v>
      </c>
      <c r="N190" s="4" t="n">
        <v>24.44</v>
      </c>
      <c r="O190" s="2" t="n">
        <v>50</v>
      </c>
      <c r="P190" s="4" t="n">
        <v>4.49</v>
      </c>
      <c r="Q190" s="4" t="n">
        <v>12.46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Oro</t>
        </is>
      </c>
      <c r="B191" s="2" t="inlineStr">
        <is>
          <t>Blanco</t>
        </is>
      </c>
      <c r="C191" s="3" t="n">
        <v>46053</v>
      </c>
      <c r="D191" s="2" t="inlineStr">
        <is>
          <t>A50920792</t>
        </is>
      </c>
      <c r="E191" s="2" t="inlineStr">
        <is>
          <t>Prefabricad…</t>
        </is>
      </c>
      <c r="F191" s="2" t="n">
        <v>3357784</v>
      </c>
      <c r="G191" s="4" t="n">
        <v>126.96</v>
      </c>
      <c r="H191" s="3" t="n">
        <v>46046</v>
      </c>
      <c r="I191" s="3" t="n">
        <v>46168</v>
      </c>
      <c r="J191" s="2" t="n">
        <v>42</v>
      </c>
      <c r="K191" s="2" t="n">
        <v>26.41</v>
      </c>
      <c r="L191" s="2" t="n">
        <v>0.63</v>
      </c>
      <c r="M191" s="4" t="n">
        <v>0.8</v>
      </c>
      <c r="N191" s="4" t="n">
        <v>3.91</v>
      </c>
      <c r="O191" s="2" t="n">
        <v>60</v>
      </c>
      <c r="P191" s="4" t="n">
        <v>0.5</v>
      </c>
      <c r="Q191" s="4" t="n">
        <v>2.49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Oro</t>
        </is>
      </c>
      <c r="B192" s="2" t="inlineStr">
        <is>
          <t>Blanco</t>
        </is>
      </c>
      <c r="C192" s="3" t="n">
        <v>46053</v>
      </c>
      <c r="D192" s="2" t="inlineStr">
        <is>
          <t>A76102814</t>
        </is>
      </c>
      <c r="E192" s="2" t="inlineStr">
        <is>
          <t>Tubulares…</t>
        </is>
      </c>
      <c r="F192" s="2" t="n">
        <v>1841805</v>
      </c>
      <c r="G192" s="4" t="n">
        <v>8252.700000000001</v>
      </c>
      <c r="H192" s="3" t="n">
        <v>46030</v>
      </c>
      <c r="I192" s="3" t="n">
        <v>46068</v>
      </c>
      <c r="J192" s="2" t="n">
        <v>74</v>
      </c>
      <c r="K192" s="2" t="n">
        <v>16.68</v>
      </c>
      <c r="L192" s="2" t="n">
        <v>0.72</v>
      </c>
      <c r="M192" s="4" t="n">
        <v>59.42</v>
      </c>
      <c r="N192" s="4" t="n">
        <v>282.96</v>
      </c>
      <c r="O192" s="2" t="n">
        <v>50</v>
      </c>
      <c r="P192" s="4" t="n">
        <v>30</v>
      </c>
      <c r="Q192" s="4" t="n">
        <v>141.68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Oro</t>
        </is>
      </c>
      <c r="B193" s="2" t="inlineStr">
        <is>
          <t>Blanco</t>
        </is>
      </c>
      <c r="C193" s="3" t="n">
        <v>46053</v>
      </c>
      <c r="D193" s="2" t="inlineStr">
        <is>
          <t>A73888019</t>
        </is>
      </c>
      <c r="E193" s="2" t="inlineStr">
        <is>
          <t>Fletes Sect…</t>
        </is>
      </c>
      <c r="F193" s="2" t="n">
        <v>2006727</v>
      </c>
      <c r="G193" s="4" t="n">
        <v>398.41</v>
      </c>
      <c r="H193" s="3" t="n">
        <v>46033</v>
      </c>
      <c r="I193" s="3" t="n">
        <v>46154</v>
      </c>
      <c r="J193" s="2" t="n">
        <v>31</v>
      </c>
      <c r="K193" s="2" t="n">
        <v>25</v>
      </c>
      <c r="L193" s="2" t="n">
        <v>2.6</v>
      </c>
      <c r="M193" s="4" t="n">
        <v>10.36</v>
      </c>
      <c r="N193" s="4" t="n">
        <v>8.58</v>
      </c>
      <c r="O193" s="2" t="n">
        <v>40</v>
      </c>
      <c r="P193" s="4" t="n">
        <v>4.33</v>
      </c>
      <c r="Q193" s="4" t="n">
        <v>3.7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Oro</t>
        </is>
      </c>
      <c r="B194" s="2" t="inlineStr">
        <is>
          <t>Blanco</t>
        </is>
      </c>
      <c r="C194" s="3" t="n">
        <v>46053</v>
      </c>
      <c r="D194" s="2" t="inlineStr">
        <is>
          <t>A20493835</t>
        </is>
      </c>
      <c r="E194" s="2" t="inlineStr">
        <is>
          <t>Controles…</t>
        </is>
      </c>
      <c r="F194" s="2" t="n">
        <v>3649652</v>
      </c>
      <c r="G194" s="4" t="n">
        <v>397.72</v>
      </c>
      <c r="H194" s="3" t="n">
        <v>46034</v>
      </c>
      <c r="I194" s="3" t="n">
        <v>46135</v>
      </c>
      <c r="J194" s="2" t="n">
        <v>89</v>
      </c>
      <c r="K194" s="2" t="n">
        <v>19.92</v>
      </c>
      <c r="L194" s="2" t="n">
        <v>0.53</v>
      </c>
      <c r="M194" s="4" t="n">
        <v>2.11</v>
      </c>
      <c r="N194" s="4" t="n">
        <v>19.59</v>
      </c>
      <c r="O194" s="2" t="n">
        <v>20</v>
      </c>
      <c r="P194" s="4" t="n">
        <v>0.18</v>
      </c>
      <c r="Q194" s="4" t="n">
        <v>3.64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Oro</t>
        </is>
      </c>
      <c r="B195" s="2" t="inlineStr">
        <is>
          <t>Blanco</t>
        </is>
      </c>
      <c r="C195" s="3" t="n">
        <v>46053</v>
      </c>
      <c r="D195" s="2" t="inlineStr">
        <is>
          <t>B18712656</t>
        </is>
      </c>
      <c r="E195" s="2" t="inlineStr">
        <is>
          <t>Hormigone…</t>
        </is>
      </c>
      <c r="F195" s="2" t="n">
        <v>2545323</v>
      </c>
      <c r="G195" s="4" t="n">
        <v>1786.99</v>
      </c>
      <c r="H195" s="3" t="n">
        <v>46029</v>
      </c>
      <c r="I195" s="3" t="n">
        <v>46125</v>
      </c>
      <c r="J195" s="2" t="n">
        <v>82</v>
      </c>
      <c r="K195" s="2" t="n">
        <v>45.65</v>
      </c>
      <c r="L195" s="2" t="n">
        <v>0.93</v>
      </c>
      <c r="M195" s="4" t="n">
        <v>16.62</v>
      </c>
      <c r="N195" s="4" t="n">
        <v>185.81</v>
      </c>
      <c r="O195" s="2" t="n">
        <v>40</v>
      </c>
      <c r="P195" s="4" t="n">
        <v>6.93</v>
      </c>
      <c r="Q195" s="4" t="n">
        <v>74.28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Oro</t>
        </is>
      </c>
      <c r="B196" s="2" t="inlineStr">
        <is>
          <t>Blanco</t>
        </is>
      </c>
      <c r="C196" s="3" t="n">
        <v>46053</v>
      </c>
      <c r="D196" s="2" t="inlineStr">
        <is>
          <t>A09361757</t>
        </is>
      </c>
      <c r="E196" s="2" t="inlineStr">
        <is>
          <t>Lacas Extr…</t>
        </is>
      </c>
      <c r="F196" s="2" t="n">
        <v>1392217</v>
      </c>
      <c r="G196" s="4" t="n">
        <v>431.51</v>
      </c>
      <c r="H196" s="3" t="n">
        <v>46025</v>
      </c>
      <c r="I196" s="3" t="n">
        <v>46061</v>
      </c>
      <c r="J196" s="2" t="n">
        <v>39</v>
      </c>
      <c r="K196" s="2" t="n">
        <v>11.61</v>
      </c>
      <c r="L196" s="2" t="n">
        <v>1.48</v>
      </c>
      <c r="M196" s="4" t="n">
        <v>6.39</v>
      </c>
      <c r="N196" s="4" t="n">
        <v>5.43</v>
      </c>
      <c r="O196" s="2" t="n">
        <v>60</v>
      </c>
      <c r="P196" s="4" t="n">
        <v>4.03</v>
      </c>
      <c r="Q196" s="4" t="n">
        <v>3.53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Oro</t>
        </is>
      </c>
      <c r="B197" s="2" t="inlineStr">
        <is>
          <t>Blanco</t>
        </is>
      </c>
      <c r="C197" s="3" t="n">
        <v>46053</v>
      </c>
      <c r="D197" s="2" t="inlineStr">
        <is>
          <t>A53687590</t>
        </is>
      </c>
      <c r="E197" s="2" t="inlineStr">
        <is>
          <t>Cables Oxi…</t>
        </is>
      </c>
      <c r="F197" s="2" t="n">
        <v>1912463</v>
      </c>
      <c r="G197" s="4" t="n">
        <v>124.04</v>
      </c>
      <c r="H197" s="3" t="n">
        <v>46045</v>
      </c>
      <c r="I197" s="3" t="n">
        <v>46180</v>
      </c>
      <c r="J197" s="2" t="n">
        <v>48</v>
      </c>
      <c r="K197" s="2" t="n">
        <v>23.31</v>
      </c>
      <c r="L197" s="2" t="n">
        <v>1.13</v>
      </c>
      <c r="M197" s="4" t="n">
        <v>1.4</v>
      </c>
      <c r="N197" s="4" t="n">
        <v>3.86</v>
      </c>
      <c r="O197" s="2" t="n">
        <v>60</v>
      </c>
      <c r="P197" s="4" t="n">
        <v>0.97</v>
      </c>
      <c r="Q197" s="4" t="n">
        <v>2.42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Oro</t>
        </is>
      </c>
      <c r="B198" s="2" t="inlineStr">
        <is>
          <t>Blanco</t>
        </is>
      </c>
      <c r="C198" s="3" t="n">
        <v>46053</v>
      </c>
      <c r="D198" s="2" t="inlineStr">
        <is>
          <t>B74576595</t>
        </is>
      </c>
      <c r="E198" s="2" t="inlineStr">
        <is>
          <t>Residuos F…</t>
        </is>
      </c>
      <c r="F198" s="2" t="n">
        <v>1739227</v>
      </c>
      <c r="G198" s="4" t="n">
        <v>598.89</v>
      </c>
      <c r="H198" s="3" t="n">
        <v>46049</v>
      </c>
      <c r="I198" s="3" t="n">
        <v>46054</v>
      </c>
      <c r="J198" s="2" t="n">
        <v>36</v>
      </c>
      <c r="K198" s="2" t="n">
        <v>46.23</v>
      </c>
      <c r="L198" s="2" t="n">
        <v>1.67</v>
      </c>
      <c r="M198" s="4" t="n">
        <v>10</v>
      </c>
      <c r="N198" s="4" t="n">
        <v>27.69</v>
      </c>
      <c r="O198" s="2" t="n">
        <v>20</v>
      </c>
      <c r="P198" s="4" t="n">
        <v>1.95</v>
      </c>
      <c r="Q198" s="4" t="n">
        <v>5.26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Oro</t>
        </is>
      </c>
      <c r="B199" s="2" t="inlineStr">
        <is>
          <t>Blanco</t>
        </is>
      </c>
      <c r="C199" s="3" t="n">
        <v>46053</v>
      </c>
      <c r="D199" s="2" t="inlineStr">
        <is>
          <t>B54529548</t>
        </is>
      </c>
      <c r="E199" s="2" t="inlineStr">
        <is>
          <t>Colas Fosf…</t>
        </is>
      </c>
      <c r="F199" s="2" t="n">
        <v>2079530</v>
      </c>
      <c r="G199" s="4" t="n">
        <v>741.08</v>
      </c>
      <c r="H199" s="3" t="n">
        <v>46045</v>
      </c>
      <c r="I199" s="3" t="n">
        <v>46158</v>
      </c>
      <c r="J199" s="2" t="n">
        <v>82</v>
      </c>
      <c r="K199" s="2" t="n">
        <v>46.97</v>
      </c>
      <c r="L199" s="2" t="n">
        <v>1.1</v>
      </c>
      <c r="M199" s="4" t="n">
        <v>8.15</v>
      </c>
      <c r="N199" s="4" t="n">
        <v>79.29000000000001</v>
      </c>
      <c r="O199" s="2" t="n">
        <v>30</v>
      </c>
      <c r="P199" s="4" t="n">
        <v>2.68</v>
      </c>
      <c r="Q199" s="4" t="n">
        <v>23.57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Oro</t>
        </is>
      </c>
      <c r="B200" s="2" t="inlineStr">
        <is>
          <t>Blanco</t>
        </is>
      </c>
      <c r="C200" s="3" t="n">
        <v>46053</v>
      </c>
      <c r="D200" s="2" t="inlineStr">
        <is>
          <t>B24295053</t>
        </is>
      </c>
      <c r="E200" s="2" t="inlineStr">
        <is>
          <t>Válvulas R…</t>
        </is>
      </c>
      <c r="F200" s="2" t="n">
        <v>4685808</v>
      </c>
      <c r="G200" s="4" t="n">
        <v>5733.33</v>
      </c>
      <c r="H200" s="3" t="n">
        <v>46050</v>
      </c>
      <c r="I200" s="3" t="n">
        <v>46109</v>
      </c>
      <c r="J200" s="2" t="n">
        <v>73</v>
      </c>
      <c r="K200" s="2" t="n">
        <v>38.53</v>
      </c>
      <c r="L200" s="2" t="n">
        <v>1.46</v>
      </c>
      <c r="M200" s="4" t="n">
        <v>83.70999999999999</v>
      </c>
      <c r="N200" s="4" t="n">
        <v>447.95</v>
      </c>
      <c r="O200" s="2" t="n">
        <v>30</v>
      </c>
      <c r="P200" s="4" t="n">
        <v>25.06</v>
      </c>
      <c r="Q200" s="4" t="n">
        <v>134.46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Oro</t>
        </is>
      </c>
      <c r="B201" s="2" t="inlineStr">
        <is>
          <t>Blanco</t>
        </is>
      </c>
      <c r="C201" s="3" t="n">
        <v>46053</v>
      </c>
      <c r="D201" s="2" t="inlineStr">
        <is>
          <t>B13743481</t>
        </is>
      </c>
      <c r="E201" s="2" t="inlineStr">
        <is>
          <t>Fitosanitari…</t>
        </is>
      </c>
      <c r="F201" s="2" t="n">
        <v>4572117</v>
      </c>
      <c r="G201" s="4" t="n">
        <v>266.93</v>
      </c>
      <c r="H201" s="3" t="n">
        <v>46030</v>
      </c>
      <c r="I201" s="3" t="n">
        <v>46056</v>
      </c>
      <c r="J201" s="2" t="n">
        <v>76</v>
      </c>
      <c r="K201" s="2" t="n">
        <v>13.32</v>
      </c>
      <c r="L201" s="2" t="n">
        <v>0.86</v>
      </c>
      <c r="M201" s="4" t="n">
        <v>2.3</v>
      </c>
      <c r="N201" s="4" t="n">
        <v>7.51</v>
      </c>
      <c r="O201" s="2" t="n">
        <v>40</v>
      </c>
      <c r="P201" s="4" t="n">
        <v>0.64</v>
      </c>
      <c r="Q201" s="4" t="n">
        <v>2.7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Oro</t>
        </is>
      </c>
      <c r="B202" s="2" t="inlineStr">
        <is>
          <t>Blanco</t>
        </is>
      </c>
      <c r="C202" s="3" t="n">
        <v>46053</v>
      </c>
      <c r="D202" s="2" t="inlineStr">
        <is>
          <t>B10372782</t>
        </is>
      </c>
      <c r="E202" s="2" t="inlineStr">
        <is>
          <t>Precintos B…</t>
        </is>
      </c>
      <c r="F202" s="2" t="n">
        <v>3190182</v>
      </c>
      <c r="G202" s="4" t="n">
        <v>4646.53</v>
      </c>
      <c r="H202" s="3" t="n">
        <v>46035</v>
      </c>
      <c r="I202" s="3" t="n">
        <v>46093</v>
      </c>
      <c r="J202" s="2" t="n">
        <v>14</v>
      </c>
      <c r="K202" s="2" t="n">
        <v>28.66</v>
      </c>
      <c r="L202" s="2" t="n">
        <v>2.14</v>
      </c>
      <c r="M202" s="4" t="n">
        <v>99.44</v>
      </c>
      <c r="N202" s="4" t="n">
        <v>51.79</v>
      </c>
      <c r="O202" s="2" t="n">
        <v>70</v>
      </c>
      <c r="P202" s="4" t="n">
        <v>69.56</v>
      </c>
      <c r="Q202" s="4" t="n">
        <v>36.33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Oro</t>
        </is>
      </c>
      <c r="B203" s="2" t="inlineStr">
        <is>
          <t>Blanco</t>
        </is>
      </c>
      <c r="C203" s="3" t="n">
        <v>46053</v>
      </c>
      <c r="D203" s="2" t="inlineStr">
        <is>
          <t>B54261715</t>
        </is>
      </c>
      <c r="E203" s="2" t="inlineStr">
        <is>
          <t>Tintes Medi…</t>
        </is>
      </c>
      <c r="F203" s="2" t="n">
        <v>3107070</v>
      </c>
      <c r="G203" s="4" t="n">
        <v>278.61</v>
      </c>
      <c r="H203" s="3" t="n">
        <v>46033</v>
      </c>
      <c r="I203" s="3" t="n">
        <v>46188</v>
      </c>
      <c r="J203" s="2" t="n">
        <v>44</v>
      </c>
      <c r="K203" s="2" t="n">
        <v>37.49</v>
      </c>
      <c r="L203" s="2" t="n">
        <v>2.78</v>
      </c>
      <c r="M203" s="4" t="n">
        <v>7.75</v>
      </c>
      <c r="N203" s="4" t="n">
        <v>12.77</v>
      </c>
      <c r="O203" s="2" t="n">
        <v>20</v>
      </c>
      <c r="P203" s="4" t="n">
        <v>1.62</v>
      </c>
      <c r="Q203" s="4" t="n">
        <v>2.62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Oro</t>
        </is>
      </c>
      <c r="B204" s="2" t="inlineStr">
        <is>
          <t>Blanco</t>
        </is>
      </c>
      <c r="C204" s="3" t="n">
        <v>46053</v>
      </c>
      <c r="D204" s="2" t="inlineStr">
        <is>
          <t>B10372782</t>
        </is>
      </c>
      <c r="E204" s="2" t="inlineStr">
        <is>
          <t>Precintos B…</t>
        </is>
      </c>
      <c r="F204" s="2" t="n">
        <v>1533855</v>
      </c>
      <c r="G204" s="4" t="n">
        <v>3253.01</v>
      </c>
      <c r="H204" s="3" t="n">
        <v>46046</v>
      </c>
      <c r="I204" s="3" t="n">
        <v>46193</v>
      </c>
      <c r="J204" s="2" t="n">
        <v>87</v>
      </c>
      <c r="K204" s="2" t="n">
        <v>41.57</v>
      </c>
      <c r="L204" s="2" t="n">
        <v>2.65</v>
      </c>
      <c r="M204" s="4" t="n">
        <v>86.2</v>
      </c>
      <c r="N204" s="4" t="n">
        <v>326.8</v>
      </c>
      <c r="O204" s="2" t="n">
        <v>40</v>
      </c>
      <c r="P204" s="4" t="n">
        <v>34.39</v>
      </c>
      <c r="Q204" s="4" t="n">
        <v>130.68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Oro</t>
        </is>
      </c>
      <c r="B205" s="2" t="inlineStr">
        <is>
          <t>Blanco</t>
        </is>
      </c>
      <c r="C205" s="3" t="n">
        <v>46053</v>
      </c>
      <c r="D205" s="2" t="inlineStr">
        <is>
          <t>A41560810</t>
        </is>
      </c>
      <c r="E205" s="2" t="inlineStr">
        <is>
          <t>Contenedor…</t>
        </is>
      </c>
      <c r="F205" s="2" t="n">
        <v>3580852</v>
      </c>
      <c r="G205" s="4" t="n">
        <v>916.5700000000001</v>
      </c>
      <c r="H205" s="3" t="n">
        <v>46036</v>
      </c>
      <c r="I205" s="3" t="n">
        <v>46157</v>
      </c>
      <c r="J205" s="2" t="n">
        <v>33</v>
      </c>
      <c r="K205" s="2" t="n">
        <v>30.78</v>
      </c>
      <c r="L205" s="2" t="n">
        <v>1.71</v>
      </c>
      <c r="M205" s="4" t="n">
        <v>15.67</v>
      </c>
      <c r="N205" s="4" t="n">
        <v>25.86</v>
      </c>
      <c r="O205" s="2" t="n">
        <v>30</v>
      </c>
      <c r="P205" s="4" t="n">
        <v>4.98</v>
      </c>
      <c r="Q205" s="4" t="n">
        <v>7.62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Oro</t>
        </is>
      </c>
      <c r="B206" s="2" t="inlineStr">
        <is>
          <t>Blanco</t>
        </is>
      </c>
      <c r="C206" s="3" t="n">
        <v>46053</v>
      </c>
      <c r="D206" s="2" t="inlineStr">
        <is>
          <t>B64207507</t>
        </is>
      </c>
      <c r="E206" s="2" t="inlineStr">
        <is>
          <t>Etilenos Ce…</t>
        </is>
      </c>
      <c r="F206" s="2" t="n">
        <v>1214487</v>
      </c>
      <c r="G206" s="4" t="n">
        <v>615.67</v>
      </c>
      <c r="H206" s="3" t="n">
        <v>46028</v>
      </c>
      <c r="I206" s="3" t="n">
        <v>46204</v>
      </c>
      <c r="J206" s="2" t="n">
        <v>71</v>
      </c>
      <c r="K206" s="2" t="n">
        <v>36.84</v>
      </c>
      <c r="L206" s="2" t="n">
        <v>1.87</v>
      </c>
      <c r="M206" s="4" t="n">
        <v>11.51</v>
      </c>
      <c r="N206" s="4" t="n">
        <v>44.73</v>
      </c>
      <c r="O206" s="2" t="n">
        <v>20</v>
      </c>
      <c r="P206" s="4" t="n">
        <v>2.14</v>
      </c>
      <c r="Q206" s="4" t="n">
        <v>8.710000000000001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Oro</t>
        </is>
      </c>
      <c r="B207" s="2" t="inlineStr">
        <is>
          <t>Blanco</t>
        </is>
      </c>
      <c r="C207" s="3" t="n">
        <v>46053</v>
      </c>
      <c r="D207" s="2" t="inlineStr">
        <is>
          <t>B86414064</t>
        </is>
      </c>
      <c r="E207" s="2" t="inlineStr">
        <is>
          <t>Fármacos…</t>
        </is>
      </c>
      <c r="F207" s="2" t="n">
        <v>2251246</v>
      </c>
      <c r="G207" s="4" t="n">
        <v>249.76</v>
      </c>
      <c r="H207" s="3" t="n">
        <v>46049</v>
      </c>
      <c r="I207" s="3" t="n">
        <v>46064</v>
      </c>
      <c r="J207" s="2" t="n">
        <v>36</v>
      </c>
      <c r="K207" s="2" t="n">
        <v>25.43</v>
      </c>
      <c r="L207" s="2" t="n">
        <v>0.86</v>
      </c>
      <c r="M207" s="4" t="n">
        <v>2.15</v>
      </c>
      <c r="N207" s="4" t="n">
        <v>6.35</v>
      </c>
      <c r="O207" s="2" t="n">
        <v>30</v>
      </c>
      <c r="P207" s="4" t="n">
        <v>0.36</v>
      </c>
      <c r="Q207" s="4" t="n">
        <v>2.19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Oro</t>
        </is>
      </c>
      <c r="B208" s="2" t="inlineStr">
        <is>
          <t>Blanco</t>
        </is>
      </c>
      <c r="C208" s="3" t="n">
        <v>46053</v>
      </c>
      <c r="D208" s="2" t="inlineStr">
        <is>
          <t>B10372782</t>
        </is>
      </c>
      <c r="E208" s="2" t="inlineStr">
        <is>
          <t>Precintos B…</t>
        </is>
      </c>
      <c r="F208" s="2" t="n">
        <v>3874763</v>
      </c>
      <c r="G208" s="4" t="n">
        <v>501.25</v>
      </c>
      <c r="H208" s="3" t="n">
        <v>46045</v>
      </c>
      <c r="I208" s="3" t="n">
        <v>46128</v>
      </c>
      <c r="J208" s="2" t="n">
        <v>88</v>
      </c>
      <c r="K208" s="2" t="n">
        <v>35.05</v>
      </c>
      <c r="L208" s="2" t="n">
        <v>2.39</v>
      </c>
      <c r="M208" s="4" t="n">
        <v>11.98</v>
      </c>
      <c r="N208" s="4" t="n">
        <v>42.95</v>
      </c>
      <c r="O208" s="2" t="n">
        <v>20</v>
      </c>
      <c r="P208" s="4" t="n">
        <v>2.45</v>
      </c>
      <c r="Q208" s="4" t="n">
        <v>8.48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Oro</t>
        </is>
      </c>
      <c r="B209" s="2" t="inlineStr">
        <is>
          <t>Blanco</t>
        </is>
      </c>
      <c r="C209" s="3" t="n">
        <v>46053</v>
      </c>
      <c r="D209" s="2" t="inlineStr">
        <is>
          <t>B53668074</t>
        </is>
      </c>
      <c r="E209" s="2" t="inlineStr">
        <is>
          <t>Filamentos…</t>
        </is>
      </c>
      <c r="F209" s="2" t="n">
        <v>2941786</v>
      </c>
      <c r="G209" s="4" t="n">
        <v>133.66</v>
      </c>
      <c r="H209" s="3" t="n">
        <v>46034</v>
      </c>
      <c r="I209" s="3" t="n">
        <v>46183</v>
      </c>
      <c r="J209" s="2" t="n">
        <v>42</v>
      </c>
      <c r="K209" s="2" t="n">
        <v>29.99</v>
      </c>
      <c r="L209" s="2" t="n">
        <v>2.53</v>
      </c>
      <c r="M209" s="4" t="n">
        <v>3.38</v>
      </c>
      <c r="N209" s="4" t="n">
        <v>4.68</v>
      </c>
      <c r="O209" s="2" t="n">
        <v>30</v>
      </c>
      <c r="P209" s="4" t="n">
        <v>0.96</v>
      </c>
      <c r="Q209" s="4" t="n">
        <v>1.61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Oro</t>
        </is>
      </c>
      <c r="B210" s="2" t="inlineStr">
        <is>
          <t>Blanco</t>
        </is>
      </c>
      <c r="C210" s="3" t="n">
        <v>46053</v>
      </c>
      <c r="D210" s="2" t="inlineStr">
        <is>
          <t>A21090683</t>
        </is>
      </c>
      <c r="E210" s="2" t="inlineStr">
        <is>
          <t>Interruptore…</t>
        </is>
      </c>
      <c r="F210" s="2" t="n">
        <v>2514534</v>
      </c>
      <c r="G210" s="4" t="n">
        <v>942.27</v>
      </c>
      <c r="H210" s="3" t="n">
        <v>46027</v>
      </c>
      <c r="I210" s="3" t="n">
        <v>46160</v>
      </c>
      <c r="J210" s="2" t="n">
        <v>90</v>
      </c>
      <c r="K210" s="2" t="n">
        <v>28.57</v>
      </c>
      <c r="L210" s="2" t="n">
        <v>1.6</v>
      </c>
      <c r="M210" s="4" t="n">
        <v>15.08</v>
      </c>
      <c r="N210" s="4" t="n">
        <v>67.3</v>
      </c>
      <c r="O210" s="2" t="n">
        <v>60</v>
      </c>
      <c r="P210" s="4" t="n">
        <v>9.300000000000001</v>
      </c>
      <c r="Q210" s="4" t="n">
        <v>40.48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Oro</t>
        </is>
      </c>
      <c r="B211" s="2" t="inlineStr">
        <is>
          <t>Blanco</t>
        </is>
      </c>
      <c r="C211" s="3" t="n">
        <v>46053</v>
      </c>
      <c r="D211" s="2" t="inlineStr">
        <is>
          <t>A22700331</t>
        </is>
      </c>
      <c r="E211" s="2" t="inlineStr">
        <is>
          <t>Alcoholes…</t>
        </is>
      </c>
      <c r="F211" s="2" t="n">
        <v>4488510</v>
      </c>
      <c r="G211" s="4" t="n">
        <v>344.57</v>
      </c>
      <c r="H211" s="3" t="n">
        <v>46038</v>
      </c>
      <c r="I211" s="3" t="n">
        <v>46151</v>
      </c>
      <c r="J211" s="2" t="n">
        <v>16</v>
      </c>
      <c r="K211" s="2" t="n">
        <v>49.81</v>
      </c>
      <c r="L211" s="2" t="n">
        <v>1.13</v>
      </c>
      <c r="M211" s="4" t="n">
        <v>3.89</v>
      </c>
      <c r="N211" s="4" t="n">
        <v>7.63</v>
      </c>
      <c r="O211" s="2" t="n">
        <v>70</v>
      </c>
      <c r="P211" s="4" t="n">
        <v>2.46</v>
      </c>
      <c r="Q211" s="4" t="n">
        <v>5.25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Oro</t>
        </is>
      </c>
      <c r="B212" s="2" t="inlineStr">
        <is>
          <t>Blanco</t>
        </is>
      </c>
      <c r="C212" s="3" t="n">
        <v>46053</v>
      </c>
      <c r="D212" s="2" t="inlineStr">
        <is>
          <t>A33195060</t>
        </is>
      </c>
      <c r="E212" s="2" t="inlineStr">
        <is>
          <t>Agroquímic…</t>
        </is>
      </c>
      <c r="F212" s="2" t="n">
        <v>4080395</v>
      </c>
      <c r="G212" s="4" t="n">
        <v>671.4400000000001</v>
      </c>
      <c r="H212" s="3" t="n">
        <v>46050</v>
      </c>
      <c r="I212" s="3" t="n">
        <v>46129</v>
      </c>
      <c r="J212" s="2" t="n">
        <v>53</v>
      </c>
      <c r="K212" s="2" t="n">
        <v>31.42</v>
      </c>
      <c r="L212" s="2" t="n">
        <v>1.4</v>
      </c>
      <c r="M212" s="4" t="n">
        <v>9.4</v>
      </c>
      <c r="N212" s="4" t="n">
        <v>31.06</v>
      </c>
      <c r="O212" s="2" t="n">
        <v>50</v>
      </c>
      <c r="P212" s="4" t="n">
        <v>4.57</v>
      </c>
      <c r="Q212" s="4" t="n">
        <v>15.42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Oro</t>
        </is>
      </c>
      <c r="B213" s="2" t="inlineStr">
        <is>
          <t>Blanco</t>
        </is>
      </c>
      <c r="C213" s="3" t="n">
        <v>46053</v>
      </c>
      <c r="D213" s="2" t="inlineStr">
        <is>
          <t>A52690434</t>
        </is>
      </c>
      <c r="E213" s="2" t="inlineStr">
        <is>
          <t>Excavador…</t>
        </is>
      </c>
      <c r="F213" s="2" t="n">
        <v>1784504</v>
      </c>
      <c r="G213" s="4" t="n">
        <v>931.4400000000001</v>
      </c>
      <c r="H213" s="3" t="n">
        <v>46038</v>
      </c>
      <c r="I213" s="3" t="n">
        <v>46224</v>
      </c>
      <c r="J213" s="2" t="n">
        <v>37</v>
      </c>
      <c r="K213" s="2" t="n">
        <v>11.36</v>
      </c>
      <c r="L213" s="2" t="n">
        <v>1.26</v>
      </c>
      <c r="M213" s="4" t="n">
        <v>11.74</v>
      </c>
      <c r="N213" s="4" t="n">
        <v>10.88</v>
      </c>
      <c r="O213" s="2" t="n">
        <v>60</v>
      </c>
      <c r="P213" s="4" t="n">
        <v>7.15</v>
      </c>
      <c r="Q213" s="4" t="n">
        <v>6.5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Oro</t>
        </is>
      </c>
      <c r="B214" s="2" t="inlineStr">
        <is>
          <t>Blanco</t>
        </is>
      </c>
      <c r="C214" s="3" t="n">
        <v>46053</v>
      </c>
      <c r="D214" s="2" t="inlineStr">
        <is>
          <t>A84368095</t>
        </is>
      </c>
      <c r="E214" s="2" t="inlineStr">
        <is>
          <t>Fitosanitari…</t>
        </is>
      </c>
      <c r="F214" s="2" t="n">
        <v>3097277</v>
      </c>
      <c r="G214" s="4" t="n">
        <v>891.38</v>
      </c>
      <c r="H214" s="3" t="n">
        <v>46037</v>
      </c>
      <c r="I214" s="3" t="n">
        <v>46072</v>
      </c>
      <c r="J214" s="2" t="n">
        <v>15</v>
      </c>
      <c r="K214" s="2" t="n">
        <v>13.6</v>
      </c>
      <c r="L214" s="2" t="n">
        <v>1.91</v>
      </c>
      <c r="M214" s="4" t="n">
        <v>17.03</v>
      </c>
      <c r="N214" s="4" t="n">
        <v>5.05</v>
      </c>
      <c r="O214" s="2" t="n">
        <v>50</v>
      </c>
      <c r="P214" s="4" t="n">
        <v>8.720000000000001</v>
      </c>
      <c r="Q214" s="4" t="n">
        <v>2.75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Oro</t>
        </is>
      </c>
      <c r="B215" s="2" t="inlineStr">
        <is>
          <t>Blanco</t>
        </is>
      </c>
      <c r="C215" s="3" t="n">
        <v>46053</v>
      </c>
      <c r="D215" s="2" t="inlineStr">
        <is>
          <t>B74576595</t>
        </is>
      </c>
      <c r="E215" s="2" t="inlineStr">
        <is>
          <t>Residuos F…</t>
        </is>
      </c>
      <c r="F215" s="2" t="n">
        <v>4617310</v>
      </c>
      <c r="G215" s="4" t="n">
        <v>9590.959999999999</v>
      </c>
      <c r="H215" s="3" t="n">
        <v>46046</v>
      </c>
      <c r="I215" s="3" t="n">
        <v>46098</v>
      </c>
      <c r="J215" s="2" t="n">
        <v>62</v>
      </c>
      <c r="K215" s="2" t="n">
        <v>48.76</v>
      </c>
      <c r="L215" s="2" t="n">
        <v>0.58</v>
      </c>
      <c r="M215" s="4" t="n">
        <v>55.63</v>
      </c>
      <c r="N215" s="4" t="n">
        <v>805.41</v>
      </c>
      <c r="O215" s="2" t="n">
        <v>60</v>
      </c>
      <c r="P215" s="4" t="n">
        <v>33.47</v>
      </c>
      <c r="Q215" s="4" t="n">
        <v>483.37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Oro</t>
        </is>
      </c>
      <c r="B216" s="2" t="inlineStr">
        <is>
          <t>Blanco</t>
        </is>
      </c>
      <c r="C216" s="3" t="n">
        <v>46053</v>
      </c>
      <c r="D216" s="2" t="inlineStr">
        <is>
          <t>B57933667</t>
        </is>
      </c>
      <c r="E216" s="2" t="inlineStr">
        <is>
          <t>Gestiones…</t>
        </is>
      </c>
      <c r="F216" s="2" t="n">
        <v>2165454</v>
      </c>
      <c r="G216" s="4" t="n">
        <v>4979.82</v>
      </c>
      <c r="H216" s="3" t="n">
        <v>46038</v>
      </c>
      <c r="I216" s="3" t="n">
        <v>46207</v>
      </c>
      <c r="J216" s="2" t="n">
        <v>36</v>
      </c>
      <c r="K216" s="2" t="n">
        <v>16.78</v>
      </c>
      <c r="L216" s="2" t="n">
        <v>1.41</v>
      </c>
      <c r="M216" s="4" t="n">
        <v>70.22</v>
      </c>
      <c r="N216" s="4" t="n">
        <v>83.56</v>
      </c>
      <c r="O216" s="2" t="n">
        <v>20</v>
      </c>
      <c r="P216" s="4" t="n">
        <v>14.33</v>
      </c>
      <c r="Q216" s="4" t="n">
        <v>16.63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Oro</t>
        </is>
      </c>
      <c r="B217" s="2" t="inlineStr">
        <is>
          <t>Blanco</t>
        </is>
      </c>
      <c r="C217" s="3" t="n">
        <v>46053</v>
      </c>
      <c r="D217" s="2" t="inlineStr">
        <is>
          <t>A97934828</t>
        </is>
      </c>
      <c r="E217" s="2" t="inlineStr">
        <is>
          <t>Tinturas M…</t>
        </is>
      </c>
      <c r="F217" s="2" t="n">
        <v>1442134</v>
      </c>
      <c r="G217" s="4" t="n">
        <v>5740.97</v>
      </c>
      <c r="H217" s="3" t="n">
        <v>46034</v>
      </c>
      <c r="I217" s="3" t="n">
        <v>46096</v>
      </c>
      <c r="J217" s="2" t="n">
        <v>61</v>
      </c>
      <c r="K217" s="2" t="n">
        <v>17.75</v>
      </c>
      <c r="L217" s="2" t="n">
        <v>1.32</v>
      </c>
      <c r="M217" s="4" t="n">
        <v>75.78</v>
      </c>
      <c r="N217" s="4" t="n">
        <v>172.67</v>
      </c>
      <c r="O217" s="2" t="n">
        <v>20</v>
      </c>
      <c r="P217" s="4" t="n">
        <v>15.02</v>
      </c>
      <c r="Q217" s="4" t="n">
        <v>34.77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Oro</t>
        </is>
      </c>
      <c r="B218" s="2" t="inlineStr">
        <is>
          <t>Blanco</t>
        </is>
      </c>
      <c r="C218" s="3" t="n">
        <v>46053</v>
      </c>
      <c r="D218" s="2" t="inlineStr">
        <is>
          <t>B84562652</t>
        </is>
      </c>
      <c r="E218" s="2" t="inlineStr">
        <is>
          <t>Telas Mold…</t>
        </is>
      </c>
      <c r="F218" s="2" t="n">
        <v>2159913</v>
      </c>
      <c r="G218" s="4" t="n">
        <v>306.72</v>
      </c>
      <c r="H218" s="3" t="n">
        <v>46034</v>
      </c>
      <c r="I218" s="3" t="n">
        <v>46190</v>
      </c>
      <c r="J218" s="2" t="n">
        <v>83</v>
      </c>
      <c r="K218" s="2" t="n">
        <v>34.3</v>
      </c>
      <c r="L218" s="2" t="n">
        <v>1.78</v>
      </c>
      <c r="M218" s="4" t="n">
        <v>5.46</v>
      </c>
      <c r="N218" s="4" t="n">
        <v>24.26</v>
      </c>
      <c r="O218" s="2" t="n">
        <v>70</v>
      </c>
      <c r="P218" s="4" t="n">
        <v>4.03</v>
      </c>
      <c r="Q218" s="4" t="n">
        <v>17.07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Oro</t>
        </is>
      </c>
      <c r="B219" s="2" t="inlineStr">
        <is>
          <t>Blanco</t>
        </is>
      </c>
      <c r="C219" s="3" t="n">
        <v>46053</v>
      </c>
      <c r="D219" s="2" t="inlineStr">
        <is>
          <t>B24227649</t>
        </is>
      </c>
      <c r="E219" s="2" t="inlineStr">
        <is>
          <t>Travesaños…</t>
        </is>
      </c>
      <c r="F219" s="2" t="n">
        <v>2025292</v>
      </c>
      <c r="G219" s="4" t="n">
        <v>623.95</v>
      </c>
      <c r="H219" s="3" t="n">
        <v>46029</v>
      </c>
      <c r="I219" s="3" t="n">
        <v>46135</v>
      </c>
      <c r="J219" s="2" t="n">
        <v>56</v>
      </c>
      <c r="K219" s="2" t="n">
        <v>16.77</v>
      </c>
      <c r="L219" s="2" t="n">
        <v>0.88</v>
      </c>
      <c r="M219" s="4" t="n">
        <v>5.49</v>
      </c>
      <c r="N219" s="4" t="n">
        <v>16.28</v>
      </c>
      <c r="O219" s="2" t="n">
        <v>60</v>
      </c>
      <c r="P219" s="4" t="n">
        <v>3.57</v>
      </c>
      <c r="Q219" s="4" t="n">
        <v>9.550000000000001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Oro</t>
        </is>
      </c>
      <c r="B220" s="2" t="inlineStr">
        <is>
          <t>Blanco</t>
        </is>
      </c>
      <c r="C220" s="3" t="n">
        <v>46053</v>
      </c>
      <c r="D220" s="2" t="inlineStr">
        <is>
          <t>B88683138</t>
        </is>
      </c>
      <c r="E220" s="2" t="inlineStr">
        <is>
          <t>Lubricantes…</t>
        </is>
      </c>
      <c r="F220" s="2" t="n">
        <v>3673079</v>
      </c>
      <c r="G220" s="4" t="n">
        <v>7901.83</v>
      </c>
      <c r="H220" s="3" t="n">
        <v>46029</v>
      </c>
      <c r="I220" s="3" t="n">
        <v>46068</v>
      </c>
      <c r="J220" s="2" t="n">
        <v>71</v>
      </c>
      <c r="K220" s="2" t="n">
        <v>22.58</v>
      </c>
      <c r="L220" s="2" t="n">
        <v>2.96</v>
      </c>
      <c r="M220" s="4" t="n">
        <v>233.89</v>
      </c>
      <c r="N220" s="4" t="n">
        <v>351.89</v>
      </c>
      <c r="O220" s="2" t="n">
        <v>50</v>
      </c>
      <c r="P220" s="4" t="n">
        <v>116.75</v>
      </c>
      <c r="Q220" s="4" t="n">
        <v>175.96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Oro</t>
        </is>
      </c>
      <c r="B221" s="2" t="inlineStr">
        <is>
          <t>Blanco</t>
        </is>
      </c>
      <c r="C221" s="3" t="n">
        <v>46053</v>
      </c>
      <c r="D221" s="2" t="inlineStr">
        <is>
          <t>B86599173</t>
        </is>
      </c>
      <c r="E221" s="2" t="inlineStr">
        <is>
          <t>Certificacio…</t>
        </is>
      </c>
      <c r="F221" s="2" t="n">
        <v>3480224</v>
      </c>
      <c r="G221" s="4" t="n">
        <v>898.49</v>
      </c>
      <c r="H221" s="3" t="n">
        <v>46030</v>
      </c>
      <c r="I221" s="3" t="n">
        <v>46224</v>
      </c>
      <c r="J221" s="2" t="n">
        <v>90</v>
      </c>
      <c r="K221" s="2" t="n">
        <v>32.31</v>
      </c>
      <c r="L221" s="2" t="n">
        <v>2.11</v>
      </c>
      <c r="M221" s="4" t="n">
        <v>18.96</v>
      </c>
      <c r="N221" s="4" t="n">
        <v>72.58</v>
      </c>
      <c r="O221" s="2" t="n">
        <v>40</v>
      </c>
      <c r="P221" s="4" t="n">
        <v>7.32</v>
      </c>
      <c r="Q221" s="4" t="n">
        <v>29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Oro</t>
        </is>
      </c>
      <c r="B222" s="2" t="inlineStr">
        <is>
          <t>Blanco</t>
        </is>
      </c>
      <c r="C222" s="3" t="n">
        <v>46053</v>
      </c>
      <c r="D222" s="2" t="inlineStr">
        <is>
          <t>A47417591</t>
        </is>
      </c>
      <c r="E222" s="2" t="inlineStr">
        <is>
          <t>Caolines S…</t>
        </is>
      </c>
      <c r="F222" s="2" t="n">
        <v>2543540</v>
      </c>
      <c r="G222" s="4" t="n">
        <v>441.25</v>
      </c>
      <c r="H222" s="3" t="n">
        <v>46023</v>
      </c>
      <c r="I222" s="3" t="n">
        <v>46193</v>
      </c>
      <c r="J222" s="2" t="n">
        <v>24</v>
      </c>
      <c r="K222" s="2" t="n">
        <v>27.35</v>
      </c>
      <c r="L222" s="2" t="n">
        <v>2.91</v>
      </c>
      <c r="M222" s="4" t="n">
        <v>12.84</v>
      </c>
      <c r="N222" s="4" t="n">
        <v>8.050000000000001</v>
      </c>
      <c r="O222" s="2" t="n">
        <v>60</v>
      </c>
      <c r="P222" s="4" t="n">
        <v>7.48</v>
      </c>
      <c r="Q222" s="4" t="n">
        <v>5.12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Oro</t>
        </is>
      </c>
      <c r="B223" s="2" t="inlineStr">
        <is>
          <t>Blanco</t>
        </is>
      </c>
      <c r="C223" s="3" t="n">
        <v>46053</v>
      </c>
      <c r="D223" s="2" t="inlineStr">
        <is>
          <t>B67859772</t>
        </is>
      </c>
      <c r="E223" s="2" t="inlineStr">
        <is>
          <t>Tarimas Pi…</t>
        </is>
      </c>
      <c r="F223" s="2" t="n">
        <v>4476901</v>
      </c>
      <c r="G223" s="4" t="n">
        <v>8278.85</v>
      </c>
      <c r="H223" s="3" t="n">
        <v>46032</v>
      </c>
      <c r="I223" s="3" t="n">
        <v>46209</v>
      </c>
      <c r="J223" s="2" t="n">
        <v>54</v>
      </c>
      <c r="K223" s="2" t="n">
        <v>13.23</v>
      </c>
      <c r="L223" s="2" t="n">
        <v>1.01</v>
      </c>
      <c r="M223" s="4" t="n">
        <v>83.62</v>
      </c>
      <c r="N223" s="4" t="n">
        <v>164.29</v>
      </c>
      <c r="O223" s="2" t="n">
        <v>20</v>
      </c>
      <c r="P223" s="4" t="n">
        <v>16.68</v>
      </c>
      <c r="Q223" s="4" t="n">
        <v>32.79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Oro</t>
        </is>
      </c>
      <c r="B224" s="2" t="inlineStr">
        <is>
          <t>Blanco</t>
        </is>
      </c>
      <c r="C224" s="3" t="n">
        <v>46053</v>
      </c>
      <c r="D224" s="2" t="inlineStr">
        <is>
          <t>B44194915</t>
        </is>
      </c>
      <c r="E224" s="2" t="inlineStr">
        <is>
          <t>Siliconas C…</t>
        </is>
      </c>
      <c r="F224" s="2" t="n">
        <v>4508826</v>
      </c>
      <c r="G224" s="4" t="n">
        <v>857.61</v>
      </c>
      <c r="H224" s="3" t="n">
        <v>46036</v>
      </c>
      <c r="I224" s="3" t="n">
        <v>46134</v>
      </c>
      <c r="J224" s="2" t="n">
        <v>86</v>
      </c>
      <c r="K224" s="2" t="n">
        <v>18.89</v>
      </c>
      <c r="L224" s="2" t="n">
        <v>2.68</v>
      </c>
      <c r="M224" s="4" t="n">
        <v>22.98</v>
      </c>
      <c r="N224" s="4" t="n">
        <v>38.7</v>
      </c>
      <c r="O224" s="2" t="n">
        <v>40</v>
      </c>
      <c r="P224" s="4" t="n">
        <v>9.039999999999999</v>
      </c>
      <c r="Q224" s="4" t="n">
        <v>15.76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2" t="inlineStr">
        <is>
          <t>Oro</t>
        </is>
      </c>
      <c r="B225" s="2" t="inlineStr">
        <is>
          <t>Blanco</t>
        </is>
      </c>
      <c r="C225" s="3" t="n">
        <v>46053</v>
      </c>
      <c r="D225" s="2" t="inlineStr">
        <is>
          <t>B38841422</t>
        </is>
      </c>
      <c r="E225" s="2" t="inlineStr">
        <is>
          <t>Tejidos Inte…</t>
        </is>
      </c>
      <c r="F225" s="2" t="n">
        <v>3841534</v>
      </c>
      <c r="G225" s="4" t="n">
        <v>181.51</v>
      </c>
      <c r="H225" s="3" t="n">
        <v>46038</v>
      </c>
      <c r="I225" s="3" t="n">
        <v>46153</v>
      </c>
      <c r="J225" s="2" t="n">
        <v>80</v>
      </c>
      <c r="K225" s="2" t="n">
        <v>16.25</v>
      </c>
      <c r="L225" s="2" t="n">
        <v>2.77</v>
      </c>
      <c r="M225" s="4" t="n">
        <v>5.03</v>
      </c>
      <c r="N225" s="4" t="n">
        <v>6.55</v>
      </c>
      <c r="O225" s="2" t="n">
        <v>70</v>
      </c>
      <c r="P225" s="4" t="n">
        <v>3.66</v>
      </c>
      <c r="Q225" s="4" t="n">
        <v>4.3</v>
      </c>
      <c r="R225" s="4">
        <f>G225*(L225/100)*(O225/100)</f>
        <v/>
      </c>
      <c r="S225" s="4">
        <f>G225*(K225/360/100)*J225*(O225/100)</f>
        <v/>
      </c>
      <c r="T225" s="4">
        <f>P225-R225+Q225-S225</f>
        <v/>
      </c>
    </row>
    <row r="226">
      <c r="A226" s="2" t="inlineStr">
        <is>
          <t>Oro</t>
        </is>
      </c>
      <c r="B226" s="2" t="inlineStr">
        <is>
          <t>Blanco</t>
        </is>
      </c>
      <c r="C226" s="3" t="n">
        <v>46053</v>
      </c>
      <c r="D226" s="2" t="inlineStr">
        <is>
          <t>A35612278</t>
        </is>
      </c>
      <c r="E226" s="2" t="inlineStr">
        <is>
          <t>Adhesivos…</t>
        </is>
      </c>
      <c r="F226" s="2" t="n">
        <v>2945534</v>
      </c>
      <c r="G226" s="4" t="n">
        <v>595.61</v>
      </c>
      <c r="H226" s="3" t="n">
        <v>46050</v>
      </c>
      <c r="I226" s="3" t="n">
        <v>46082</v>
      </c>
      <c r="J226" s="2" t="n">
        <v>51</v>
      </c>
      <c r="K226" s="2" t="n">
        <v>24.64</v>
      </c>
      <c r="L226" s="2" t="n">
        <v>1.93</v>
      </c>
      <c r="M226" s="4" t="n">
        <v>11.5</v>
      </c>
      <c r="N226" s="4" t="n">
        <v>20.79</v>
      </c>
      <c r="O226" s="2" t="n">
        <v>30</v>
      </c>
      <c r="P226" s="4" t="n">
        <v>3.42</v>
      </c>
      <c r="Q226" s="4" t="n">
        <v>6.22</v>
      </c>
      <c r="R226" s="4">
        <f>G226*(L226/100)*(O226/100)</f>
        <v/>
      </c>
      <c r="S226" s="4">
        <f>G226*(K226/360/100)*J226*(O226/100)</f>
        <v/>
      </c>
      <c r="T226" s="4">
        <f>P226-R226+Q226-S226</f>
        <v/>
      </c>
    </row>
    <row r="227">
      <c r="A227" s="2" t="inlineStr">
        <is>
          <t>Oro</t>
        </is>
      </c>
      <c r="B227" s="2" t="inlineStr">
        <is>
          <t>Blanco</t>
        </is>
      </c>
      <c r="C227" s="3" t="n">
        <v>46053</v>
      </c>
      <c r="D227" s="2" t="inlineStr">
        <is>
          <t>A62059817</t>
        </is>
      </c>
      <c r="E227" s="2" t="inlineStr">
        <is>
          <t>Pesticidas…</t>
        </is>
      </c>
      <c r="F227" s="2" t="n">
        <v>3723557</v>
      </c>
      <c r="G227" s="4" t="n">
        <v>542.27</v>
      </c>
      <c r="H227" s="3" t="n">
        <v>46025</v>
      </c>
      <c r="I227" s="3" t="n">
        <v>46227</v>
      </c>
      <c r="J227" s="2" t="n">
        <v>41</v>
      </c>
      <c r="K227" s="2" t="n">
        <v>25.36</v>
      </c>
      <c r="L227" s="2" t="n">
        <v>2.15</v>
      </c>
      <c r="M227" s="4" t="n">
        <v>11.66</v>
      </c>
      <c r="N227" s="4" t="n">
        <v>15.66</v>
      </c>
      <c r="O227" s="2" t="n">
        <v>60</v>
      </c>
      <c r="P227" s="4" t="n">
        <v>6.86</v>
      </c>
      <c r="Q227" s="4" t="n">
        <v>9.529999999999999</v>
      </c>
      <c r="R227" s="4">
        <f>G227*(L227/100)*(O227/100)</f>
        <v/>
      </c>
      <c r="S227" s="4">
        <f>G227*(K227/360/100)*J227*(O227/100)</f>
        <v/>
      </c>
      <c r="T227" s="4">
        <f>P227-R227+Q227-S227</f>
        <v/>
      </c>
    </row>
    <row r="228">
      <c r="A228" s="2" t="inlineStr">
        <is>
          <t>Oro</t>
        </is>
      </c>
      <c r="B228" s="2" t="inlineStr">
        <is>
          <t>Blanco</t>
        </is>
      </c>
      <c r="C228" s="3" t="n">
        <v>46053</v>
      </c>
      <c r="D228" s="2" t="inlineStr">
        <is>
          <t>B31671697</t>
        </is>
      </c>
      <c r="E228" s="2" t="inlineStr">
        <is>
          <t>Maderas R…</t>
        </is>
      </c>
      <c r="F228" s="2" t="n">
        <v>3534152</v>
      </c>
      <c r="G228" s="4" t="n">
        <v>284.81</v>
      </c>
      <c r="H228" s="3" t="n">
        <v>46050</v>
      </c>
      <c r="I228" s="3" t="n">
        <v>46167</v>
      </c>
      <c r="J228" s="2" t="n">
        <v>20</v>
      </c>
      <c r="K228" s="2" t="n">
        <v>32.8</v>
      </c>
      <c r="L228" s="2" t="n">
        <v>1.94</v>
      </c>
      <c r="M228" s="4" t="n">
        <v>5.53</v>
      </c>
      <c r="N228" s="4" t="n">
        <v>5.19</v>
      </c>
      <c r="O228" s="2" t="n">
        <v>60</v>
      </c>
      <c r="P228" s="4" t="n">
        <v>3.24</v>
      </c>
      <c r="Q228" s="4" t="n">
        <v>3.31</v>
      </c>
      <c r="R228" s="4">
        <f>G228*(L228/100)*(O228/100)</f>
        <v/>
      </c>
      <c r="S228" s="4">
        <f>G228*(K228/360/100)*J228*(O228/100)</f>
        <v/>
      </c>
      <c r="T228" s="4">
        <f>P228-R228+Q228-S228</f>
        <v/>
      </c>
    </row>
    <row r="229">
      <c r="A229" s="2" t="inlineStr">
        <is>
          <t>Oro</t>
        </is>
      </c>
      <c r="B229" s="2" t="inlineStr">
        <is>
          <t>Blanco</t>
        </is>
      </c>
      <c r="C229" s="3" t="n">
        <v>46053</v>
      </c>
      <c r="D229" s="2" t="inlineStr">
        <is>
          <t>A78687274</t>
        </is>
      </c>
      <c r="E229" s="2" t="inlineStr">
        <is>
          <t>Cojinetes R…</t>
        </is>
      </c>
      <c r="F229" s="2" t="n">
        <v>1762754</v>
      </c>
      <c r="G229" s="4" t="n">
        <v>4290.07</v>
      </c>
      <c r="H229" s="3" t="n">
        <v>46025</v>
      </c>
      <c r="I229" s="3" t="n">
        <v>46091</v>
      </c>
      <c r="J229" s="2" t="n">
        <v>83</v>
      </c>
      <c r="K229" s="2" t="n">
        <v>14.57</v>
      </c>
      <c r="L229" s="2" t="n">
        <v>2.59</v>
      </c>
      <c r="M229" s="4" t="n">
        <v>111.11</v>
      </c>
      <c r="N229" s="4" t="n">
        <v>144.11</v>
      </c>
      <c r="O229" s="2" t="n">
        <v>50</v>
      </c>
      <c r="P229" s="4" t="n">
        <v>55.27</v>
      </c>
      <c r="Q229" s="4" t="n">
        <v>71.98</v>
      </c>
      <c r="R229" s="4">
        <f>G229*(L229/100)*(O229/100)</f>
        <v/>
      </c>
      <c r="S229" s="4">
        <f>G229*(K229/360/100)*J229*(O229/100)</f>
        <v/>
      </c>
      <c r="T229" s="4">
        <f>P229-R229+Q229-S229</f>
        <v/>
      </c>
    </row>
    <row r="230">
      <c r="A230" s="2" t="inlineStr">
        <is>
          <t>Oro</t>
        </is>
      </c>
      <c r="B230" s="2" t="inlineStr">
        <is>
          <t>Blanco</t>
        </is>
      </c>
      <c r="C230" s="3" t="n">
        <v>46053</v>
      </c>
      <c r="D230" s="2" t="inlineStr">
        <is>
          <t>A00142489</t>
        </is>
      </c>
      <c r="E230" s="2" t="inlineStr">
        <is>
          <t>Colas Mon…</t>
        </is>
      </c>
      <c r="F230" s="2" t="n">
        <v>2809542</v>
      </c>
      <c r="G230" s="4" t="n">
        <v>776.77</v>
      </c>
      <c r="H230" s="3" t="n">
        <v>46038</v>
      </c>
      <c r="I230" s="3" t="n">
        <v>46156</v>
      </c>
      <c r="J230" s="2" t="n">
        <v>66</v>
      </c>
      <c r="K230" s="2" t="n">
        <v>26.92</v>
      </c>
      <c r="L230" s="2" t="n">
        <v>0.92</v>
      </c>
      <c r="M230" s="4" t="n">
        <v>7.15</v>
      </c>
      <c r="N230" s="4" t="n">
        <v>38.34</v>
      </c>
      <c r="O230" s="2" t="n">
        <v>60</v>
      </c>
      <c r="P230" s="4" t="n">
        <v>4.2</v>
      </c>
      <c r="Q230" s="4" t="n">
        <v>22.85</v>
      </c>
      <c r="R230" s="4">
        <f>G230*(L230/100)*(O230/100)</f>
        <v/>
      </c>
      <c r="S230" s="4">
        <f>G230*(K230/360/100)*J230*(O230/100)</f>
        <v/>
      </c>
      <c r="T230" s="4">
        <f>P230-R230+Q230-S230</f>
        <v/>
      </c>
    </row>
    <row r="231">
      <c r="A231" s="2" t="inlineStr">
        <is>
          <t>Oro</t>
        </is>
      </c>
      <c r="B231" s="2" t="inlineStr">
        <is>
          <t>Blanco</t>
        </is>
      </c>
      <c r="C231" s="3" t="n">
        <v>46053</v>
      </c>
      <c r="D231" s="2" t="inlineStr">
        <is>
          <t>B84562652</t>
        </is>
      </c>
      <c r="E231" s="2" t="inlineStr">
        <is>
          <t>Telas Mold…</t>
        </is>
      </c>
      <c r="F231" s="2" t="n">
        <v>2076465</v>
      </c>
      <c r="G231" s="4" t="n">
        <v>433.33</v>
      </c>
      <c r="H231" s="3" t="n">
        <v>46043</v>
      </c>
      <c r="I231" s="3" t="n">
        <v>46056</v>
      </c>
      <c r="J231" s="2" t="n">
        <v>38</v>
      </c>
      <c r="K231" s="2" t="n">
        <v>12.23</v>
      </c>
      <c r="L231" s="2" t="n">
        <v>1.3</v>
      </c>
      <c r="M231" s="4" t="n">
        <v>5.63</v>
      </c>
      <c r="N231" s="4" t="n">
        <v>5.59</v>
      </c>
      <c r="O231" s="2" t="n">
        <v>40</v>
      </c>
      <c r="P231" s="4" t="n">
        <v>2.27</v>
      </c>
      <c r="Q231" s="4" t="n">
        <v>2.04</v>
      </c>
      <c r="R231" s="4">
        <f>G231*(L231/100)*(O231/100)</f>
        <v/>
      </c>
      <c r="S231" s="4">
        <f>G231*(K231/360/100)*J231*(O231/100)</f>
        <v/>
      </c>
      <c r="T231" s="4">
        <f>P231-R231+Q231-S231</f>
        <v/>
      </c>
    </row>
    <row r="232">
      <c r="A232" s="2" t="inlineStr">
        <is>
          <t>Oro</t>
        </is>
      </c>
      <c r="B232" s="2" t="inlineStr">
        <is>
          <t>Blanco</t>
        </is>
      </c>
      <c r="C232" s="3" t="n">
        <v>46053</v>
      </c>
      <c r="D232" s="2" t="inlineStr">
        <is>
          <t>A28953658</t>
        </is>
      </c>
      <c r="E232" s="2" t="inlineStr">
        <is>
          <t>Mediciones…</t>
        </is>
      </c>
      <c r="F232" s="2" t="n">
        <v>4944537</v>
      </c>
      <c r="G232" s="4" t="n">
        <v>926.87</v>
      </c>
      <c r="H232" s="3" t="n">
        <v>46032</v>
      </c>
      <c r="I232" s="3" t="n">
        <v>46187</v>
      </c>
      <c r="J232" s="2" t="n">
        <v>87</v>
      </c>
      <c r="K232" s="2" t="n">
        <v>35.85</v>
      </c>
      <c r="L232" s="2" t="n">
        <v>1.88</v>
      </c>
      <c r="M232" s="4" t="n">
        <v>17.43</v>
      </c>
      <c r="N232" s="4" t="n">
        <v>80.3</v>
      </c>
      <c r="O232" s="2" t="n">
        <v>50</v>
      </c>
      <c r="P232" s="4" t="n">
        <v>8.539999999999999</v>
      </c>
      <c r="Q232" s="4" t="n">
        <v>39.95</v>
      </c>
      <c r="R232" s="4">
        <f>G232*(L232/100)*(O232/100)</f>
        <v/>
      </c>
      <c r="S232" s="4">
        <f>G232*(K232/360/100)*J232*(O232/100)</f>
        <v/>
      </c>
      <c r="T232" s="4">
        <f>P232-R232+Q232-S232</f>
        <v/>
      </c>
    </row>
    <row r="233">
      <c r="A233" s="2" t="inlineStr">
        <is>
          <t>Oro</t>
        </is>
      </c>
      <c r="B233" s="2" t="inlineStr">
        <is>
          <t>Blanco</t>
        </is>
      </c>
      <c r="C233" s="3" t="n">
        <v>46053</v>
      </c>
      <c r="D233" s="2" t="inlineStr">
        <is>
          <t>B33260353</t>
        </is>
      </c>
      <c r="E233" s="2" t="inlineStr">
        <is>
          <t>Autocares…</t>
        </is>
      </c>
      <c r="F233" s="2" t="n">
        <v>4437093</v>
      </c>
      <c r="G233" s="4" t="n">
        <v>947.66</v>
      </c>
      <c r="H233" s="3" t="n">
        <v>46042</v>
      </c>
      <c r="I233" s="3" t="n">
        <v>46151</v>
      </c>
      <c r="J233" s="2" t="n">
        <v>44</v>
      </c>
      <c r="K233" s="2" t="n">
        <v>42.57</v>
      </c>
      <c r="L233" s="2" t="n">
        <v>0.78</v>
      </c>
      <c r="M233" s="4" t="n">
        <v>7.39</v>
      </c>
      <c r="N233" s="4" t="n">
        <v>49.31</v>
      </c>
      <c r="O233" s="2" t="n">
        <v>30</v>
      </c>
      <c r="P233" s="4" t="n">
        <v>2.41</v>
      </c>
      <c r="Q233" s="4" t="n">
        <v>14.58</v>
      </c>
      <c r="R233" s="4">
        <f>G233*(L233/100)*(O233/100)</f>
        <v/>
      </c>
      <c r="S233" s="4">
        <f>G233*(K233/360/100)*J233*(O233/100)</f>
        <v/>
      </c>
      <c r="T233" s="4">
        <f>P233-R233+Q233-S233</f>
        <v/>
      </c>
    </row>
    <row r="234">
      <c r="A234" s="2" t="inlineStr">
        <is>
          <t>Oro</t>
        </is>
      </c>
      <c r="B234" s="2" t="inlineStr">
        <is>
          <t>Blanco</t>
        </is>
      </c>
      <c r="C234" s="3" t="n">
        <v>46053</v>
      </c>
      <c r="D234" s="2" t="inlineStr">
        <is>
          <t>B13694616</t>
        </is>
      </c>
      <c r="E234" s="2" t="inlineStr">
        <is>
          <t>Galvanizad…</t>
        </is>
      </c>
      <c r="F234" s="2" t="n">
        <v>2192636</v>
      </c>
      <c r="G234" s="4" t="n">
        <v>976.36</v>
      </c>
      <c r="H234" s="3" t="n">
        <v>46036</v>
      </c>
      <c r="I234" s="3" t="n">
        <v>46190</v>
      </c>
      <c r="J234" s="2" t="n">
        <v>60</v>
      </c>
      <c r="K234" s="2" t="n">
        <v>40.67</v>
      </c>
      <c r="L234" s="2" t="n">
        <v>1.34</v>
      </c>
      <c r="M234" s="4" t="n">
        <v>13.08</v>
      </c>
      <c r="N234" s="4" t="n">
        <v>66.18000000000001</v>
      </c>
      <c r="O234" s="2" t="n">
        <v>50</v>
      </c>
      <c r="P234" s="4" t="n">
        <v>6.26</v>
      </c>
      <c r="Q234" s="4" t="n">
        <v>33.3</v>
      </c>
      <c r="R234" s="4">
        <f>G234*(L234/100)*(O234/100)</f>
        <v/>
      </c>
      <c r="S234" s="4">
        <f>G234*(K234/360/100)*J234*(O234/100)</f>
        <v/>
      </c>
      <c r="T234" s="4">
        <f>P234-R234+Q234-S234</f>
        <v/>
      </c>
    </row>
    <row r="235">
      <c r="A235" s="2" t="inlineStr">
        <is>
          <t>Oro</t>
        </is>
      </c>
      <c r="B235" s="2" t="inlineStr">
        <is>
          <t>Blanco</t>
        </is>
      </c>
      <c r="C235" s="3" t="n">
        <v>46053</v>
      </c>
      <c r="D235" s="2" t="inlineStr">
        <is>
          <t>A17788800</t>
        </is>
      </c>
      <c r="E235" s="2" t="inlineStr">
        <is>
          <t>Depósitos…</t>
        </is>
      </c>
      <c r="F235" s="2" t="n">
        <v>1984375</v>
      </c>
      <c r="G235" s="4" t="n">
        <v>949.09</v>
      </c>
      <c r="H235" s="3" t="n">
        <v>46032</v>
      </c>
      <c r="I235" s="3" t="n">
        <v>46069</v>
      </c>
      <c r="J235" s="2" t="n">
        <v>72</v>
      </c>
      <c r="K235" s="2" t="n">
        <v>21.08</v>
      </c>
      <c r="L235" s="2" t="n">
        <v>0.61</v>
      </c>
      <c r="M235" s="4" t="n">
        <v>5.79</v>
      </c>
      <c r="N235" s="4" t="n">
        <v>40.01</v>
      </c>
      <c r="O235" s="2" t="n">
        <v>50</v>
      </c>
      <c r="P235" s="4" t="n">
        <v>3.07</v>
      </c>
      <c r="Q235" s="4" t="n">
        <v>19.73</v>
      </c>
      <c r="R235" s="4">
        <f>G235*(L235/100)*(O235/100)</f>
        <v/>
      </c>
      <c r="S235" s="4">
        <f>G235*(K235/360/100)*J235*(O235/100)</f>
        <v/>
      </c>
      <c r="T235" s="4">
        <f>P235-R235+Q235-S235</f>
        <v/>
      </c>
    </row>
    <row r="236">
      <c r="A236" s="2" t="inlineStr">
        <is>
          <t>Oro</t>
        </is>
      </c>
      <c r="B236" s="2" t="inlineStr">
        <is>
          <t>Blanco</t>
        </is>
      </c>
      <c r="C236" s="3" t="n">
        <v>46053</v>
      </c>
      <c r="D236" s="2" t="inlineStr">
        <is>
          <t>B49158547</t>
        </is>
      </c>
      <c r="E236" s="2" t="inlineStr">
        <is>
          <t>Interruptore…</t>
        </is>
      </c>
      <c r="F236" s="2" t="n">
        <v>4956467</v>
      </c>
      <c r="G236" s="4" t="n">
        <v>8147.03</v>
      </c>
      <c r="H236" s="3" t="n">
        <v>46037</v>
      </c>
      <c r="I236" s="3" t="n">
        <v>46074</v>
      </c>
      <c r="J236" s="2" t="n">
        <v>68</v>
      </c>
      <c r="K236" s="2" t="n">
        <v>43.72</v>
      </c>
      <c r="L236" s="2" t="n">
        <v>2.49</v>
      </c>
      <c r="M236" s="4" t="n">
        <v>202.86</v>
      </c>
      <c r="N236" s="4" t="n">
        <v>672.8</v>
      </c>
      <c r="O236" s="2" t="n">
        <v>60</v>
      </c>
      <c r="P236" s="4" t="n">
        <v>121.82</v>
      </c>
      <c r="Q236" s="4" t="n">
        <v>403.85</v>
      </c>
      <c r="R236" s="4">
        <f>G236*(L236/100)*(O236/100)</f>
        <v/>
      </c>
      <c r="S236" s="4">
        <f>G236*(K236/360/100)*J236*(O236/100)</f>
        <v/>
      </c>
      <c r="T236" s="4">
        <f>P236-R236+Q236-S236</f>
        <v/>
      </c>
    </row>
    <row r="237">
      <c r="A237" s="2" t="inlineStr">
        <is>
          <t>Oro</t>
        </is>
      </c>
      <c r="B237" s="2" t="inlineStr">
        <is>
          <t>Blanco</t>
        </is>
      </c>
      <c r="C237" s="3" t="n">
        <v>46053</v>
      </c>
      <c r="D237" s="2" t="inlineStr">
        <is>
          <t>A83221422</t>
        </is>
      </c>
      <c r="E237" s="2" t="inlineStr">
        <is>
          <t>Fertilizante…</t>
        </is>
      </c>
      <c r="F237" s="2" t="n">
        <v>2191005</v>
      </c>
      <c r="G237" s="4" t="n">
        <v>8916.32</v>
      </c>
      <c r="H237" s="3" t="n">
        <v>46049</v>
      </c>
      <c r="I237" s="3" t="n">
        <v>46198</v>
      </c>
      <c r="J237" s="2" t="n">
        <v>33</v>
      </c>
      <c r="K237" s="2" t="n">
        <v>17.42</v>
      </c>
      <c r="L237" s="2" t="n">
        <v>0.51</v>
      </c>
      <c r="M237" s="4" t="n">
        <v>45.47</v>
      </c>
      <c r="N237" s="4" t="n">
        <v>142.38</v>
      </c>
      <c r="O237" s="2" t="n">
        <v>40</v>
      </c>
      <c r="P237" s="4" t="n">
        <v>18.03</v>
      </c>
      <c r="Q237" s="4" t="n">
        <v>56.83</v>
      </c>
      <c r="R237" s="4">
        <f>G237*(L237/100)*(O237/100)</f>
        <v/>
      </c>
      <c r="S237" s="4">
        <f>G237*(K237/360/100)*J237*(O237/100)</f>
        <v/>
      </c>
      <c r="T237" s="4">
        <f>P237-R237+Q237-S237</f>
        <v/>
      </c>
    </row>
    <row r="238">
      <c r="A238" s="2" t="inlineStr">
        <is>
          <t>Oro</t>
        </is>
      </c>
      <c r="B238" s="2" t="inlineStr">
        <is>
          <t>Blanco</t>
        </is>
      </c>
      <c r="C238" s="3" t="n">
        <v>46053</v>
      </c>
      <c r="D238" s="2" t="inlineStr">
        <is>
          <t>A33813877</t>
        </is>
      </c>
      <c r="E238" s="2" t="inlineStr">
        <is>
          <t>Tractores…</t>
        </is>
      </c>
      <c r="F238" s="2" t="n">
        <v>4875227</v>
      </c>
      <c r="G238" s="4" t="n">
        <v>555.5</v>
      </c>
      <c r="H238" s="3" t="n">
        <v>46044</v>
      </c>
      <c r="I238" s="3" t="n">
        <v>46127</v>
      </c>
      <c r="J238" s="2" t="n">
        <v>22</v>
      </c>
      <c r="K238" s="2" t="n">
        <v>23.06</v>
      </c>
      <c r="L238" s="2" t="n">
        <v>1.22</v>
      </c>
      <c r="M238" s="4" t="n">
        <v>6.78</v>
      </c>
      <c r="N238" s="4" t="n">
        <v>7.83</v>
      </c>
      <c r="O238" s="2" t="n">
        <v>30</v>
      </c>
      <c r="P238" s="4" t="n">
        <v>1.84</v>
      </c>
      <c r="Q238" s="4" t="n">
        <v>2.18</v>
      </c>
      <c r="R238" s="4">
        <f>G238*(L238/100)*(O238/100)</f>
        <v/>
      </c>
      <c r="S238" s="4">
        <f>G238*(K238/360/100)*J238*(O238/100)</f>
        <v/>
      </c>
      <c r="T238" s="4">
        <f>P238-R238+Q238-S238</f>
        <v/>
      </c>
    </row>
    <row r="239">
      <c r="A239" s="2" t="inlineStr">
        <is>
          <t>Oro</t>
        </is>
      </c>
      <c r="B239" s="2" t="inlineStr">
        <is>
          <t>Blanco</t>
        </is>
      </c>
      <c r="C239" s="3" t="n">
        <v>46053</v>
      </c>
      <c r="D239" s="2" t="inlineStr">
        <is>
          <t>A53714136</t>
        </is>
      </c>
      <c r="E239" s="2" t="inlineStr">
        <is>
          <t>Granitos Gl…</t>
        </is>
      </c>
      <c r="F239" s="2" t="n">
        <v>1537136</v>
      </c>
      <c r="G239" s="4" t="n">
        <v>3047.38</v>
      </c>
      <c r="H239" s="3" t="n">
        <v>46036</v>
      </c>
      <c r="I239" s="3" t="n">
        <v>46148</v>
      </c>
      <c r="J239" s="2" t="n">
        <v>65</v>
      </c>
      <c r="K239" s="2" t="n">
        <v>10.94</v>
      </c>
      <c r="L239" s="2" t="n">
        <v>2.65</v>
      </c>
      <c r="M239" s="4" t="n">
        <v>80.76000000000001</v>
      </c>
      <c r="N239" s="4" t="n">
        <v>60.19</v>
      </c>
      <c r="O239" s="2" t="n">
        <v>20</v>
      </c>
      <c r="P239" s="4" t="n">
        <v>16.39</v>
      </c>
      <c r="Q239" s="4" t="n">
        <v>11.85</v>
      </c>
      <c r="R239" s="4">
        <f>G239*(L239/100)*(O239/100)</f>
        <v/>
      </c>
      <c r="S239" s="4">
        <f>G239*(K239/360/100)*J239*(O239/100)</f>
        <v/>
      </c>
      <c r="T239" s="4">
        <f>P239-R239+Q239-S239</f>
        <v/>
      </c>
    </row>
    <row r="240">
      <c r="A240" s="2" t="inlineStr">
        <is>
          <t>Oro</t>
        </is>
      </c>
      <c r="B240" s="2" t="inlineStr">
        <is>
          <t>Blanco</t>
        </is>
      </c>
      <c r="C240" s="3" t="n">
        <v>46053</v>
      </c>
      <c r="D240" s="2" t="inlineStr">
        <is>
          <t>A28060446</t>
        </is>
      </c>
      <c r="E240" s="2" t="inlineStr">
        <is>
          <t>Granos Elá…</t>
        </is>
      </c>
      <c r="F240" s="2" t="n">
        <v>4660334</v>
      </c>
      <c r="G240" s="4" t="n">
        <v>725.2</v>
      </c>
      <c r="H240" s="3" t="n">
        <v>46041</v>
      </c>
      <c r="I240" s="3" t="n">
        <v>46207</v>
      </c>
      <c r="J240" s="2" t="n">
        <v>73</v>
      </c>
      <c r="K240" s="2" t="n">
        <v>11.35</v>
      </c>
      <c r="L240" s="2" t="n">
        <v>2.51</v>
      </c>
      <c r="M240" s="4" t="n">
        <v>18.2</v>
      </c>
      <c r="N240" s="4" t="n">
        <v>16.69</v>
      </c>
      <c r="O240" s="2" t="n">
        <v>70</v>
      </c>
      <c r="P240" s="4" t="n">
        <v>12.54</v>
      </c>
      <c r="Q240" s="4" t="n">
        <v>11.41</v>
      </c>
      <c r="R240" s="4">
        <f>G240*(L240/100)*(O240/100)</f>
        <v/>
      </c>
      <c r="S240" s="4">
        <f>G240*(K240/360/100)*J240*(O240/100)</f>
        <v/>
      </c>
      <c r="T240" s="4">
        <f>P240-R240+Q240-S240</f>
        <v/>
      </c>
    </row>
    <row r="241">
      <c r="A241" s="2" t="inlineStr">
        <is>
          <t>Oro</t>
        </is>
      </c>
      <c r="B241" s="2" t="inlineStr">
        <is>
          <t>Blanco</t>
        </is>
      </c>
      <c r="C241" s="3" t="n">
        <v>46053</v>
      </c>
      <c r="D241" s="2" t="inlineStr">
        <is>
          <t>A01532039</t>
        </is>
      </c>
      <c r="E241" s="2" t="inlineStr">
        <is>
          <t>Cerámicas…</t>
        </is>
      </c>
      <c r="F241" s="2" t="n">
        <v>2201087</v>
      </c>
      <c r="G241" s="4" t="n">
        <v>117.65</v>
      </c>
      <c r="H241" s="3" t="n">
        <v>46038</v>
      </c>
      <c r="I241" s="3" t="n">
        <v>46126</v>
      </c>
      <c r="J241" s="2" t="n">
        <v>18</v>
      </c>
      <c r="K241" s="2" t="n">
        <v>28.75</v>
      </c>
      <c r="L241" s="2" t="n">
        <v>2.65</v>
      </c>
      <c r="M241" s="4" t="n">
        <v>3.12</v>
      </c>
      <c r="N241" s="4" t="n">
        <v>1.69</v>
      </c>
      <c r="O241" s="2" t="n">
        <v>30</v>
      </c>
      <c r="P241" s="4" t="n">
        <v>1.22</v>
      </c>
      <c r="Q241" s="4" t="n">
        <v>0.72</v>
      </c>
      <c r="R241" s="4">
        <f>G241*(L241/100)*(O241/100)</f>
        <v/>
      </c>
      <c r="S241" s="4">
        <f>G241*(K241/360/100)*J241*(O241/100)</f>
        <v/>
      </c>
      <c r="T241" s="4">
        <f>P241-R241+Q241-S241</f>
        <v/>
      </c>
    </row>
    <row r="242">
      <c r="A242" s="2" t="inlineStr">
        <is>
          <t>Oro</t>
        </is>
      </c>
      <c r="B242" s="2" t="inlineStr">
        <is>
          <t>Blanco</t>
        </is>
      </c>
      <c r="C242" s="3" t="n">
        <v>46053</v>
      </c>
      <c r="D242" s="2" t="inlineStr">
        <is>
          <t>A75704652</t>
        </is>
      </c>
      <c r="E242" s="2" t="inlineStr">
        <is>
          <t>Mangueras…</t>
        </is>
      </c>
      <c r="F242" s="2" t="n">
        <v>1631022</v>
      </c>
      <c r="G242" s="4" t="n">
        <v>227.97</v>
      </c>
      <c r="H242" s="3" t="n">
        <v>46029</v>
      </c>
      <c r="I242" s="3" t="n">
        <v>46185</v>
      </c>
      <c r="J242" s="2" t="n">
        <v>73</v>
      </c>
      <c r="K242" s="2" t="n">
        <v>43.11</v>
      </c>
      <c r="L242" s="2" t="n">
        <v>0.85</v>
      </c>
      <c r="M242" s="4" t="n">
        <v>1.94</v>
      </c>
      <c r="N242" s="4" t="n">
        <v>19.93</v>
      </c>
      <c r="O242" s="2" t="n">
        <v>50</v>
      </c>
      <c r="P242" s="4" t="n">
        <v>0.73</v>
      </c>
      <c r="Q242" s="4" t="n">
        <v>9.84</v>
      </c>
      <c r="R242" s="4">
        <f>G242*(L242/100)*(O242/100)</f>
        <v/>
      </c>
      <c r="S242" s="4">
        <f>G242*(K242/360/100)*J242*(O242/100)</f>
        <v/>
      </c>
      <c r="T242" s="4">
        <f>P242-R242+Q242-S242</f>
        <v/>
      </c>
    </row>
    <row r="243">
      <c r="A243" s="2" t="inlineStr">
        <is>
          <t>Oro</t>
        </is>
      </c>
      <c r="B243" s="2" t="inlineStr">
        <is>
          <t>Blanco</t>
        </is>
      </c>
      <c r="C243" s="3" t="n">
        <v>46053</v>
      </c>
      <c r="D243" s="2" t="inlineStr">
        <is>
          <t>A27472379</t>
        </is>
      </c>
      <c r="E243" s="2" t="inlineStr">
        <is>
          <t>Siliconas Bi…</t>
        </is>
      </c>
      <c r="F243" s="2" t="n">
        <v>2967414</v>
      </c>
      <c r="G243" s="4" t="n">
        <v>6789.5</v>
      </c>
      <c r="H243" s="3" t="n">
        <v>46030</v>
      </c>
      <c r="I243" s="3" t="n">
        <v>46119</v>
      </c>
      <c r="J243" s="2" t="n">
        <v>65</v>
      </c>
      <c r="K243" s="2" t="n">
        <v>46.49</v>
      </c>
      <c r="L243" s="2" t="n">
        <v>1.21</v>
      </c>
      <c r="M243" s="4" t="n">
        <v>82.15000000000001</v>
      </c>
      <c r="N243" s="4" t="n">
        <v>569.91</v>
      </c>
      <c r="O243" s="2" t="n">
        <v>50</v>
      </c>
      <c r="P243" s="4" t="n">
        <v>41.23</v>
      </c>
      <c r="Q243" s="4" t="n">
        <v>285.22</v>
      </c>
      <c r="R243" s="4">
        <f>G243*(L243/100)*(O243/100)</f>
        <v/>
      </c>
      <c r="S243" s="4">
        <f>G243*(K243/360/100)*J243*(O243/100)</f>
        <v/>
      </c>
      <c r="T243" s="4">
        <f>P243-R243+Q243-S243</f>
        <v/>
      </c>
    </row>
    <row r="244">
      <c r="A244" s="2" t="inlineStr">
        <is>
          <t>Oro</t>
        </is>
      </c>
      <c r="B244" s="2" t="inlineStr">
        <is>
          <t>Blanco</t>
        </is>
      </c>
      <c r="C244" s="3" t="n">
        <v>46053</v>
      </c>
      <c r="D244" s="2" t="inlineStr">
        <is>
          <t>B48716368</t>
        </is>
      </c>
      <c r="E244" s="2" t="inlineStr">
        <is>
          <t>Papeles Cr…</t>
        </is>
      </c>
      <c r="F244" s="2" t="n">
        <v>4715874</v>
      </c>
      <c r="G244" s="4" t="n">
        <v>6716.29</v>
      </c>
      <c r="H244" s="3" t="n">
        <v>46024</v>
      </c>
      <c r="I244" s="3" t="n">
        <v>46058</v>
      </c>
      <c r="J244" s="2" t="n">
        <v>19</v>
      </c>
      <c r="K244" s="2" t="n">
        <v>35.1</v>
      </c>
      <c r="L244" s="2" t="n">
        <v>1.92</v>
      </c>
      <c r="M244" s="4" t="n">
        <v>128.95</v>
      </c>
      <c r="N244" s="4" t="n">
        <v>124.42</v>
      </c>
      <c r="O244" s="2" t="n">
        <v>70</v>
      </c>
      <c r="P244" s="4" t="n">
        <v>90.34</v>
      </c>
      <c r="Q244" s="4" t="n">
        <v>87.31</v>
      </c>
      <c r="R244" s="4">
        <f>G244*(L244/100)*(O244/100)</f>
        <v/>
      </c>
      <c r="S244" s="4">
        <f>G244*(K244/360/100)*J244*(O244/100)</f>
        <v/>
      </c>
      <c r="T244" s="4">
        <f>P244-R244+Q244-S244</f>
        <v/>
      </c>
    </row>
    <row r="245">
      <c r="A245" s="2" t="inlineStr">
        <is>
          <t>Oro</t>
        </is>
      </c>
      <c r="B245" s="2" t="inlineStr">
        <is>
          <t>Blanco</t>
        </is>
      </c>
      <c r="C245" s="3" t="n">
        <v>46053</v>
      </c>
      <c r="D245" s="2" t="inlineStr">
        <is>
          <t>A26497665</t>
        </is>
      </c>
      <c r="E245" s="2" t="inlineStr">
        <is>
          <t>Hilos Cánta…</t>
        </is>
      </c>
      <c r="F245" s="2" t="n">
        <v>4027803</v>
      </c>
      <c r="G245" s="4" t="n">
        <v>3969.54</v>
      </c>
      <c r="H245" s="3" t="n">
        <v>46043</v>
      </c>
      <c r="I245" s="3" t="n">
        <v>46186</v>
      </c>
      <c r="J245" s="2" t="n">
        <v>55</v>
      </c>
      <c r="K245" s="2" t="n">
        <v>39.45</v>
      </c>
      <c r="L245" s="2" t="n">
        <v>2.52</v>
      </c>
      <c r="M245" s="4" t="n">
        <v>100.03</v>
      </c>
      <c r="N245" s="4" t="n">
        <v>239.25</v>
      </c>
      <c r="O245" s="2" t="n">
        <v>60</v>
      </c>
      <c r="P245" s="4" t="n">
        <v>60.2</v>
      </c>
      <c r="Q245" s="4" t="n">
        <v>143.63</v>
      </c>
      <c r="R245" s="4">
        <f>G245*(L245/100)*(O245/100)</f>
        <v/>
      </c>
      <c r="S245" s="4">
        <f>G245*(K245/360/100)*J245*(O245/100)</f>
        <v/>
      </c>
      <c r="T245" s="4">
        <f>P245-R245+Q245-S245</f>
        <v/>
      </c>
    </row>
    <row r="246">
      <c r="A246" s="2" t="inlineStr">
        <is>
          <t>Oro</t>
        </is>
      </c>
      <c r="B246" s="2" t="inlineStr">
        <is>
          <t>Blanco</t>
        </is>
      </c>
      <c r="C246" s="3" t="n">
        <v>46053</v>
      </c>
      <c r="D246" s="2" t="inlineStr">
        <is>
          <t>A04678513</t>
        </is>
      </c>
      <c r="E246" s="2" t="inlineStr">
        <is>
          <t>Biogases E…</t>
        </is>
      </c>
      <c r="F246" s="2" t="n">
        <v>2518722</v>
      </c>
      <c r="G246" s="4" t="n">
        <v>9921.030000000001</v>
      </c>
      <c r="H246" s="3" t="n">
        <v>46025</v>
      </c>
      <c r="I246" s="3" t="n">
        <v>46160</v>
      </c>
      <c r="J246" s="2" t="n">
        <v>70</v>
      </c>
      <c r="K246" s="2" t="n">
        <v>30.65</v>
      </c>
      <c r="L246" s="2" t="n">
        <v>2.98</v>
      </c>
      <c r="M246" s="4" t="n">
        <v>295.65</v>
      </c>
      <c r="N246" s="4" t="n">
        <v>591.27</v>
      </c>
      <c r="O246" s="2" t="n">
        <v>70</v>
      </c>
      <c r="P246" s="4" t="n">
        <v>207.01</v>
      </c>
      <c r="Q246" s="4" t="n">
        <v>414.06</v>
      </c>
      <c r="R246" s="4">
        <f>G246*(L246/100)*(O246/100)</f>
        <v/>
      </c>
      <c r="S246" s="4">
        <f>G246*(K246/360/100)*J246*(O246/100)</f>
        <v/>
      </c>
      <c r="T246" s="4">
        <f>P246-R246+Q246-S246</f>
        <v/>
      </c>
    </row>
    <row r="247">
      <c r="A247" s="2" t="inlineStr">
        <is>
          <t>Oro</t>
        </is>
      </c>
      <c r="B247" s="2" t="inlineStr">
        <is>
          <t>Blanco</t>
        </is>
      </c>
      <c r="C247" s="3" t="n">
        <v>46053</v>
      </c>
      <c r="D247" s="2" t="inlineStr">
        <is>
          <t>A38794533</t>
        </is>
      </c>
      <c r="E247" s="2" t="inlineStr">
        <is>
          <t>Parquets F…</t>
        </is>
      </c>
      <c r="F247" s="2" t="n">
        <v>4650329</v>
      </c>
      <c r="G247" s="4" t="n">
        <v>799.09</v>
      </c>
      <c r="H247" s="3" t="n">
        <v>46044</v>
      </c>
      <c r="I247" s="3" t="n">
        <v>46178</v>
      </c>
      <c r="J247" s="2" t="n">
        <v>62</v>
      </c>
      <c r="K247" s="2" t="n">
        <v>39.8</v>
      </c>
      <c r="L247" s="2" t="n">
        <v>2.62</v>
      </c>
      <c r="M247" s="4" t="n">
        <v>20.94</v>
      </c>
      <c r="N247" s="4" t="n">
        <v>54.77</v>
      </c>
      <c r="O247" s="2" t="n">
        <v>50</v>
      </c>
      <c r="P247" s="4" t="n">
        <v>10.64</v>
      </c>
      <c r="Q247" s="4" t="n">
        <v>27.26</v>
      </c>
      <c r="R247" s="4">
        <f>G247*(L247/100)*(O247/100)</f>
        <v/>
      </c>
      <c r="S247" s="4">
        <f>G247*(K247/360/100)*J247*(O247/100)</f>
        <v/>
      </c>
      <c r="T247" s="4">
        <f>P247-R247+Q247-S247</f>
        <v/>
      </c>
    </row>
    <row r="248">
      <c r="A248" s="2" t="inlineStr">
        <is>
          <t>Oro</t>
        </is>
      </c>
      <c r="B248" s="2" t="inlineStr">
        <is>
          <t>Blanco</t>
        </is>
      </c>
      <c r="C248" s="3" t="n">
        <v>46053</v>
      </c>
      <c r="D248" s="2" t="inlineStr">
        <is>
          <t>A23855489</t>
        </is>
      </c>
      <c r="E248" s="2" t="inlineStr">
        <is>
          <t>Harinas Atl…</t>
        </is>
      </c>
      <c r="F248" s="2" t="n">
        <v>1599623</v>
      </c>
      <c r="G248" s="4" t="n">
        <v>920.52</v>
      </c>
      <c r="H248" s="3" t="n">
        <v>46044</v>
      </c>
      <c r="I248" s="3" t="n">
        <v>46107</v>
      </c>
      <c r="J248" s="2" t="n">
        <v>69</v>
      </c>
      <c r="K248" s="2" t="n">
        <v>18.16</v>
      </c>
      <c r="L248" s="2" t="n">
        <v>2.18</v>
      </c>
      <c r="M248" s="4" t="n">
        <v>20.07</v>
      </c>
      <c r="N248" s="4" t="n">
        <v>32.04</v>
      </c>
      <c r="O248" s="2" t="n">
        <v>40</v>
      </c>
      <c r="P248" s="4" t="n">
        <v>8.15</v>
      </c>
      <c r="Q248" s="4" t="n">
        <v>12.75</v>
      </c>
      <c r="R248" s="4">
        <f>G248*(L248/100)*(O248/100)</f>
        <v/>
      </c>
      <c r="S248" s="4">
        <f>G248*(K248/360/100)*J248*(O248/100)</f>
        <v/>
      </c>
      <c r="T248" s="4">
        <f>P248-R248+Q248-S248</f>
        <v/>
      </c>
    </row>
    <row r="249">
      <c r="A249" s="2" t="inlineStr">
        <is>
          <t>Oro</t>
        </is>
      </c>
      <c r="B249" s="2" t="inlineStr">
        <is>
          <t>Blanco</t>
        </is>
      </c>
      <c r="C249" s="3" t="n">
        <v>46053</v>
      </c>
      <c r="D249" s="2" t="inlineStr">
        <is>
          <t>A45641575</t>
        </is>
      </c>
      <c r="E249" s="2" t="inlineStr">
        <is>
          <t>Conservas…</t>
        </is>
      </c>
      <c r="F249" s="2" t="n">
        <v>3807152</v>
      </c>
      <c r="G249" s="4" t="n">
        <v>920.2</v>
      </c>
      <c r="H249" s="3" t="n">
        <v>46035</v>
      </c>
      <c r="I249" s="3" t="n">
        <v>46114</v>
      </c>
      <c r="J249" s="2" t="n">
        <v>87</v>
      </c>
      <c r="K249" s="2" t="n">
        <v>24.98</v>
      </c>
      <c r="L249" s="2" t="n">
        <v>2.24</v>
      </c>
      <c r="M249" s="4" t="n">
        <v>20.61</v>
      </c>
      <c r="N249" s="4" t="n">
        <v>55.55</v>
      </c>
      <c r="O249" s="2" t="n">
        <v>50</v>
      </c>
      <c r="P249" s="4" t="n">
        <v>10.54</v>
      </c>
      <c r="Q249" s="4" t="n">
        <v>27.76</v>
      </c>
      <c r="R249" s="4">
        <f>G249*(L249/100)*(O249/100)</f>
        <v/>
      </c>
      <c r="S249" s="4">
        <f>G249*(K249/360/100)*J249*(O249/100)</f>
        <v/>
      </c>
      <c r="T249" s="4">
        <f>P249-R249+Q249-S249</f>
        <v/>
      </c>
    </row>
    <row r="250">
      <c r="A250" s="2" t="inlineStr">
        <is>
          <t>Oro</t>
        </is>
      </c>
      <c r="B250" s="2" t="inlineStr">
        <is>
          <t>Blanco</t>
        </is>
      </c>
      <c r="C250" s="3" t="n">
        <v>46053</v>
      </c>
      <c r="D250" s="2" t="inlineStr">
        <is>
          <t>B77143444</t>
        </is>
      </c>
      <c r="E250" s="2" t="inlineStr">
        <is>
          <t>Ladrillos C…</t>
        </is>
      </c>
      <c r="F250" s="2" t="n">
        <v>1359475</v>
      </c>
      <c r="G250" s="4" t="n">
        <v>6265.45</v>
      </c>
      <c r="H250" s="3" t="n">
        <v>46041</v>
      </c>
      <c r="I250" s="3" t="n">
        <v>46102</v>
      </c>
      <c r="J250" s="2" t="n">
        <v>41</v>
      </c>
      <c r="K250" s="2" t="n">
        <v>26.82</v>
      </c>
      <c r="L250" s="2" t="n">
        <v>0.77</v>
      </c>
      <c r="M250" s="4" t="n">
        <v>48.24</v>
      </c>
      <c r="N250" s="4" t="n">
        <v>191.38</v>
      </c>
      <c r="O250" s="2" t="n">
        <v>20</v>
      </c>
      <c r="P250" s="4" t="n">
        <v>9.539999999999999</v>
      </c>
      <c r="Q250" s="4" t="n">
        <v>38.51</v>
      </c>
      <c r="R250" s="4">
        <f>G250*(L250/100)*(O250/100)</f>
        <v/>
      </c>
      <c r="S250" s="4">
        <f>G250*(K250/360/100)*J250*(O250/100)</f>
        <v/>
      </c>
      <c r="T250" s="4">
        <f>P250-R250+Q250-S250</f>
        <v/>
      </c>
    </row>
    <row r="251">
      <c r="A251" s="2" t="inlineStr">
        <is>
          <t>Oro</t>
        </is>
      </c>
      <c r="B251" s="2" t="inlineStr">
        <is>
          <t>Blanco</t>
        </is>
      </c>
      <c r="C251" s="3" t="n">
        <v>46053</v>
      </c>
      <c r="D251" s="2" t="inlineStr">
        <is>
          <t>B72294548</t>
        </is>
      </c>
      <c r="E251" s="2" t="inlineStr">
        <is>
          <t>Cables Ágil…</t>
        </is>
      </c>
      <c r="F251" s="2" t="n">
        <v>2130213</v>
      </c>
      <c r="G251" s="4" t="n">
        <v>7234.36</v>
      </c>
      <c r="H251" s="3" t="n">
        <v>46032</v>
      </c>
      <c r="I251" s="3" t="n">
        <v>46180</v>
      </c>
      <c r="J251" s="2" t="n">
        <v>86</v>
      </c>
      <c r="K251" s="2" t="n">
        <v>33.94</v>
      </c>
      <c r="L251" s="2" t="n">
        <v>2.51</v>
      </c>
      <c r="M251" s="4" t="n">
        <v>181.58</v>
      </c>
      <c r="N251" s="4" t="n">
        <v>586.55</v>
      </c>
      <c r="O251" s="2" t="n">
        <v>50</v>
      </c>
      <c r="P251" s="4" t="n">
        <v>90.90000000000001</v>
      </c>
      <c r="Q251" s="4" t="n">
        <v>293.37</v>
      </c>
      <c r="R251" s="4">
        <f>G251*(L251/100)*(O251/100)</f>
        <v/>
      </c>
      <c r="S251" s="4">
        <f>G251*(K251/360/100)*J251*(O251/100)</f>
        <v/>
      </c>
      <c r="T251" s="4">
        <f>P251-R251+Q251-S251</f>
        <v/>
      </c>
    </row>
    <row r="252">
      <c r="A252" s="2" t="inlineStr">
        <is>
          <t>Oro</t>
        </is>
      </c>
      <c r="B252" s="2" t="inlineStr">
        <is>
          <t>Blanco</t>
        </is>
      </c>
      <c r="C252" s="3" t="n">
        <v>46053</v>
      </c>
      <c r="D252" s="2" t="inlineStr">
        <is>
          <t>B16656758</t>
        </is>
      </c>
      <c r="E252" s="2" t="inlineStr">
        <is>
          <t>Acumulado…</t>
        </is>
      </c>
      <c r="F252" s="2" t="n">
        <v>1658619</v>
      </c>
      <c r="G252" s="4" t="n">
        <v>765.72</v>
      </c>
      <c r="H252" s="3" t="n">
        <v>46040</v>
      </c>
      <c r="I252" s="3" t="n">
        <v>46078</v>
      </c>
      <c r="J252" s="2" t="n">
        <v>42</v>
      </c>
      <c r="K252" s="2" t="n">
        <v>20.73</v>
      </c>
      <c r="L252" s="2" t="n">
        <v>2.75</v>
      </c>
      <c r="M252" s="4" t="n">
        <v>21.06</v>
      </c>
      <c r="N252" s="4" t="n">
        <v>18.52</v>
      </c>
      <c r="O252" s="2" t="n">
        <v>30</v>
      </c>
      <c r="P252" s="4" t="n">
        <v>6.27</v>
      </c>
      <c r="Q252" s="4" t="n">
        <v>5.37</v>
      </c>
      <c r="R252" s="4">
        <f>G252*(L252/100)*(O252/100)</f>
        <v/>
      </c>
      <c r="S252" s="4">
        <f>G252*(K252/360/100)*J252*(O252/100)</f>
        <v/>
      </c>
      <c r="T252" s="4">
        <f>P252-R252+Q252-S252</f>
        <v/>
      </c>
    </row>
    <row r="253">
      <c r="A253" s="2" t="inlineStr">
        <is>
          <t>Oro</t>
        </is>
      </c>
      <c r="B253" s="2" t="inlineStr">
        <is>
          <t>Blanco</t>
        </is>
      </c>
      <c r="C253" s="3" t="n">
        <v>46053</v>
      </c>
      <c r="D253" s="2" t="inlineStr">
        <is>
          <t>A04551909</t>
        </is>
      </c>
      <c r="E253" s="2" t="inlineStr">
        <is>
          <t>Parquets B…</t>
        </is>
      </c>
      <c r="F253" s="2" t="n">
        <v>1044895</v>
      </c>
      <c r="G253" s="4" t="n">
        <v>371.65</v>
      </c>
      <c r="H253" s="3" t="n">
        <v>46026</v>
      </c>
      <c r="I253" s="3" t="n">
        <v>46054</v>
      </c>
      <c r="J253" s="2" t="n">
        <v>89</v>
      </c>
      <c r="K253" s="2" t="n">
        <v>41.95</v>
      </c>
      <c r="L253" s="2" t="n">
        <v>1.17</v>
      </c>
      <c r="M253" s="4" t="n">
        <v>4.35</v>
      </c>
      <c r="N253" s="4" t="n">
        <v>38.54</v>
      </c>
      <c r="O253" s="2" t="n">
        <v>30</v>
      </c>
      <c r="P253" s="4" t="n">
        <v>1.2</v>
      </c>
      <c r="Q253" s="4" t="n">
        <v>11.69</v>
      </c>
      <c r="R253" s="4">
        <f>G253*(L253/100)*(O253/100)</f>
        <v/>
      </c>
      <c r="S253" s="4">
        <f>G253*(K253/360/100)*J253*(O253/100)</f>
        <v/>
      </c>
      <c r="T253" s="4">
        <f>P253-R253+Q253-S253</f>
        <v/>
      </c>
    </row>
    <row r="254">
      <c r="A254" s="2" t="inlineStr">
        <is>
          <t>Oro</t>
        </is>
      </c>
      <c r="B254" s="2" t="inlineStr">
        <is>
          <t>Blanco</t>
        </is>
      </c>
      <c r="C254" s="3" t="n">
        <v>46053</v>
      </c>
      <c r="D254" s="2" t="inlineStr">
        <is>
          <t>A33813877</t>
        </is>
      </c>
      <c r="E254" s="2" t="inlineStr">
        <is>
          <t>Tractores…</t>
        </is>
      </c>
      <c r="F254" s="2" t="n">
        <v>4142035</v>
      </c>
      <c r="G254" s="4" t="n">
        <v>308.26</v>
      </c>
      <c r="H254" s="3" t="n">
        <v>46028</v>
      </c>
      <c r="I254" s="3" t="n">
        <v>46207</v>
      </c>
      <c r="J254" s="2" t="n">
        <v>28</v>
      </c>
      <c r="K254" s="2" t="n">
        <v>11</v>
      </c>
      <c r="L254" s="2" t="n">
        <v>0.68</v>
      </c>
      <c r="M254" s="4" t="n">
        <v>2.1</v>
      </c>
      <c r="N254" s="4" t="n">
        <v>2.64</v>
      </c>
      <c r="O254" s="2" t="n">
        <v>60</v>
      </c>
      <c r="P254" s="4" t="n">
        <v>0.98</v>
      </c>
      <c r="Q254" s="4" t="n">
        <v>1.61</v>
      </c>
      <c r="R254" s="4">
        <f>G254*(L254/100)*(O254/100)</f>
        <v/>
      </c>
      <c r="S254" s="4">
        <f>G254*(K254/360/100)*J254*(O254/100)</f>
        <v/>
      </c>
      <c r="T254" s="4">
        <f>P254-R254+Q254-S254</f>
        <v/>
      </c>
    </row>
    <row r="255">
      <c r="A255" s="2" t="inlineStr">
        <is>
          <t>Oro</t>
        </is>
      </c>
      <c r="B255" s="2" t="inlineStr">
        <is>
          <t>Blanco</t>
        </is>
      </c>
      <c r="C255" s="3" t="n">
        <v>46053</v>
      </c>
      <c r="D255" s="2" t="inlineStr">
        <is>
          <t>A10255054</t>
        </is>
      </c>
      <c r="E255" s="2" t="inlineStr">
        <is>
          <t>Adhesivos…</t>
        </is>
      </c>
      <c r="F255" s="2" t="n">
        <v>2304981</v>
      </c>
      <c r="G255" s="4" t="n">
        <v>629.59</v>
      </c>
      <c r="H255" s="3" t="n">
        <v>46045</v>
      </c>
      <c r="I255" s="3" t="n">
        <v>46068</v>
      </c>
      <c r="J255" s="2" t="n">
        <v>82</v>
      </c>
      <c r="K255" s="2" t="n">
        <v>11.25</v>
      </c>
      <c r="L255" s="2" t="n">
        <v>2.22</v>
      </c>
      <c r="M255" s="4" t="n">
        <v>13.98</v>
      </c>
      <c r="N255" s="4" t="n">
        <v>16.13</v>
      </c>
      <c r="O255" s="2" t="n">
        <v>70</v>
      </c>
      <c r="P255" s="4" t="n">
        <v>10.03</v>
      </c>
      <c r="Q255" s="4" t="n">
        <v>11.05</v>
      </c>
      <c r="R255" s="4">
        <f>G255*(L255/100)*(O255/100)</f>
        <v/>
      </c>
      <c r="S255" s="4">
        <f>G255*(K255/360/100)*J255*(O255/100)</f>
        <v/>
      </c>
      <c r="T255" s="4">
        <f>P255-R255+Q255-S255</f>
        <v/>
      </c>
    </row>
    <row r="256">
      <c r="A256" s="2" t="inlineStr">
        <is>
          <t>Oro</t>
        </is>
      </c>
      <c r="B256" s="2" t="inlineStr">
        <is>
          <t>Blanco</t>
        </is>
      </c>
      <c r="C256" s="3" t="n">
        <v>46053</v>
      </c>
      <c r="D256" s="2" t="inlineStr">
        <is>
          <t>A54358423</t>
        </is>
      </c>
      <c r="E256" s="2" t="inlineStr">
        <is>
          <t>Cuarzos Ex…</t>
        </is>
      </c>
      <c r="F256" s="2" t="n">
        <v>3327515</v>
      </c>
      <c r="G256" s="4" t="n">
        <v>438.81</v>
      </c>
      <c r="H256" s="3" t="n">
        <v>46029</v>
      </c>
      <c r="I256" s="3" t="n">
        <v>46126</v>
      </c>
      <c r="J256" s="2" t="n">
        <v>55</v>
      </c>
      <c r="K256" s="2" t="n">
        <v>40.86</v>
      </c>
      <c r="L256" s="2" t="n">
        <v>2.26</v>
      </c>
      <c r="M256" s="4" t="n">
        <v>9.92</v>
      </c>
      <c r="N256" s="4" t="n">
        <v>27.39</v>
      </c>
      <c r="O256" s="2" t="n">
        <v>70</v>
      </c>
      <c r="P256" s="4" t="n">
        <v>7.05</v>
      </c>
      <c r="Q256" s="4" t="n">
        <v>19.02</v>
      </c>
      <c r="R256" s="4">
        <f>G256*(L256/100)*(O256/100)</f>
        <v/>
      </c>
      <c r="S256" s="4">
        <f>G256*(K256/360/100)*J256*(O256/100)</f>
        <v/>
      </c>
      <c r="T256" s="4">
        <f>P256-R256+Q256-S256</f>
        <v/>
      </c>
    </row>
    <row r="257">
      <c r="A257" s="2" t="inlineStr">
        <is>
          <t>Oro</t>
        </is>
      </c>
      <c r="B257" s="2" t="inlineStr">
        <is>
          <t>Blanco</t>
        </is>
      </c>
      <c r="C257" s="3" t="n">
        <v>46053</v>
      </c>
      <c r="D257" s="2" t="inlineStr">
        <is>
          <t>B38841422</t>
        </is>
      </c>
      <c r="E257" s="2" t="inlineStr">
        <is>
          <t>Tejidos Inte…</t>
        </is>
      </c>
      <c r="F257" s="2" t="n">
        <v>1538380</v>
      </c>
      <c r="G257" s="4" t="n">
        <v>252.04</v>
      </c>
      <c r="H257" s="3" t="n">
        <v>46050</v>
      </c>
      <c r="I257" s="3" t="n">
        <v>46077</v>
      </c>
      <c r="J257" s="2" t="n">
        <v>58</v>
      </c>
      <c r="K257" s="2" t="n">
        <v>12.03</v>
      </c>
      <c r="L257" s="2" t="n">
        <v>0.53</v>
      </c>
      <c r="M257" s="4" t="n">
        <v>1.34</v>
      </c>
      <c r="N257" s="4" t="n">
        <v>4.88</v>
      </c>
      <c r="O257" s="2" t="n">
        <v>50</v>
      </c>
      <c r="P257" s="4" t="n">
        <v>0.61</v>
      </c>
      <c r="Q257" s="4" t="n">
        <v>2.22</v>
      </c>
      <c r="R257" s="4">
        <f>G257*(L257/100)*(O257/100)</f>
        <v/>
      </c>
      <c r="S257" s="4">
        <f>G257*(K257/360/100)*J257*(O257/100)</f>
        <v/>
      </c>
      <c r="T257" s="4">
        <f>P257-R257+Q257-S257</f>
        <v/>
      </c>
    </row>
    <row r="258">
      <c r="A258" s="2" t="inlineStr">
        <is>
          <t>Oro</t>
        </is>
      </c>
      <c r="B258" s="2" t="inlineStr">
        <is>
          <t>Blanco</t>
        </is>
      </c>
      <c r="C258" s="3" t="n">
        <v>46053</v>
      </c>
      <c r="D258" s="2" t="inlineStr">
        <is>
          <t>B43933366</t>
        </is>
      </c>
      <c r="E258" s="2" t="inlineStr">
        <is>
          <t>Microchips…</t>
        </is>
      </c>
      <c r="F258" s="2" t="n">
        <v>1936594</v>
      </c>
      <c r="G258" s="4" t="n">
        <v>701.22</v>
      </c>
      <c r="H258" s="3" t="n">
        <v>46038</v>
      </c>
      <c r="I258" s="3" t="n">
        <v>46178</v>
      </c>
      <c r="J258" s="2" t="n">
        <v>44</v>
      </c>
      <c r="K258" s="2" t="n">
        <v>46.24</v>
      </c>
      <c r="L258" s="2" t="n">
        <v>1.71</v>
      </c>
      <c r="M258" s="4" t="n">
        <v>11.99</v>
      </c>
      <c r="N258" s="4" t="n">
        <v>39.63</v>
      </c>
      <c r="O258" s="2" t="n">
        <v>40</v>
      </c>
      <c r="P258" s="4" t="n">
        <v>5.05</v>
      </c>
      <c r="Q258" s="4" t="n">
        <v>15.77</v>
      </c>
      <c r="R258" s="4">
        <f>G258*(L258/100)*(O258/100)</f>
        <v/>
      </c>
      <c r="S258" s="4">
        <f>G258*(K258/360/100)*J258*(O258/100)</f>
        <v/>
      </c>
      <c r="T258" s="4">
        <f>P258-R258+Q258-S258</f>
        <v/>
      </c>
    </row>
    <row r="259">
      <c r="A259" s="2" t="inlineStr">
        <is>
          <t>Oro</t>
        </is>
      </c>
      <c r="B259" s="2" t="inlineStr">
        <is>
          <t>Blanco</t>
        </is>
      </c>
      <c r="C259" s="3" t="n">
        <v>46053</v>
      </c>
      <c r="D259" s="2" t="inlineStr">
        <is>
          <t>B80664548</t>
        </is>
      </c>
      <c r="E259" s="2" t="inlineStr">
        <is>
          <t>Correas Op…</t>
        </is>
      </c>
      <c r="F259" s="2" t="n">
        <v>1615159</v>
      </c>
      <c r="G259" s="4" t="n">
        <v>965.58</v>
      </c>
      <c r="H259" s="3" t="n">
        <v>46037</v>
      </c>
      <c r="I259" s="3" t="n">
        <v>46105</v>
      </c>
      <c r="J259" s="2" t="n">
        <v>14</v>
      </c>
      <c r="K259" s="2" t="n">
        <v>26.12</v>
      </c>
      <c r="L259" s="2" t="n">
        <v>2.76</v>
      </c>
      <c r="M259" s="4" t="n">
        <v>26.65</v>
      </c>
      <c r="N259" s="4" t="n">
        <v>9.81</v>
      </c>
      <c r="O259" s="2" t="n">
        <v>30</v>
      </c>
      <c r="P259" s="4" t="n">
        <v>7.78</v>
      </c>
      <c r="Q259" s="4" t="n">
        <v>2.76</v>
      </c>
      <c r="R259" s="4">
        <f>G259*(L259/100)*(O259/100)</f>
        <v/>
      </c>
      <c r="S259" s="4">
        <f>G259*(K259/360/100)*J259*(O259/100)</f>
        <v/>
      </c>
      <c r="T259" s="4">
        <f>P259-R259+Q259-S259</f>
        <v/>
      </c>
    </row>
    <row r="260">
      <c r="A260" s="2" t="inlineStr">
        <is>
          <t>Oro</t>
        </is>
      </c>
      <c r="B260" s="2" t="inlineStr">
        <is>
          <t>Blanco</t>
        </is>
      </c>
      <c r="C260" s="3" t="n">
        <v>46053</v>
      </c>
      <c r="D260" s="2" t="inlineStr">
        <is>
          <t>A30756925</t>
        </is>
      </c>
      <c r="E260" s="2" t="inlineStr">
        <is>
          <t>Talcos Dor…</t>
        </is>
      </c>
      <c r="F260" s="2" t="n">
        <v>4590043</v>
      </c>
      <c r="G260" s="4" t="n">
        <v>725.98</v>
      </c>
      <c r="H260" s="3" t="n">
        <v>46032</v>
      </c>
      <c r="I260" s="3" t="n">
        <v>46132</v>
      </c>
      <c r="J260" s="2" t="n">
        <v>69</v>
      </c>
      <c r="K260" s="2" t="n">
        <v>19.2</v>
      </c>
      <c r="L260" s="2" t="n">
        <v>2.38</v>
      </c>
      <c r="M260" s="4" t="n">
        <v>17.28</v>
      </c>
      <c r="N260" s="4" t="n">
        <v>26.72</v>
      </c>
      <c r="O260" s="2" t="n">
        <v>20</v>
      </c>
      <c r="P260" s="4" t="n">
        <v>3.68</v>
      </c>
      <c r="Q260" s="4" t="n">
        <v>5.59</v>
      </c>
      <c r="R260" s="4">
        <f>G260*(L260/100)*(O260/100)</f>
        <v/>
      </c>
      <c r="S260" s="4">
        <f>G260*(K260/360/100)*J260*(O260/100)</f>
        <v/>
      </c>
      <c r="T260" s="4">
        <f>P260-R260+Q260-S260</f>
        <v/>
      </c>
    </row>
    <row r="261">
      <c r="A261" s="2" t="inlineStr">
        <is>
          <t>Oro</t>
        </is>
      </c>
      <c r="B261" s="2" t="inlineStr">
        <is>
          <t>Blanco</t>
        </is>
      </c>
      <c r="C261" s="3" t="n">
        <v>46053</v>
      </c>
      <c r="D261" s="2" t="inlineStr">
        <is>
          <t>A53939208</t>
        </is>
      </c>
      <c r="E261" s="2" t="inlineStr">
        <is>
          <t>Disolventes…</t>
        </is>
      </c>
      <c r="F261" s="2" t="n">
        <v>2118597</v>
      </c>
      <c r="G261" s="4" t="n">
        <v>980.8200000000001</v>
      </c>
      <c r="H261" s="3" t="n">
        <v>46031</v>
      </c>
      <c r="I261" s="3" t="n">
        <v>46152</v>
      </c>
      <c r="J261" s="2" t="n">
        <v>61</v>
      </c>
      <c r="K261" s="2" t="n">
        <v>24.32</v>
      </c>
      <c r="L261" s="2" t="n">
        <v>2.62</v>
      </c>
      <c r="M261" s="4" t="n">
        <v>25.7</v>
      </c>
      <c r="N261" s="4" t="n">
        <v>40.42</v>
      </c>
      <c r="O261" s="2" t="n">
        <v>40</v>
      </c>
      <c r="P261" s="4" t="n">
        <v>10.04</v>
      </c>
      <c r="Q261" s="4" t="n">
        <v>16.42</v>
      </c>
      <c r="R261" s="4">
        <f>G261*(L261/100)*(O261/100)</f>
        <v/>
      </c>
      <c r="S261" s="4">
        <f>G261*(K261/360/100)*J261*(O261/100)</f>
        <v/>
      </c>
      <c r="T261" s="4">
        <f>P261-R261+Q261-S261</f>
        <v/>
      </c>
    </row>
    <row r="262">
      <c r="A262" s="2" t="inlineStr">
        <is>
          <t>Oro</t>
        </is>
      </c>
      <c r="B262" s="2" t="inlineStr">
        <is>
          <t>Blanco</t>
        </is>
      </c>
      <c r="C262" s="3" t="n">
        <v>46053</v>
      </c>
      <c r="D262" s="2" t="inlineStr">
        <is>
          <t>B27562387</t>
        </is>
      </c>
      <c r="E262" s="2" t="inlineStr">
        <is>
          <t>Fermentos…</t>
        </is>
      </c>
      <c r="F262" s="2" t="n">
        <v>2702761</v>
      </c>
      <c r="G262" s="4" t="n">
        <v>164.55</v>
      </c>
      <c r="H262" s="3" t="n">
        <v>46036</v>
      </c>
      <c r="I262" s="3" t="n">
        <v>46211</v>
      </c>
      <c r="J262" s="2" t="n">
        <v>83</v>
      </c>
      <c r="K262" s="2" t="n">
        <v>43.73</v>
      </c>
      <c r="L262" s="2" t="n">
        <v>2.39</v>
      </c>
      <c r="M262" s="4" t="n">
        <v>3.93</v>
      </c>
      <c r="N262" s="4" t="n">
        <v>16.59</v>
      </c>
      <c r="O262" s="2" t="n">
        <v>50</v>
      </c>
      <c r="P262" s="4" t="n">
        <v>1.85</v>
      </c>
      <c r="Q262" s="4" t="n">
        <v>8.57</v>
      </c>
      <c r="R262" s="4">
        <f>G262*(L262/100)*(O262/100)</f>
        <v/>
      </c>
      <c r="S262" s="4">
        <f>G262*(K262/360/100)*J262*(O262/100)</f>
        <v/>
      </c>
      <c r="T262" s="4">
        <f>P262-R262+Q262-S262</f>
        <v/>
      </c>
    </row>
    <row r="263">
      <c r="A263" s="2" t="inlineStr">
        <is>
          <t>Oro</t>
        </is>
      </c>
      <c r="B263" s="2" t="inlineStr">
        <is>
          <t>Blanco</t>
        </is>
      </c>
      <c r="C263" s="3" t="n">
        <v>46053</v>
      </c>
      <c r="D263" s="2" t="inlineStr">
        <is>
          <t>A35147442</t>
        </is>
      </c>
      <c r="E263" s="2" t="inlineStr">
        <is>
          <t>Palets Vas…</t>
        </is>
      </c>
      <c r="F263" s="2" t="n">
        <v>4919031</v>
      </c>
      <c r="G263" s="4" t="n">
        <v>493.69</v>
      </c>
      <c r="H263" s="3" t="n">
        <v>46047</v>
      </c>
      <c r="I263" s="3" t="n">
        <v>46105</v>
      </c>
      <c r="J263" s="2" t="n">
        <v>74</v>
      </c>
      <c r="K263" s="2" t="n">
        <v>46.21</v>
      </c>
      <c r="L263" s="2" t="n">
        <v>1.52</v>
      </c>
      <c r="M263" s="4" t="n">
        <v>7.5</v>
      </c>
      <c r="N263" s="4" t="n">
        <v>46.89</v>
      </c>
      <c r="O263" s="2" t="n">
        <v>50</v>
      </c>
      <c r="P263" s="4" t="n">
        <v>3.9</v>
      </c>
      <c r="Q263" s="4" t="n">
        <v>23.71</v>
      </c>
      <c r="R263" s="4">
        <f>G263*(L263/100)*(O263/100)</f>
        <v/>
      </c>
      <c r="S263" s="4">
        <f>G263*(K263/360/100)*J263*(O263/100)</f>
        <v/>
      </c>
      <c r="T263" s="4">
        <f>P263-R263+Q263-S263</f>
        <v/>
      </c>
    </row>
    <row r="264">
      <c r="A264" s="2" t="inlineStr">
        <is>
          <t>Oro</t>
        </is>
      </c>
      <c r="B264" s="2" t="inlineStr">
        <is>
          <t>Blanco</t>
        </is>
      </c>
      <c r="C264" s="3" t="n">
        <v>46053</v>
      </c>
      <c r="D264" s="2" t="inlineStr">
        <is>
          <t>A49299382</t>
        </is>
      </c>
      <c r="E264" s="2" t="inlineStr">
        <is>
          <t>Redes Cert…</t>
        </is>
      </c>
      <c r="F264" s="2" t="n">
        <v>2320151</v>
      </c>
      <c r="G264" s="4" t="n">
        <v>382.13</v>
      </c>
      <c r="H264" s="3" t="n">
        <v>46048</v>
      </c>
      <c r="I264" s="3" t="n">
        <v>46193</v>
      </c>
      <c r="J264" s="2" t="n">
        <v>21</v>
      </c>
      <c r="K264" s="2" t="n">
        <v>45.18</v>
      </c>
      <c r="L264" s="2" t="n">
        <v>0.82</v>
      </c>
      <c r="M264" s="4" t="n">
        <v>3.13</v>
      </c>
      <c r="N264" s="4" t="n">
        <v>10.07</v>
      </c>
      <c r="O264" s="2" t="n">
        <v>40</v>
      </c>
      <c r="P264" s="4" t="n">
        <v>1.49</v>
      </c>
      <c r="Q264" s="4" t="n">
        <v>3.93</v>
      </c>
      <c r="R264" s="4">
        <f>G264*(L264/100)*(O264/100)</f>
        <v/>
      </c>
      <c r="S264" s="4">
        <f>G264*(K264/360/100)*J264*(O264/100)</f>
        <v/>
      </c>
      <c r="T264" s="4">
        <f>P264-R264+Q264-S264</f>
        <v/>
      </c>
    </row>
    <row r="265">
      <c r="A265" s="2" t="inlineStr">
        <is>
          <t>Oro</t>
        </is>
      </c>
      <c r="B265" s="2" t="inlineStr">
        <is>
          <t>Blanco</t>
        </is>
      </c>
      <c r="C265" s="3" t="n">
        <v>46053</v>
      </c>
      <c r="D265" s="2" t="inlineStr">
        <is>
          <t>B51934390</t>
        </is>
      </c>
      <c r="E265" s="2" t="inlineStr">
        <is>
          <t>Digitalizaci…</t>
        </is>
      </c>
      <c r="F265" s="2" t="n">
        <v>1656169</v>
      </c>
      <c r="G265" s="4" t="n">
        <v>245.63</v>
      </c>
      <c r="H265" s="3" t="n">
        <v>46038</v>
      </c>
      <c r="I265" s="3" t="n">
        <v>46055</v>
      </c>
      <c r="J265" s="2" t="n">
        <v>75</v>
      </c>
      <c r="K265" s="2" t="n">
        <v>10.16</v>
      </c>
      <c r="L265" s="2" t="n">
        <v>1.31</v>
      </c>
      <c r="M265" s="4" t="n">
        <v>3.22</v>
      </c>
      <c r="N265" s="4" t="n">
        <v>5.2</v>
      </c>
      <c r="O265" s="2" t="n">
        <v>50</v>
      </c>
      <c r="P265" s="4" t="n">
        <v>1.72</v>
      </c>
      <c r="Q265" s="4" t="n">
        <v>2.84</v>
      </c>
      <c r="R265" s="4">
        <f>G265*(L265/100)*(O265/100)</f>
        <v/>
      </c>
      <c r="S265" s="4">
        <f>G265*(K265/360/100)*J265*(O265/100)</f>
        <v/>
      </c>
      <c r="T265" s="4">
        <f>P265-R265+Q265-S265</f>
        <v/>
      </c>
    </row>
    <row r="266">
      <c r="A266" s="2" t="inlineStr">
        <is>
          <t>Oro</t>
        </is>
      </c>
      <c r="B266" s="2" t="inlineStr">
        <is>
          <t>Blanco</t>
        </is>
      </c>
      <c r="C266" s="3" t="n">
        <v>46053</v>
      </c>
      <c r="D266" s="2" t="inlineStr">
        <is>
          <t>A79826349</t>
        </is>
      </c>
      <c r="E266" s="2" t="inlineStr">
        <is>
          <t>Silos Antifu…</t>
        </is>
      </c>
      <c r="F266" s="2" t="n">
        <v>4176769</v>
      </c>
      <c r="G266" s="4" t="n">
        <v>457.21</v>
      </c>
      <c r="H266" s="3" t="n">
        <v>46035</v>
      </c>
      <c r="I266" s="3" t="n">
        <v>46165</v>
      </c>
      <c r="J266" s="2" t="n">
        <v>38</v>
      </c>
      <c r="K266" s="2" t="n">
        <v>15.94</v>
      </c>
      <c r="L266" s="2" t="n">
        <v>0.98</v>
      </c>
      <c r="M266" s="4" t="n">
        <v>4.48</v>
      </c>
      <c r="N266" s="4" t="n">
        <v>7.69</v>
      </c>
      <c r="O266" s="2" t="n">
        <v>70</v>
      </c>
      <c r="P266" s="4" t="n">
        <v>3.37</v>
      </c>
      <c r="Q266" s="4" t="n">
        <v>5.44</v>
      </c>
      <c r="R266" s="4">
        <f>G266*(L266/100)*(O266/100)</f>
        <v/>
      </c>
      <c r="S266" s="4">
        <f>G266*(K266/360/100)*J266*(O266/100)</f>
        <v/>
      </c>
      <c r="T266" s="4">
        <f>P266-R266+Q266-S266</f>
        <v/>
      </c>
    </row>
    <row r="267">
      <c r="A267" s="2" t="inlineStr">
        <is>
          <t>Oro</t>
        </is>
      </c>
      <c r="B267" s="2" t="inlineStr">
        <is>
          <t>Blanco</t>
        </is>
      </c>
      <c r="C267" s="3" t="n">
        <v>46053</v>
      </c>
      <c r="D267" s="2" t="inlineStr">
        <is>
          <t>A19606836</t>
        </is>
      </c>
      <c r="E267" s="2" t="inlineStr">
        <is>
          <t>Drenajes A…</t>
        </is>
      </c>
      <c r="F267" s="2" t="n">
        <v>4618897</v>
      </c>
      <c r="G267" s="4" t="n">
        <v>8877.690000000001</v>
      </c>
      <c r="H267" s="3" t="n">
        <v>46033</v>
      </c>
      <c r="I267" s="3" t="n">
        <v>46102</v>
      </c>
      <c r="J267" s="2" t="n">
        <v>69</v>
      </c>
      <c r="K267" s="2" t="n">
        <v>35.4</v>
      </c>
      <c r="L267" s="2" t="n">
        <v>2.96</v>
      </c>
      <c r="M267" s="4" t="n">
        <v>262.78</v>
      </c>
      <c r="N267" s="4" t="n">
        <v>602.35</v>
      </c>
      <c r="O267" s="2" t="n">
        <v>30</v>
      </c>
      <c r="P267" s="4" t="n">
        <v>78.69</v>
      </c>
      <c r="Q267" s="4" t="n">
        <v>180.76</v>
      </c>
      <c r="R267" s="4">
        <f>G267*(L267/100)*(O267/100)</f>
        <v/>
      </c>
      <c r="S267" s="4">
        <f>G267*(K267/360/100)*J267*(O267/100)</f>
        <v/>
      </c>
      <c r="T267" s="4">
        <f>P267-R267+Q267-S267</f>
        <v/>
      </c>
    </row>
    <row r="268">
      <c r="A268" s="2" t="inlineStr">
        <is>
          <t>Oro</t>
        </is>
      </c>
      <c r="B268" s="2" t="inlineStr">
        <is>
          <t>Blanco</t>
        </is>
      </c>
      <c r="C268" s="3" t="n">
        <v>46053</v>
      </c>
      <c r="D268" s="2" t="inlineStr">
        <is>
          <t>B29440893</t>
        </is>
      </c>
      <c r="E268" s="2" t="inlineStr">
        <is>
          <t>Instalacion…</t>
        </is>
      </c>
      <c r="F268" s="2" t="n">
        <v>1721021</v>
      </c>
      <c r="G268" s="4" t="n">
        <v>288.54</v>
      </c>
      <c r="H268" s="3" t="n">
        <v>46039</v>
      </c>
      <c r="I268" s="3" t="n">
        <v>46054</v>
      </c>
      <c r="J268" s="2" t="n">
        <v>75</v>
      </c>
      <c r="K268" s="2" t="n">
        <v>38.04</v>
      </c>
      <c r="L268" s="2" t="n">
        <v>1.63</v>
      </c>
      <c r="M268" s="4" t="n">
        <v>4.7</v>
      </c>
      <c r="N268" s="4" t="n">
        <v>22.87</v>
      </c>
      <c r="O268" s="2" t="n">
        <v>40</v>
      </c>
      <c r="P268" s="4" t="n">
        <v>2.01</v>
      </c>
      <c r="Q268" s="4" t="n">
        <v>9.42</v>
      </c>
      <c r="R268" s="4">
        <f>G268*(L268/100)*(O268/100)</f>
        <v/>
      </c>
      <c r="S268" s="4">
        <f>G268*(K268/360/100)*J268*(O268/100)</f>
        <v/>
      </c>
      <c r="T268" s="4">
        <f>P268-R268+Q268-S268</f>
        <v/>
      </c>
    </row>
    <row r="269">
      <c r="A269" s="2" t="inlineStr">
        <is>
          <t>Oro</t>
        </is>
      </c>
      <c r="B269" s="2" t="inlineStr">
        <is>
          <t>Blanco</t>
        </is>
      </c>
      <c r="C269" s="3" t="n">
        <v>46053</v>
      </c>
      <c r="D269" s="2" t="inlineStr">
        <is>
          <t>A83294252</t>
        </is>
      </c>
      <c r="E269" s="2" t="inlineStr">
        <is>
          <t>Agroquímic…</t>
        </is>
      </c>
      <c r="F269" s="2" t="n">
        <v>3314629</v>
      </c>
      <c r="G269" s="4" t="n">
        <v>503.17</v>
      </c>
      <c r="H269" s="3" t="n">
        <v>46033</v>
      </c>
      <c r="I269" s="3" t="n">
        <v>46080</v>
      </c>
      <c r="J269" s="2" t="n">
        <v>22</v>
      </c>
      <c r="K269" s="2" t="n">
        <v>12.59</v>
      </c>
      <c r="L269" s="2" t="n">
        <v>1.21</v>
      </c>
      <c r="M269" s="4" t="n">
        <v>6.09</v>
      </c>
      <c r="N269" s="4" t="n">
        <v>3.87</v>
      </c>
      <c r="O269" s="2" t="n">
        <v>20</v>
      </c>
      <c r="P269" s="4" t="n">
        <v>1.46</v>
      </c>
      <c r="Q269" s="4" t="n">
        <v>0.88</v>
      </c>
      <c r="R269" s="4">
        <f>G269*(L269/100)*(O269/100)</f>
        <v/>
      </c>
      <c r="S269" s="4">
        <f>G269*(K269/360/100)*J269*(O269/100)</f>
        <v/>
      </c>
      <c r="T269" s="4">
        <f>P269-R269+Q269-S269</f>
        <v/>
      </c>
    </row>
    <row r="270">
      <c r="A270" s="2" t="inlineStr">
        <is>
          <t>Oro</t>
        </is>
      </c>
      <c r="B270" s="2" t="inlineStr">
        <is>
          <t>Blanco</t>
        </is>
      </c>
      <c r="C270" s="3" t="n">
        <v>46053</v>
      </c>
      <c r="D270" s="2" t="inlineStr">
        <is>
          <t>A78687274</t>
        </is>
      </c>
      <c r="E270" s="2" t="inlineStr">
        <is>
          <t>Cojinetes R…</t>
        </is>
      </c>
      <c r="F270" s="2" t="n">
        <v>2785135</v>
      </c>
      <c r="G270" s="4" t="n">
        <v>500.73</v>
      </c>
      <c r="H270" s="3" t="n">
        <v>46026</v>
      </c>
      <c r="I270" s="3" t="n">
        <v>46122</v>
      </c>
      <c r="J270" s="2" t="n">
        <v>80</v>
      </c>
      <c r="K270" s="2" t="n">
        <v>25.04</v>
      </c>
      <c r="L270" s="2" t="n">
        <v>1.17</v>
      </c>
      <c r="M270" s="4" t="n">
        <v>5.86</v>
      </c>
      <c r="N270" s="4" t="n">
        <v>27.86</v>
      </c>
      <c r="O270" s="2" t="n">
        <v>40</v>
      </c>
      <c r="P270" s="4" t="n">
        <v>2.33</v>
      </c>
      <c r="Q270" s="4" t="n">
        <v>11.42</v>
      </c>
      <c r="R270" s="4">
        <f>G270*(L270/100)*(O270/100)</f>
        <v/>
      </c>
      <c r="S270" s="4">
        <f>G270*(K270/360/100)*J270*(O270/100)</f>
        <v/>
      </c>
      <c r="T270" s="4">
        <f>P270-R270+Q270-S270</f>
        <v/>
      </c>
    </row>
    <row r="271">
      <c r="A271" s="2" t="inlineStr">
        <is>
          <t>Oro</t>
        </is>
      </c>
      <c r="B271" s="2" t="inlineStr">
        <is>
          <t>Blanco</t>
        </is>
      </c>
      <c r="C271" s="3" t="n">
        <v>46053</v>
      </c>
      <c r="D271" s="2" t="inlineStr">
        <is>
          <t>B10393105</t>
        </is>
      </c>
      <c r="E271" s="2" t="inlineStr">
        <is>
          <t>Aparejos S…</t>
        </is>
      </c>
      <c r="F271" s="2" t="n">
        <v>1444382</v>
      </c>
      <c r="G271" s="4" t="n">
        <v>302.57</v>
      </c>
      <c r="H271" s="3" t="n">
        <v>46024</v>
      </c>
      <c r="I271" s="3" t="n">
        <v>46120</v>
      </c>
      <c r="J271" s="2" t="n">
        <v>17</v>
      </c>
      <c r="K271" s="2" t="n">
        <v>21.91</v>
      </c>
      <c r="L271" s="2" t="n">
        <v>2.28</v>
      </c>
      <c r="M271" s="4" t="n">
        <v>6.9</v>
      </c>
      <c r="N271" s="4" t="n">
        <v>3.13</v>
      </c>
      <c r="O271" s="2" t="n">
        <v>70</v>
      </c>
      <c r="P271" s="4" t="n">
        <v>4.68</v>
      </c>
      <c r="Q271" s="4" t="n">
        <v>2.3</v>
      </c>
      <c r="R271" s="4">
        <f>G271*(L271/100)*(O271/100)</f>
        <v/>
      </c>
      <c r="S271" s="4">
        <f>G271*(K271/360/100)*J271*(O271/100)</f>
        <v/>
      </c>
      <c r="T271" s="4">
        <f>P271-R271+Q271-S271</f>
        <v/>
      </c>
    </row>
    <row r="272">
      <c r="A272" s="2" t="inlineStr">
        <is>
          <t>Oro</t>
        </is>
      </c>
      <c r="B272" s="2" t="inlineStr">
        <is>
          <t>Blanco</t>
        </is>
      </c>
      <c r="C272" s="3" t="n">
        <v>46053</v>
      </c>
      <c r="D272" s="2" t="inlineStr">
        <is>
          <t>A67558386</t>
        </is>
      </c>
      <c r="E272" s="2" t="inlineStr">
        <is>
          <t>Alcalis Orie…</t>
        </is>
      </c>
      <c r="F272" s="2" t="n">
        <v>1670137</v>
      </c>
      <c r="G272" s="4" t="n">
        <v>5674</v>
      </c>
      <c r="H272" s="3" t="n">
        <v>46032</v>
      </c>
      <c r="I272" s="3" t="n">
        <v>46100</v>
      </c>
      <c r="J272" s="2" t="n">
        <v>66</v>
      </c>
      <c r="K272" s="2" t="n">
        <v>11.45</v>
      </c>
      <c r="L272" s="2" t="n">
        <v>1.12</v>
      </c>
      <c r="M272" s="4" t="n">
        <v>63.55</v>
      </c>
      <c r="N272" s="4" t="n">
        <v>119.11</v>
      </c>
      <c r="O272" s="2" t="n">
        <v>60</v>
      </c>
      <c r="P272" s="4" t="n">
        <v>38.41</v>
      </c>
      <c r="Q272" s="4" t="n">
        <v>71.62</v>
      </c>
      <c r="R272" s="4">
        <f>G272*(L272/100)*(O272/100)</f>
        <v/>
      </c>
      <c r="S272" s="4">
        <f>G272*(K272/360/100)*J272*(O272/100)</f>
        <v/>
      </c>
      <c r="T272" s="4">
        <f>P272-R272+Q272-S272</f>
        <v/>
      </c>
    </row>
    <row r="273">
      <c r="A273" s="2" t="inlineStr">
        <is>
          <t>Oro</t>
        </is>
      </c>
      <c r="B273" s="2" t="inlineStr">
        <is>
          <t>Blanco</t>
        </is>
      </c>
      <c r="C273" s="3" t="n">
        <v>46053</v>
      </c>
      <c r="D273" s="2" t="inlineStr">
        <is>
          <t>A59318148</t>
        </is>
      </c>
      <c r="E273" s="2" t="inlineStr">
        <is>
          <t>Forjados Ef…</t>
        </is>
      </c>
      <c r="F273" s="2" t="n">
        <v>3992927</v>
      </c>
      <c r="G273" s="4" t="n">
        <v>681.15</v>
      </c>
      <c r="H273" s="3" t="n">
        <v>46039</v>
      </c>
      <c r="I273" s="3" t="n">
        <v>46158</v>
      </c>
      <c r="J273" s="2" t="n">
        <v>42</v>
      </c>
      <c r="K273" s="2" t="n">
        <v>38.21</v>
      </c>
      <c r="L273" s="2" t="n">
        <v>1.65</v>
      </c>
      <c r="M273" s="4" t="n">
        <v>11.24</v>
      </c>
      <c r="N273" s="4" t="n">
        <v>30.36</v>
      </c>
      <c r="O273" s="2" t="n">
        <v>40</v>
      </c>
      <c r="P273" s="4" t="n">
        <v>4.53</v>
      </c>
      <c r="Q273" s="4" t="n">
        <v>12.12</v>
      </c>
      <c r="R273" s="4">
        <f>G273*(L273/100)*(O273/100)</f>
        <v/>
      </c>
      <c r="S273" s="4">
        <f>G273*(K273/360/100)*J273*(O273/100)</f>
        <v/>
      </c>
      <c r="T273" s="4">
        <f>P273-R273+Q273-S273</f>
        <v/>
      </c>
    </row>
    <row r="274">
      <c r="A274" s="2" t="inlineStr">
        <is>
          <t>Oro</t>
        </is>
      </c>
      <c r="B274" s="2" t="inlineStr">
        <is>
          <t>Blanco</t>
        </is>
      </c>
      <c r="C274" s="3" t="n">
        <v>46053</v>
      </c>
      <c r="D274" s="2" t="inlineStr">
        <is>
          <t>B24524005</t>
        </is>
      </c>
      <c r="E274" s="2" t="inlineStr">
        <is>
          <t>Controlador…</t>
        </is>
      </c>
      <c r="F274" s="2" t="n">
        <v>3575502</v>
      </c>
      <c r="G274" s="4" t="n">
        <v>839.04</v>
      </c>
      <c r="H274" s="3" t="n">
        <v>46036</v>
      </c>
      <c r="I274" s="3" t="n">
        <v>46064</v>
      </c>
      <c r="J274" s="2" t="n">
        <v>49</v>
      </c>
      <c r="K274" s="2" t="n">
        <v>19.02</v>
      </c>
      <c r="L274" s="2" t="n">
        <v>1.52</v>
      </c>
      <c r="M274" s="4" t="n">
        <v>12.75</v>
      </c>
      <c r="N274" s="4" t="n">
        <v>21.72</v>
      </c>
      <c r="O274" s="2" t="n">
        <v>50</v>
      </c>
      <c r="P274" s="4" t="n">
        <v>6.33</v>
      </c>
      <c r="Q274" s="4" t="n">
        <v>10.61</v>
      </c>
      <c r="R274" s="4">
        <f>G274*(L274/100)*(O274/100)</f>
        <v/>
      </c>
      <c r="S274" s="4">
        <f>G274*(K274/360/100)*J274*(O274/100)</f>
        <v/>
      </c>
      <c r="T274" s="4">
        <f>P274-R274+Q274-S274</f>
        <v/>
      </c>
    </row>
    <row r="275">
      <c r="A275" s="2" t="inlineStr">
        <is>
          <t>Oro</t>
        </is>
      </c>
      <c r="B275" s="2" t="inlineStr">
        <is>
          <t>Blanco</t>
        </is>
      </c>
      <c r="C275" s="3" t="n">
        <v>46053</v>
      </c>
      <c r="D275" s="2" t="inlineStr">
        <is>
          <t>B09080092</t>
        </is>
      </c>
      <c r="E275" s="2" t="inlineStr">
        <is>
          <t>Precintos T…</t>
        </is>
      </c>
      <c r="F275" s="2" t="n">
        <v>1858969</v>
      </c>
      <c r="G275" s="4" t="n">
        <v>726.88</v>
      </c>
      <c r="H275" s="3" t="n">
        <v>46027</v>
      </c>
      <c r="I275" s="3" t="n">
        <v>46056</v>
      </c>
      <c r="J275" s="2" t="n">
        <v>25</v>
      </c>
      <c r="K275" s="2" t="n">
        <v>44.61</v>
      </c>
      <c r="L275" s="2" t="n">
        <v>2.24</v>
      </c>
      <c r="M275" s="4" t="n">
        <v>16.28</v>
      </c>
      <c r="N275" s="4" t="n">
        <v>22.52</v>
      </c>
      <c r="O275" s="2" t="n">
        <v>40</v>
      </c>
      <c r="P275" s="4" t="n">
        <v>6.73</v>
      </c>
      <c r="Q275" s="4" t="n">
        <v>8.93</v>
      </c>
      <c r="R275" s="4">
        <f>G275*(L275/100)*(O275/100)</f>
        <v/>
      </c>
      <c r="S275" s="4">
        <f>G275*(K275/360/100)*J275*(O275/100)</f>
        <v/>
      </c>
      <c r="T275" s="4">
        <f>P275-R275+Q275-S275</f>
        <v/>
      </c>
    </row>
    <row r="276">
      <c r="A276" s="2" t="inlineStr">
        <is>
          <t>Oro</t>
        </is>
      </c>
      <c r="B276" s="2" t="inlineStr">
        <is>
          <t>Blanco</t>
        </is>
      </c>
      <c r="C276" s="3" t="n">
        <v>46053</v>
      </c>
      <c r="D276" s="2" t="inlineStr">
        <is>
          <t>A84834649</t>
        </is>
      </c>
      <c r="E276" s="2" t="inlineStr">
        <is>
          <t>Poliésteres…</t>
        </is>
      </c>
      <c r="F276" s="2" t="n">
        <v>2651008</v>
      </c>
      <c r="G276" s="4" t="n">
        <v>2436.55</v>
      </c>
      <c r="H276" s="3" t="n">
        <v>46033</v>
      </c>
      <c r="I276" s="3" t="n">
        <v>46118</v>
      </c>
      <c r="J276" s="2" t="n">
        <v>33</v>
      </c>
      <c r="K276" s="2" t="n">
        <v>15.84</v>
      </c>
      <c r="L276" s="2" t="n">
        <v>2.33</v>
      </c>
      <c r="M276" s="4" t="n">
        <v>56.77</v>
      </c>
      <c r="N276" s="4" t="n">
        <v>35.38</v>
      </c>
      <c r="O276" s="2" t="n">
        <v>30</v>
      </c>
      <c r="P276" s="4" t="n">
        <v>17.14</v>
      </c>
      <c r="Q276" s="4" t="n">
        <v>10.68</v>
      </c>
      <c r="R276" s="4">
        <f>G276*(L276/100)*(O276/100)</f>
        <v/>
      </c>
      <c r="S276" s="4">
        <f>G276*(K276/360/100)*J276*(O276/100)</f>
        <v/>
      </c>
      <c r="T276" s="4">
        <f>P276-R276+Q276-S276</f>
        <v/>
      </c>
    </row>
    <row r="277">
      <c r="A277" s="2" t="inlineStr">
        <is>
          <t>Oro</t>
        </is>
      </c>
      <c r="B277" s="2" t="inlineStr">
        <is>
          <t>Blanco</t>
        </is>
      </c>
      <c r="C277" s="3" t="n">
        <v>46053</v>
      </c>
      <c r="D277" s="2" t="inlineStr">
        <is>
          <t>A75740753</t>
        </is>
      </c>
      <c r="E277" s="2" t="inlineStr">
        <is>
          <t>Proteínas…</t>
        </is>
      </c>
      <c r="F277" s="2" t="n">
        <v>1012722</v>
      </c>
      <c r="G277" s="4" t="n">
        <v>5348.51</v>
      </c>
      <c r="H277" s="3" t="n">
        <v>46038</v>
      </c>
      <c r="I277" s="3" t="n">
        <v>46072</v>
      </c>
      <c r="J277" s="2" t="n">
        <v>57</v>
      </c>
      <c r="K277" s="2" t="n">
        <v>13.94</v>
      </c>
      <c r="L277" s="2" t="n">
        <v>2.89</v>
      </c>
      <c r="M277" s="4" t="n">
        <v>154.57</v>
      </c>
      <c r="N277" s="4" t="n">
        <v>118.05</v>
      </c>
      <c r="O277" s="2" t="n">
        <v>40</v>
      </c>
      <c r="P277" s="4" t="n">
        <v>62.06</v>
      </c>
      <c r="Q277" s="4" t="n">
        <v>47.52</v>
      </c>
      <c r="R277" s="4">
        <f>G277*(L277/100)*(O277/100)</f>
        <v/>
      </c>
      <c r="S277" s="4">
        <f>G277*(K277/360/100)*J277*(O277/100)</f>
        <v/>
      </c>
      <c r="T277" s="4">
        <f>P277-R277+Q277-S277</f>
        <v/>
      </c>
    </row>
    <row r="278">
      <c r="A278" s="2" t="inlineStr">
        <is>
          <t>Oro</t>
        </is>
      </c>
      <c r="B278" s="2" t="inlineStr">
        <is>
          <t>Blanco</t>
        </is>
      </c>
      <c r="C278" s="3" t="n">
        <v>46053</v>
      </c>
      <c r="D278" s="2" t="inlineStr">
        <is>
          <t>A04562902</t>
        </is>
      </c>
      <c r="E278" s="2" t="inlineStr">
        <is>
          <t>Solventes…</t>
        </is>
      </c>
      <c r="F278" s="2" t="n">
        <v>4829984</v>
      </c>
      <c r="G278" s="4" t="n">
        <v>839.52</v>
      </c>
      <c r="H278" s="3" t="n">
        <v>46029</v>
      </c>
      <c r="I278" s="3" t="n">
        <v>46179</v>
      </c>
      <c r="J278" s="2" t="n">
        <v>58</v>
      </c>
      <c r="K278" s="2" t="n">
        <v>46.93</v>
      </c>
      <c r="L278" s="2" t="n">
        <v>0.51</v>
      </c>
      <c r="M278" s="4" t="n">
        <v>4.28</v>
      </c>
      <c r="N278" s="4" t="n">
        <v>63.48</v>
      </c>
      <c r="O278" s="2" t="n">
        <v>50</v>
      </c>
      <c r="P278" s="4" t="n">
        <v>2.44</v>
      </c>
      <c r="Q278" s="4" t="n">
        <v>31.88</v>
      </c>
      <c r="R278" s="4">
        <f>G278*(L278/100)*(O278/100)</f>
        <v/>
      </c>
      <c r="S278" s="4">
        <f>G278*(K278/360/100)*J278*(O278/100)</f>
        <v/>
      </c>
      <c r="T278" s="4">
        <f>P278-R278+Q278-S278</f>
        <v/>
      </c>
    </row>
    <row r="279">
      <c r="A279" s="2" t="inlineStr">
        <is>
          <t>Oro</t>
        </is>
      </c>
      <c r="B279" s="2" t="inlineStr">
        <is>
          <t>Blanco</t>
        </is>
      </c>
      <c r="C279" s="3" t="n">
        <v>46053</v>
      </c>
      <c r="D279" s="2" t="inlineStr">
        <is>
          <t>A17141241</t>
        </is>
      </c>
      <c r="E279" s="2" t="inlineStr">
        <is>
          <t>Condensad…</t>
        </is>
      </c>
      <c r="F279" s="2" t="n">
        <v>4116719</v>
      </c>
      <c r="G279" s="4" t="n">
        <v>246.73</v>
      </c>
      <c r="H279" s="3" t="n">
        <v>46049</v>
      </c>
      <c r="I279" s="3" t="n">
        <v>46093</v>
      </c>
      <c r="J279" s="2" t="n">
        <v>23</v>
      </c>
      <c r="K279" s="2" t="n">
        <v>42.83</v>
      </c>
      <c r="L279" s="2" t="n">
        <v>0.59</v>
      </c>
      <c r="M279" s="4" t="n">
        <v>1.46</v>
      </c>
      <c r="N279" s="4" t="n">
        <v>6.75</v>
      </c>
      <c r="O279" s="2" t="n">
        <v>60</v>
      </c>
      <c r="P279" s="4" t="n">
        <v>0.6899999999999999</v>
      </c>
      <c r="Q279" s="4" t="n">
        <v>3.79</v>
      </c>
      <c r="R279" s="4">
        <f>G279*(L279/100)*(O279/100)</f>
        <v/>
      </c>
      <c r="S279" s="4">
        <f>G279*(K279/360/100)*J279*(O279/100)</f>
        <v/>
      </c>
      <c r="T279" s="4">
        <f>P279-R279+Q279-S279</f>
        <v/>
      </c>
    </row>
    <row r="280">
      <c r="A280" s="2" t="inlineStr">
        <is>
          <t>Oro</t>
        </is>
      </c>
      <c r="B280" s="2" t="inlineStr">
        <is>
          <t>Blanco</t>
        </is>
      </c>
      <c r="C280" s="3" t="n">
        <v>46053</v>
      </c>
      <c r="D280" s="2" t="inlineStr">
        <is>
          <t>B56677060</t>
        </is>
      </c>
      <c r="E280" s="2" t="inlineStr">
        <is>
          <t>Manipulaci…</t>
        </is>
      </c>
      <c r="F280" s="2" t="n">
        <v>1812156</v>
      </c>
      <c r="G280" s="4" t="n">
        <v>337.68</v>
      </c>
      <c r="H280" s="3" t="n">
        <v>46028</v>
      </c>
      <c r="I280" s="3" t="n">
        <v>46193</v>
      </c>
      <c r="J280" s="2" t="n">
        <v>47</v>
      </c>
      <c r="K280" s="2" t="n">
        <v>14.74</v>
      </c>
      <c r="L280" s="2" t="n">
        <v>1.75</v>
      </c>
      <c r="M280" s="4" t="n">
        <v>5.91</v>
      </c>
      <c r="N280" s="4" t="n">
        <v>6.5</v>
      </c>
      <c r="O280" s="2" t="n">
        <v>70</v>
      </c>
      <c r="P280" s="4" t="n">
        <v>4.36</v>
      </c>
      <c r="Q280" s="4" t="n">
        <v>4.3</v>
      </c>
      <c r="R280" s="4">
        <f>G280*(L280/100)*(O280/100)</f>
        <v/>
      </c>
      <c r="S280" s="4">
        <f>G280*(K280/360/100)*J280*(O280/100)</f>
        <v/>
      </c>
      <c r="T280" s="4">
        <f>P280-R280+Q280-S280</f>
        <v/>
      </c>
    </row>
    <row r="281">
      <c r="A281" s="2" t="inlineStr">
        <is>
          <t>Oro</t>
        </is>
      </c>
      <c r="B281" s="2" t="inlineStr">
        <is>
          <t>Blanco</t>
        </is>
      </c>
      <c r="C281" s="3" t="n">
        <v>46053</v>
      </c>
      <c r="D281" s="2" t="inlineStr">
        <is>
          <t>A82884172</t>
        </is>
      </c>
      <c r="E281" s="2" t="inlineStr">
        <is>
          <t>Cojinetes A…</t>
        </is>
      </c>
      <c r="F281" s="2" t="n">
        <v>1649746</v>
      </c>
      <c r="G281" s="4" t="n">
        <v>444.14</v>
      </c>
      <c r="H281" s="3" t="n">
        <v>46046</v>
      </c>
      <c r="I281" s="3" t="n">
        <v>46221</v>
      </c>
      <c r="J281" s="2" t="n">
        <v>52</v>
      </c>
      <c r="K281" s="2" t="n">
        <v>10.55</v>
      </c>
      <c r="L281" s="2" t="n">
        <v>2.7</v>
      </c>
      <c r="M281" s="4" t="n">
        <v>11.99</v>
      </c>
      <c r="N281" s="4" t="n">
        <v>6.77</v>
      </c>
      <c r="O281" s="2" t="n">
        <v>20</v>
      </c>
      <c r="P281" s="4" t="n">
        <v>2.53</v>
      </c>
      <c r="Q281" s="4" t="n">
        <v>1.31</v>
      </c>
      <c r="R281" s="4">
        <f>G281*(L281/100)*(O281/100)</f>
        <v/>
      </c>
      <c r="S281" s="4">
        <f>G281*(K281/360/100)*J281*(O281/100)</f>
        <v/>
      </c>
      <c r="T281" s="4">
        <f>P281-R281+Q281-S281</f>
        <v/>
      </c>
    </row>
    <row r="282">
      <c r="A282" s="2" t="inlineStr">
        <is>
          <t>Oro</t>
        </is>
      </c>
      <c r="B282" s="2" t="inlineStr">
        <is>
          <t>Blanco</t>
        </is>
      </c>
      <c r="C282" s="3" t="n">
        <v>46053</v>
      </c>
      <c r="D282" s="2" t="inlineStr">
        <is>
          <t>A36097750</t>
        </is>
      </c>
      <c r="E282" s="2" t="inlineStr">
        <is>
          <t>Parquets A…</t>
        </is>
      </c>
      <c r="F282" s="2" t="n">
        <v>4754301</v>
      </c>
      <c r="G282" s="4" t="n">
        <v>195.18</v>
      </c>
      <c r="H282" s="3" t="n">
        <v>46034</v>
      </c>
      <c r="I282" s="3" t="n">
        <v>46120</v>
      </c>
      <c r="J282" s="2" t="n">
        <v>56</v>
      </c>
      <c r="K282" s="2" t="n">
        <v>12.86</v>
      </c>
      <c r="L282" s="2" t="n">
        <v>1.16</v>
      </c>
      <c r="M282" s="4" t="n">
        <v>2.26</v>
      </c>
      <c r="N282" s="4" t="n">
        <v>3.9</v>
      </c>
      <c r="O282" s="2" t="n">
        <v>40</v>
      </c>
      <c r="P282" s="4" t="n">
        <v>0.8100000000000001</v>
      </c>
      <c r="Q282" s="4" t="n">
        <v>1.32</v>
      </c>
      <c r="R282" s="4">
        <f>G282*(L282/100)*(O282/100)</f>
        <v/>
      </c>
      <c r="S282" s="4">
        <f>G282*(K282/360/100)*J282*(O282/100)</f>
        <v/>
      </c>
      <c r="T282" s="4">
        <f>P282-R282+Q282-S282</f>
        <v/>
      </c>
    </row>
    <row r="283">
      <c r="A283" s="2" t="inlineStr">
        <is>
          <t>Oro</t>
        </is>
      </c>
      <c r="B283" s="2" t="inlineStr">
        <is>
          <t>Blanco</t>
        </is>
      </c>
      <c r="C283" s="3" t="n">
        <v>46053</v>
      </c>
      <c r="D283" s="2" t="inlineStr">
        <is>
          <t>A59487122</t>
        </is>
      </c>
      <c r="E283" s="2" t="inlineStr">
        <is>
          <t>Biomasas…</t>
        </is>
      </c>
      <c r="F283" s="2" t="n">
        <v>2478282</v>
      </c>
      <c r="G283" s="4" t="n">
        <v>3112</v>
      </c>
      <c r="H283" s="3" t="n">
        <v>46036</v>
      </c>
      <c r="I283" s="3" t="n">
        <v>46136</v>
      </c>
      <c r="J283" s="2" t="n">
        <v>81</v>
      </c>
      <c r="K283" s="2" t="n">
        <v>25.72</v>
      </c>
      <c r="L283" s="2" t="n">
        <v>1.56</v>
      </c>
      <c r="M283" s="4" t="n">
        <v>48.55</v>
      </c>
      <c r="N283" s="4" t="n">
        <v>180.09</v>
      </c>
      <c r="O283" s="2" t="n">
        <v>30</v>
      </c>
      <c r="P283" s="4" t="n">
        <v>14.35</v>
      </c>
      <c r="Q283" s="4" t="n">
        <v>54.01</v>
      </c>
      <c r="R283" s="4">
        <f>G283*(L283/100)*(O283/100)</f>
        <v/>
      </c>
      <c r="S283" s="4">
        <f>G283*(K283/360/100)*J283*(O283/100)</f>
        <v/>
      </c>
      <c r="T283" s="4">
        <f>P283-R283+Q283-S283</f>
        <v/>
      </c>
    </row>
    <row r="284">
      <c r="A284" s="2" t="inlineStr">
        <is>
          <t>Oro</t>
        </is>
      </c>
      <c r="B284" s="2" t="inlineStr">
        <is>
          <t>Blanco</t>
        </is>
      </c>
      <c r="C284" s="3" t="n">
        <v>46053</v>
      </c>
      <c r="D284" s="2" t="inlineStr">
        <is>
          <t>A59501703</t>
        </is>
      </c>
      <c r="E284" s="2" t="inlineStr">
        <is>
          <t>Latones Au…</t>
        </is>
      </c>
      <c r="F284" s="2" t="n">
        <v>4797268</v>
      </c>
      <c r="G284" s="4" t="n">
        <v>5459.94</v>
      </c>
      <c r="H284" s="3" t="n">
        <v>46027</v>
      </c>
      <c r="I284" s="3" t="n">
        <v>46128</v>
      </c>
      <c r="J284" s="2" t="n">
        <v>38</v>
      </c>
      <c r="K284" s="2" t="n">
        <v>25.64</v>
      </c>
      <c r="L284" s="2" t="n">
        <v>1.64</v>
      </c>
      <c r="M284" s="4" t="n">
        <v>89.54000000000001</v>
      </c>
      <c r="N284" s="4" t="n">
        <v>147.77</v>
      </c>
      <c r="O284" s="2" t="n">
        <v>20</v>
      </c>
      <c r="P284" s="4" t="n">
        <v>17.88</v>
      </c>
      <c r="Q284" s="4" t="n">
        <v>29.74</v>
      </c>
      <c r="R284" s="4">
        <f>G284*(L284/100)*(O284/100)</f>
        <v/>
      </c>
      <c r="S284" s="4">
        <f>G284*(K284/360/100)*J284*(O284/100)</f>
        <v/>
      </c>
      <c r="T284" s="4">
        <f>P284-R284+Q284-S284</f>
        <v/>
      </c>
    </row>
    <row r="285">
      <c r="A285" s="2" t="inlineStr">
        <is>
          <t>Oro</t>
        </is>
      </c>
      <c r="B285" s="2" t="inlineStr">
        <is>
          <t>Blanco</t>
        </is>
      </c>
      <c r="C285" s="3" t="n">
        <v>46053</v>
      </c>
      <c r="D285" s="2" t="inlineStr">
        <is>
          <t>A04550291</t>
        </is>
      </c>
      <c r="E285" s="2" t="inlineStr">
        <is>
          <t>Proteínas V…</t>
        </is>
      </c>
      <c r="F285" s="2" t="n">
        <v>2457291</v>
      </c>
      <c r="G285" s="4" t="n">
        <v>285.6</v>
      </c>
      <c r="H285" s="3" t="n">
        <v>46030</v>
      </c>
      <c r="I285" s="3" t="n">
        <v>46163</v>
      </c>
      <c r="J285" s="2" t="n">
        <v>72</v>
      </c>
      <c r="K285" s="2" t="n">
        <v>47.75</v>
      </c>
      <c r="L285" s="2" t="n">
        <v>2.46</v>
      </c>
      <c r="M285" s="4" t="n">
        <v>7.03</v>
      </c>
      <c r="N285" s="4" t="n">
        <v>27.27</v>
      </c>
      <c r="O285" s="2" t="n">
        <v>50</v>
      </c>
      <c r="P285" s="4" t="n">
        <v>3.76</v>
      </c>
      <c r="Q285" s="4" t="n">
        <v>13.86</v>
      </c>
      <c r="R285" s="4">
        <f>G285*(L285/100)*(O285/100)</f>
        <v/>
      </c>
      <c r="S285" s="4">
        <f>G285*(K285/360/100)*J285*(O285/100)</f>
        <v/>
      </c>
      <c r="T285" s="4">
        <f>P285-R285+Q285-S285</f>
        <v/>
      </c>
    </row>
    <row r="286">
      <c r="A286" s="2" t="inlineStr">
        <is>
          <t>Oro</t>
        </is>
      </c>
      <c r="B286" s="2" t="inlineStr">
        <is>
          <t>Blanco</t>
        </is>
      </c>
      <c r="C286" s="3" t="n">
        <v>46053</v>
      </c>
      <c r="D286" s="2" t="inlineStr">
        <is>
          <t>A47784249</t>
        </is>
      </c>
      <c r="E286" s="2" t="inlineStr">
        <is>
          <t>Prefabricad…</t>
        </is>
      </c>
      <c r="F286" s="2" t="n">
        <v>1026965</v>
      </c>
      <c r="G286" s="4" t="n">
        <v>586.61</v>
      </c>
      <c r="H286" s="3" t="n">
        <v>46035</v>
      </c>
      <c r="I286" s="3" t="n">
        <v>46054</v>
      </c>
      <c r="J286" s="2" t="n">
        <v>48</v>
      </c>
      <c r="K286" s="2" t="n">
        <v>10.75</v>
      </c>
      <c r="L286" s="2" t="n">
        <v>1.02</v>
      </c>
      <c r="M286" s="4" t="n">
        <v>5.98</v>
      </c>
      <c r="N286" s="4" t="n">
        <v>8.41</v>
      </c>
      <c r="O286" s="2" t="n">
        <v>60</v>
      </c>
      <c r="P286" s="4" t="n">
        <v>3.57</v>
      </c>
      <c r="Q286" s="4" t="n">
        <v>5.29</v>
      </c>
      <c r="R286" s="4">
        <f>G286*(L286/100)*(O286/100)</f>
        <v/>
      </c>
      <c r="S286" s="4">
        <f>G286*(K286/360/100)*J286*(O286/100)</f>
        <v/>
      </c>
      <c r="T286" s="4">
        <f>P286-R286+Q286-S286</f>
        <v/>
      </c>
    </row>
    <row r="287">
      <c r="A287" s="2" t="inlineStr">
        <is>
          <t>Oro</t>
        </is>
      </c>
      <c r="B287" s="2" t="inlineStr">
        <is>
          <t>Blanco</t>
        </is>
      </c>
      <c r="C287" s="3" t="n">
        <v>46053</v>
      </c>
      <c r="D287" s="2" t="inlineStr">
        <is>
          <t>B75393804</t>
        </is>
      </c>
      <c r="E287" s="2" t="inlineStr">
        <is>
          <t>Canalizacio…</t>
        </is>
      </c>
      <c r="F287" s="2" t="n">
        <v>2863638</v>
      </c>
      <c r="G287" s="4" t="n">
        <v>198.11</v>
      </c>
      <c r="H287" s="3" t="n">
        <v>46039</v>
      </c>
      <c r="I287" s="3" t="n">
        <v>46063</v>
      </c>
      <c r="J287" s="2" t="n">
        <v>82</v>
      </c>
      <c r="K287" s="2" t="n">
        <v>17.63</v>
      </c>
      <c r="L287" s="2" t="n">
        <v>1.98</v>
      </c>
      <c r="M287" s="4" t="n">
        <v>3.92</v>
      </c>
      <c r="N287" s="4" t="n">
        <v>7.96</v>
      </c>
      <c r="O287" s="2" t="n">
        <v>70</v>
      </c>
      <c r="P287" s="4" t="n">
        <v>2.55</v>
      </c>
      <c r="Q287" s="4" t="n">
        <v>5.75</v>
      </c>
      <c r="R287" s="4">
        <f>G287*(L287/100)*(O287/100)</f>
        <v/>
      </c>
      <c r="S287" s="4">
        <f>G287*(K287/360/100)*J287*(O287/100)</f>
        <v/>
      </c>
      <c r="T287" s="4">
        <f>P287-R287+Q287-S287</f>
        <v/>
      </c>
    </row>
    <row r="288">
      <c r="A288" s="2" t="inlineStr">
        <is>
          <t>Oro</t>
        </is>
      </c>
      <c r="B288" s="2" t="inlineStr">
        <is>
          <t>Blanco</t>
        </is>
      </c>
      <c r="C288" s="3" t="n">
        <v>46053</v>
      </c>
      <c r="D288" s="2" t="inlineStr">
        <is>
          <t>B50421489</t>
        </is>
      </c>
      <c r="E288" s="2" t="inlineStr">
        <is>
          <t>Aglomerad…</t>
        </is>
      </c>
      <c r="F288" s="2" t="n">
        <v>1133087</v>
      </c>
      <c r="G288" s="4" t="n">
        <v>746.37</v>
      </c>
      <c r="H288" s="3" t="n">
        <v>46037</v>
      </c>
      <c r="I288" s="3" t="n">
        <v>46065</v>
      </c>
      <c r="J288" s="2" t="n">
        <v>72</v>
      </c>
      <c r="K288" s="2" t="n">
        <v>27.3</v>
      </c>
      <c r="L288" s="2" t="n">
        <v>0.83</v>
      </c>
      <c r="M288" s="4" t="n">
        <v>6.19</v>
      </c>
      <c r="N288" s="4" t="n">
        <v>40.75</v>
      </c>
      <c r="O288" s="2" t="n">
        <v>60</v>
      </c>
      <c r="P288" s="4" t="n">
        <v>3.87</v>
      </c>
      <c r="Q288" s="4" t="n">
        <v>24.17</v>
      </c>
      <c r="R288" s="4">
        <f>G288*(L288/100)*(O288/100)</f>
        <v/>
      </c>
      <c r="S288" s="4">
        <f>G288*(K288/360/100)*J288*(O288/100)</f>
        <v/>
      </c>
      <c r="T288" s="4">
        <f>P288-R288+Q288-S288</f>
        <v/>
      </c>
    </row>
    <row r="289">
      <c r="A289" s="2" t="inlineStr">
        <is>
          <t>Oro</t>
        </is>
      </c>
      <c r="B289" s="2" t="inlineStr">
        <is>
          <t>Blanco</t>
        </is>
      </c>
      <c r="C289" s="3" t="n">
        <v>46053</v>
      </c>
      <c r="D289" s="2" t="inlineStr">
        <is>
          <t>B65881267</t>
        </is>
      </c>
      <c r="E289" s="2" t="inlineStr">
        <is>
          <t>Siropes Ho…</t>
        </is>
      </c>
      <c r="F289" s="2" t="n">
        <v>2640574</v>
      </c>
      <c r="G289" s="4" t="n">
        <v>1844.39</v>
      </c>
      <c r="H289" s="3" t="n">
        <v>46043</v>
      </c>
      <c r="I289" s="3" t="n">
        <v>46158</v>
      </c>
      <c r="J289" s="2" t="n">
        <v>26</v>
      </c>
      <c r="K289" s="2" t="n">
        <v>25.23</v>
      </c>
      <c r="L289" s="2" t="n">
        <v>1.52</v>
      </c>
      <c r="M289" s="4" t="n">
        <v>28.03</v>
      </c>
      <c r="N289" s="4" t="n">
        <v>33.61</v>
      </c>
      <c r="O289" s="2" t="n">
        <v>70</v>
      </c>
      <c r="P289" s="4" t="n">
        <v>19.34</v>
      </c>
      <c r="Q289" s="4" t="n">
        <v>23.41</v>
      </c>
      <c r="R289" s="4">
        <f>G289*(L289/100)*(O289/100)</f>
        <v/>
      </c>
      <c r="S289" s="4">
        <f>G289*(K289/360/100)*J289*(O289/100)</f>
        <v/>
      </c>
      <c r="T289" s="4">
        <f>P289-R289+Q289-S289</f>
        <v/>
      </c>
    </row>
    <row r="290">
      <c r="A290" s="2" t="inlineStr">
        <is>
          <t>Oro</t>
        </is>
      </c>
      <c r="B290" s="2" t="inlineStr">
        <is>
          <t>Blanco</t>
        </is>
      </c>
      <c r="C290" s="3" t="n">
        <v>46053</v>
      </c>
      <c r="D290" s="2" t="inlineStr">
        <is>
          <t>B29810316</t>
        </is>
      </c>
      <c r="E290" s="2" t="inlineStr">
        <is>
          <t>Tratamient…</t>
        </is>
      </c>
      <c r="F290" s="2" t="n">
        <v>3653603</v>
      </c>
      <c r="G290" s="4" t="n">
        <v>127.61</v>
      </c>
      <c r="H290" s="3" t="n">
        <v>46043</v>
      </c>
      <c r="I290" s="3" t="n">
        <v>46065</v>
      </c>
      <c r="J290" s="2" t="n">
        <v>76</v>
      </c>
      <c r="K290" s="2" t="n">
        <v>33.64</v>
      </c>
      <c r="L290" s="2" t="n">
        <v>2.2</v>
      </c>
      <c r="M290" s="4" t="n">
        <v>2.81</v>
      </c>
      <c r="N290" s="4" t="n">
        <v>9.06</v>
      </c>
      <c r="O290" s="2" t="n">
        <v>40</v>
      </c>
      <c r="P290" s="4" t="n">
        <v>0.89</v>
      </c>
      <c r="Q290" s="4" t="n">
        <v>3.59</v>
      </c>
      <c r="R290" s="4">
        <f>G290*(L290/100)*(O290/100)</f>
        <v/>
      </c>
      <c r="S290" s="4">
        <f>G290*(K290/360/100)*J290*(O290/100)</f>
        <v/>
      </c>
      <c r="T290" s="4">
        <f>P290-R290+Q290-S290</f>
        <v/>
      </c>
    </row>
    <row r="291">
      <c r="A291" s="2" t="inlineStr">
        <is>
          <t>Oro</t>
        </is>
      </c>
      <c r="B291" s="2" t="inlineStr">
        <is>
          <t>Blanco</t>
        </is>
      </c>
      <c r="C291" s="3" t="n">
        <v>46053</v>
      </c>
      <c r="D291" s="2" t="inlineStr">
        <is>
          <t>A62809818</t>
        </is>
      </c>
      <c r="E291" s="2" t="inlineStr">
        <is>
          <t>Aleaciones…</t>
        </is>
      </c>
      <c r="F291" s="2" t="n">
        <v>4206540</v>
      </c>
      <c r="G291" s="4" t="n">
        <v>879.36</v>
      </c>
      <c r="H291" s="3" t="n">
        <v>46039</v>
      </c>
      <c r="I291" s="3" t="n">
        <v>46077</v>
      </c>
      <c r="J291" s="2" t="n">
        <v>40</v>
      </c>
      <c r="K291" s="2" t="n">
        <v>17.8</v>
      </c>
      <c r="L291" s="2" t="n">
        <v>2.89</v>
      </c>
      <c r="M291" s="4" t="n">
        <v>25.41</v>
      </c>
      <c r="N291" s="4" t="n">
        <v>17.39</v>
      </c>
      <c r="O291" s="2" t="n">
        <v>60</v>
      </c>
      <c r="P291" s="4" t="n">
        <v>15.12</v>
      </c>
      <c r="Q291" s="4" t="n">
        <v>10.6</v>
      </c>
      <c r="R291" s="4">
        <f>G291*(L291/100)*(O291/100)</f>
        <v/>
      </c>
      <c r="S291" s="4">
        <f>G291*(K291/360/100)*J291*(O291/100)</f>
        <v/>
      </c>
      <c r="T291" s="4">
        <f>P291-R291+Q291-S291</f>
        <v/>
      </c>
    </row>
    <row r="292">
      <c r="A292" s="2" t="inlineStr">
        <is>
          <t>Oro</t>
        </is>
      </c>
      <c r="B292" s="2" t="inlineStr">
        <is>
          <t>Blanco</t>
        </is>
      </c>
      <c r="C292" s="3" t="n">
        <v>46053</v>
      </c>
      <c r="D292" s="2" t="inlineStr">
        <is>
          <t>A34220234</t>
        </is>
      </c>
      <c r="E292" s="2" t="inlineStr">
        <is>
          <t>Normativas…</t>
        </is>
      </c>
      <c r="F292" s="2" t="n">
        <v>1908160</v>
      </c>
      <c r="G292" s="4" t="n">
        <v>930.63</v>
      </c>
      <c r="H292" s="3" t="n">
        <v>46034</v>
      </c>
      <c r="I292" s="3" t="n">
        <v>46154</v>
      </c>
      <c r="J292" s="2" t="n">
        <v>21</v>
      </c>
      <c r="K292" s="2" t="n">
        <v>41.23</v>
      </c>
      <c r="L292" s="2" t="n">
        <v>1.12</v>
      </c>
      <c r="M292" s="4" t="n">
        <v>10.42</v>
      </c>
      <c r="N292" s="4" t="n">
        <v>22.38</v>
      </c>
      <c r="O292" s="2" t="n">
        <v>60</v>
      </c>
      <c r="P292" s="4" t="n">
        <v>6.53</v>
      </c>
      <c r="Q292" s="4" t="n">
        <v>13.36</v>
      </c>
      <c r="R292" s="4">
        <f>G292*(L292/100)*(O292/100)</f>
        <v/>
      </c>
      <c r="S292" s="4">
        <f>G292*(K292/360/100)*J292*(O292/100)</f>
        <v/>
      </c>
      <c r="T292" s="4">
        <f>P292-R292+Q292-S292</f>
        <v/>
      </c>
    </row>
    <row r="293">
      <c r="A293" s="2" t="inlineStr">
        <is>
          <t>Oro</t>
        </is>
      </c>
      <c r="B293" s="2" t="inlineStr">
        <is>
          <t>Blanco</t>
        </is>
      </c>
      <c r="C293" s="3" t="n">
        <v>46053</v>
      </c>
      <c r="D293" s="2" t="inlineStr">
        <is>
          <t>A85619710</t>
        </is>
      </c>
      <c r="E293" s="2" t="inlineStr">
        <is>
          <t>Volquetes…</t>
        </is>
      </c>
      <c r="F293" s="2" t="n">
        <v>3512572</v>
      </c>
      <c r="G293" s="4" t="n">
        <v>6578.06</v>
      </c>
      <c r="H293" s="3" t="n">
        <v>46050</v>
      </c>
      <c r="I293" s="3" t="n">
        <v>46189</v>
      </c>
      <c r="J293" s="2" t="n">
        <v>12</v>
      </c>
      <c r="K293" s="2" t="n">
        <v>20.43</v>
      </c>
      <c r="L293" s="2" t="n">
        <v>2.72</v>
      </c>
      <c r="M293" s="4" t="n">
        <v>178.92</v>
      </c>
      <c r="N293" s="4" t="n">
        <v>44.8</v>
      </c>
      <c r="O293" s="2" t="n">
        <v>40</v>
      </c>
      <c r="P293" s="4" t="n">
        <v>71.42</v>
      </c>
      <c r="Q293" s="4" t="n">
        <v>17.7</v>
      </c>
      <c r="R293" s="4">
        <f>G293*(L293/100)*(O293/100)</f>
        <v/>
      </c>
      <c r="S293" s="4">
        <f>G293*(K293/360/100)*J293*(O293/100)</f>
        <v/>
      </c>
      <c r="T293" s="4">
        <f>P293-R293+Q293-S293</f>
        <v/>
      </c>
    </row>
    <row r="294">
      <c r="A294" s="2" t="inlineStr">
        <is>
          <t>Oro</t>
        </is>
      </c>
      <c r="B294" s="2" t="inlineStr">
        <is>
          <t>Blanco</t>
        </is>
      </c>
      <c r="C294" s="3" t="n">
        <v>46053</v>
      </c>
      <c r="D294" s="2" t="inlineStr">
        <is>
          <t>B22209928</t>
        </is>
      </c>
      <c r="E294" s="2" t="inlineStr">
        <is>
          <t>Tintes Giga…</t>
        </is>
      </c>
      <c r="F294" s="2" t="n">
        <v>4207729</v>
      </c>
      <c r="G294" s="4" t="n">
        <v>748.6</v>
      </c>
      <c r="H294" s="3" t="n">
        <v>46033</v>
      </c>
      <c r="I294" s="3" t="n">
        <v>46120</v>
      </c>
      <c r="J294" s="2" t="n">
        <v>42</v>
      </c>
      <c r="K294" s="2" t="n">
        <v>37.19</v>
      </c>
      <c r="L294" s="2" t="n">
        <v>0.6899999999999999</v>
      </c>
      <c r="M294" s="4" t="n">
        <v>5.17</v>
      </c>
      <c r="N294" s="4" t="n">
        <v>32.48</v>
      </c>
      <c r="O294" s="2" t="n">
        <v>20</v>
      </c>
      <c r="P294" s="4" t="n">
        <v>1.31</v>
      </c>
      <c r="Q294" s="4" t="n">
        <v>6.36</v>
      </c>
      <c r="R294" s="4">
        <f>G294*(L294/100)*(O294/100)</f>
        <v/>
      </c>
      <c r="S294" s="4">
        <f>G294*(K294/360/100)*J294*(O294/100)</f>
        <v/>
      </c>
      <c r="T294" s="4">
        <f>P294-R294+Q294-S294</f>
        <v/>
      </c>
    </row>
    <row r="295">
      <c r="A295" s="2" t="inlineStr">
        <is>
          <t>Oro</t>
        </is>
      </c>
      <c r="B295" s="2" t="inlineStr">
        <is>
          <t>Blanco</t>
        </is>
      </c>
      <c r="C295" s="3" t="n">
        <v>46053</v>
      </c>
      <c r="D295" s="2" t="inlineStr">
        <is>
          <t>B82570616</t>
        </is>
      </c>
      <c r="E295" s="2" t="inlineStr">
        <is>
          <t>Colorantes…</t>
        </is>
      </c>
      <c r="F295" s="2" t="n">
        <v>2139598</v>
      </c>
      <c r="G295" s="4" t="n">
        <v>795.01</v>
      </c>
      <c r="H295" s="3" t="n">
        <v>46044</v>
      </c>
      <c r="I295" s="3" t="n">
        <v>46103</v>
      </c>
      <c r="J295" s="2" t="n">
        <v>12</v>
      </c>
      <c r="K295" s="2" t="n">
        <v>24.17</v>
      </c>
      <c r="L295" s="2" t="n">
        <v>2.58</v>
      </c>
      <c r="M295" s="4" t="n">
        <v>20.51</v>
      </c>
      <c r="N295" s="4" t="n">
        <v>6.41</v>
      </c>
      <c r="O295" s="2" t="n">
        <v>70</v>
      </c>
      <c r="P295" s="4" t="n">
        <v>14.29</v>
      </c>
      <c r="Q295" s="4" t="n">
        <v>4.38</v>
      </c>
      <c r="R295" s="4">
        <f>G295*(L295/100)*(O295/100)</f>
        <v/>
      </c>
      <c r="S295" s="4">
        <f>G295*(K295/360/100)*J295*(O295/100)</f>
        <v/>
      </c>
      <c r="T295" s="4">
        <f>P295-R295+Q295-S295</f>
        <v/>
      </c>
    </row>
    <row r="296">
      <c r="A296" s="2" t="inlineStr">
        <is>
          <t>Oro</t>
        </is>
      </c>
      <c r="B296" s="2" t="inlineStr">
        <is>
          <t>Blanco</t>
        </is>
      </c>
      <c r="C296" s="3" t="n">
        <v>46053</v>
      </c>
      <c r="D296" s="2" t="inlineStr">
        <is>
          <t>B38841422</t>
        </is>
      </c>
      <c r="E296" s="2" t="inlineStr">
        <is>
          <t>Tejidos Inte…</t>
        </is>
      </c>
      <c r="F296" s="2" t="n">
        <v>3828059</v>
      </c>
      <c r="G296" s="4" t="n">
        <v>197.56</v>
      </c>
      <c r="H296" s="3" t="n">
        <v>46036</v>
      </c>
      <c r="I296" s="3" t="n">
        <v>46164</v>
      </c>
      <c r="J296" s="2" t="n">
        <v>69</v>
      </c>
      <c r="K296" s="2" t="n">
        <v>42.51</v>
      </c>
      <c r="L296" s="2" t="n">
        <v>2.81</v>
      </c>
      <c r="M296" s="4" t="n">
        <v>5.55</v>
      </c>
      <c r="N296" s="4" t="n">
        <v>16.1</v>
      </c>
      <c r="O296" s="2" t="n">
        <v>60</v>
      </c>
      <c r="P296" s="4" t="n">
        <v>3.2</v>
      </c>
      <c r="Q296" s="4" t="n">
        <v>9.68</v>
      </c>
      <c r="R296" s="4">
        <f>G296*(L296/100)*(O296/100)</f>
        <v/>
      </c>
      <c r="S296" s="4">
        <f>G296*(K296/360/100)*J296*(O296/100)</f>
        <v/>
      </c>
      <c r="T296" s="4">
        <f>P296-R296+Q296-S296</f>
        <v/>
      </c>
    </row>
    <row r="297">
      <c r="A297" s="2" t="inlineStr">
        <is>
          <t>Oro</t>
        </is>
      </c>
      <c r="B297" s="2" t="inlineStr">
        <is>
          <t>Blanco</t>
        </is>
      </c>
      <c r="C297" s="3" t="n">
        <v>46053</v>
      </c>
      <c r="D297" s="2" t="inlineStr">
        <is>
          <t>B54529548</t>
        </is>
      </c>
      <c r="E297" s="2" t="inlineStr">
        <is>
          <t>Colas Fosf…</t>
        </is>
      </c>
      <c r="F297" s="2" t="n">
        <v>1936499</v>
      </c>
      <c r="G297" s="4" t="n">
        <v>6966.97</v>
      </c>
      <c r="H297" s="3" t="n">
        <v>46034</v>
      </c>
      <c r="I297" s="3" t="n">
        <v>46152</v>
      </c>
      <c r="J297" s="2" t="n">
        <v>85</v>
      </c>
      <c r="K297" s="2" t="n">
        <v>18.01</v>
      </c>
      <c r="L297" s="2" t="n">
        <v>0.79</v>
      </c>
      <c r="M297" s="4" t="n">
        <v>55.04</v>
      </c>
      <c r="N297" s="4" t="n">
        <v>296.26</v>
      </c>
      <c r="O297" s="2" t="n">
        <v>60</v>
      </c>
      <c r="P297" s="4" t="n">
        <v>33.27</v>
      </c>
      <c r="Q297" s="4" t="n">
        <v>177.57</v>
      </c>
      <c r="R297" s="4">
        <f>G297*(L297/100)*(O297/100)</f>
        <v/>
      </c>
      <c r="S297" s="4">
        <f>G297*(K297/360/100)*J297*(O297/100)</f>
        <v/>
      </c>
      <c r="T297" s="4">
        <f>P297-R297+Q297-S297</f>
        <v/>
      </c>
    </row>
    <row r="298">
      <c r="A298" s="2" t="inlineStr">
        <is>
          <t>Oro</t>
        </is>
      </c>
      <c r="B298" s="2" t="inlineStr">
        <is>
          <t>Blanco</t>
        </is>
      </c>
      <c r="C298" s="3" t="n">
        <v>46053</v>
      </c>
      <c r="D298" s="2" t="inlineStr">
        <is>
          <t>B04195747</t>
        </is>
      </c>
      <c r="E298" s="2" t="inlineStr">
        <is>
          <t>Aromas Sul…</t>
        </is>
      </c>
      <c r="F298" s="2" t="n">
        <v>2622813</v>
      </c>
      <c r="G298" s="4" t="n">
        <v>1942.08</v>
      </c>
      <c r="H298" s="3" t="n">
        <v>46041</v>
      </c>
      <c r="I298" s="3" t="n">
        <v>46091</v>
      </c>
      <c r="J298" s="2" t="n">
        <v>53</v>
      </c>
      <c r="K298" s="2" t="n">
        <v>21.79</v>
      </c>
      <c r="L298" s="2" t="n">
        <v>0.65</v>
      </c>
      <c r="M298" s="4" t="n">
        <v>12.62</v>
      </c>
      <c r="N298" s="4" t="n">
        <v>62.3</v>
      </c>
      <c r="O298" s="2" t="n">
        <v>50</v>
      </c>
      <c r="P298" s="4" t="n">
        <v>6.24</v>
      </c>
      <c r="Q298" s="4" t="n">
        <v>31.35</v>
      </c>
      <c r="R298" s="4">
        <f>G298*(L298/100)*(O298/100)</f>
        <v/>
      </c>
      <c r="S298" s="4">
        <f>G298*(K298/360/100)*J298*(O298/100)</f>
        <v/>
      </c>
      <c r="T298" s="4">
        <f>P298-R298+Q298-S298</f>
        <v/>
      </c>
    </row>
    <row r="299">
      <c r="A299" s="2" t="inlineStr">
        <is>
          <t>Oro</t>
        </is>
      </c>
      <c r="B299" s="2" t="inlineStr">
        <is>
          <t>Blanco</t>
        </is>
      </c>
      <c r="C299" s="3" t="n">
        <v>46053</v>
      </c>
      <c r="D299" s="2" t="inlineStr">
        <is>
          <t>B81360692</t>
        </is>
      </c>
      <c r="E299" s="2" t="inlineStr">
        <is>
          <t>Registros C…</t>
        </is>
      </c>
      <c r="F299" s="2" t="n">
        <v>2614146</v>
      </c>
      <c r="G299" s="4" t="n">
        <v>957.58</v>
      </c>
      <c r="H299" s="3" t="n">
        <v>46031</v>
      </c>
      <c r="I299" s="3" t="n">
        <v>46133</v>
      </c>
      <c r="J299" s="2" t="n">
        <v>36</v>
      </c>
      <c r="K299" s="2" t="n">
        <v>24.06</v>
      </c>
      <c r="L299" s="2" t="n">
        <v>0.79</v>
      </c>
      <c r="M299" s="4" t="n">
        <v>7.56</v>
      </c>
      <c r="N299" s="4" t="n">
        <v>23.04</v>
      </c>
      <c r="O299" s="2" t="n">
        <v>40</v>
      </c>
      <c r="P299" s="4" t="n">
        <v>3.12</v>
      </c>
      <c r="Q299" s="4" t="n">
        <v>9.31</v>
      </c>
      <c r="R299" s="4">
        <f>G299*(L299/100)*(O299/100)</f>
        <v/>
      </c>
      <c r="S299" s="4">
        <f>G299*(K299/360/100)*J299*(O299/100)</f>
        <v/>
      </c>
      <c r="T299" s="4">
        <f>P299-R299+Q299-S299</f>
        <v/>
      </c>
    </row>
    <row r="300">
      <c r="A300" s="2" t="inlineStr">
        <is>
          <t>Oro</t>
        </is>
      </c>
      <c r="B300" s="2" t="inlineStr">
        <is>
          <t>Blanco</t>
        </is>
      </c>
      <c r="C300" s="3" t="n">
        <v>46053</v>
      </c>
      <c r="D300" s="2" t="inlineStr">
        <is>
          <t>B12464643</t>
        </is>
      </c>
      <c r="E300" s="2" t="inlineStr">
        <is>
          <t>Aditivos Gl…</t>
        </is>
      </c>
      <c r="F300" s="2" t="n">
        <v>1210645</v>
      </c>
      <c r="G300" s="4" t="n">
        <v>5881.18</v>
      </c>
      <c r="H300" s="3" t="n">
        <v>46033</v>
      </c>
      <c r="I300" s="3" t="n">
        <v>46113</v>
      </c>
      <c r="J300" s="2" t="n">
        <v>20</v>
      </c>
      <c r="K300" s="2" t="n">
        <v>20.15</v>
      </c>
      <c r="L300" s="2" t="n">
        <v>1.05</v>
      </c>
      <c r="M300" s="4" t="n">
        <v>61.75</v>
      </c>
      <c r="N300" s="4" t="n">
        <v>65.84</v>
      </c>
      <c r="O300" s="2" t="n">
        <v>40</v>
      </c>
      <c r="P300" s="4" t="n">
        <v>24.51</v>
      </c>
      <c r="Q300" s="4" t="n">
        <v>26.56</v>
      </c>
      <c r="R300" s="4">
        <f>G300*(L300/100)*(O300/100)</f>
        <v/>
      </c>
      <c r="S300" s="4">
        <f>G300*(K300/360/100)*J300*(O300/100)</f>
        <v/>
      </c>
      <c r="T300" s="4">
        <f>P300-R300+Q300-S300</f>
        <v/>
      </c>
    </row>
    <row r="301">
      <c r="A301" s="2" t="inlineStr">
        <is>
          <t>Oro</t>
        </is>
      </c>
      <c r="B301" s="2" t="inlineStr">
        <is>
          <t>Blanco</t>
        </is>
      </c>
      <c r="C301" s="3" t="n">
        <v>46053</v>
      </c>
      <c r="D301" s="2" t="inlineStr">
        <is>
          <t>B92659959</t>
        </is>
      </c>
      <c r="E301" s="2" t="inlineStr">
        <is>
          <t>Azúcares N…</t>
        </is>
      </c>
      <c r="F301" s="2" t="n">
        <v>4189810</v>
      </c>
      <c r="G301" s="4" t="n">
        <v>2275.63</v>
      </c>
      <c r="H301" s="3" t="n">
        <v>46046</v>
      </c>
      <c r="I301" s="3" t="n">
        <v>46114</v>
      </c>
      <c r="J301" s="2" t="n">
        <v>62</v>
      </c>
      <c r="K301" s="2" t="n">
        <v>43.86</v>
      </c>
      <c r="L301" s="2" t="n">
        <v>0.9</v>
      </c>
      <c r="M301" s="4" t="n">
        <v>20.48</v>
      </c>
      <c r="N301" s="4" t="n">
        <v>171.89</v>
      </c>
      <c r="O301" s="2" t="n">
        <v>70</v>
      </c>
      <c r="P301" s="4" t="n">
        <v>14.47</v>
      </c>
      <c r="Q301" s="4" t="n">
        <v>120.38</v>
      </c>
      <c r="R301" s="4">
        <f>G301*(L301/100)*(O301/100)</f>
        <v/>
      </c>
      <c r="S301" s="4">
        <f>G301*(K301/360/100)*J301*(O301/100)</f>
        <v/>
      </c>
      <c r="T301" s="4">
        <f>P301-R301+Q301-S301</f>
        <v/>
      </c>
    </row>
    <row r="302">
      <c r="A302" s="2" t="inlineStr">
        <is>
          <t>Oro</t>
        </is>
      </c>
      <c r="B302" s="2" t="inlineStr">
        <is>
          <t>Blanco</t>
        </is>
      </c>
      <c r="C302" s="3" t="n">
        <v>46053</v>
      </c>
      <c r="D302" s="2" t="inlineStr">
        <is>
          <t>B57710045</t>
        </is>
      </c>
      <c r="E302" s="2" t="inlineStr">
        <is>
          <t>Alcalis Ver…</t>
        </is>
      </c>
      <c r="F302" s="2" t="n">
        <v>1993469</v>
      </c>
      <c r="G302" s="4" t="n">
        <v>749.12</v>
      </c>
      <c r="H302" s="3" t="n">
        <v>46049</v>
      </c>
      <c r="I302" s="3" t="n">
        <v>46099</v>
      </c>
      <c r="J302" s="2" t="n">
        <v>65</v>
      </c>
      <c r="K302" s="2" t="n">
        <v>26.16</v>
      </c>
      <c r="L302" s="2" t="n">
        <v>2.5</v>
      </c>
      <c r="M302" s="4" t="n">
        <v>18.73</v>
      </c>
      <c r="N302" s="4" t="n">
        <v>35.38</v>
      </c>
      <c r="O302" s="2" t="n">
        <v>60</v>
      </c>
      <c r="P302" s="4" t="n">
        <v>11.27</v>
      </c>
      <c r="Q302" s="4" t="n">
        <v>21.35</v>
      </c>
      <c r="R302" s="4">
        <f>G302*(L302/100)*(O302/100)</f>
        <v/>
      </c>
      <c r="S302" s="4">
        <f>G302*(K302/360/100)*J302*(O302/100)</f>
        <v/>
      </c>
      <c r="T302" s="4">
        <f>P302-R302+Q302-S302</f>
        <v/>
      </c>
    </row>
    <row r="303">
      <c r="A303" s="2" t="inlineStr">
        <is>
          <t>Oro</t>
        </is>
      </c>
      <c r="B303" s="2" t="inlineStr">
        <is>
          <t>Blanco</t>
        </is>
      </c>
      <c r="C303" s="3" t="n">
        <v>46053</v>
      </c>
      <c r="D303" s="2" t="inlineStr">
        <is>
          <t>B72294548</t>
        </is>
      </c>
      <c r="E303" s="2" t="inlineStr">
        <is>
          <t>Cables Ágil…</t>
        </is>
      </c>
      <c r="F303" s="2" t="n">
        <v>1709118</v>
      </c>
      <c r="G303" s="4" t="n">
        <v>7860.32</v>
      </c>
      <c r="H303" s="3" t="n">
        <v>46033</v>
      </c>
      <c r="I303" s="3" t="n">
        <v>46192</v>
      </c>
      <c r="J303" s="2" t="n">
        <v>34</v>
      </c>
      <c r="K303" s="2" t="n">
        <v>10.93</v>
      </c>
      <c r="L303" s="2" t="n">
        <v>1.41</v>
      </c>
      <c r="M303" s="4" t="n">
        <v>110.83</v>
      </c>
      <c r="N303" s="4" t="n">
        <v>81.14</v>
      </c>
      <c r="O303" s="2" t="n">
        <v>30</v>
      </c>
      <c r="P303" s="4" t="n">
        <v>33.28</v>
      </c>
      <c r="Q303" s="4" t="n">
        <v>24.62</v>
      </c>
      <c r="R303" s="4">
        <f>G303*(L303/100)*(O303/100)</f>
        <v/>
      </c>
      <c r="S303" s="4">
        <f>G303*(K303/360/100)*J303*(O303/100)</f>
        <v/>
      </c>
      <c r="T303" s="4">
        <f>P303-R303+Q303-S303</f>
        <v/>
      </c>
    </row>
    <row r="304">
      <c r="A304" s="2" t="inlineStr">
        <is>
          <t>Oro</t>
        </is>
      </c>
      <c r="B304" s="2" t="inlineStr">
        <is>
          <t>Blanco</t>
        </is>
      </c>
      <c r="C304" s="3" t="n">
        <v>46053</v>
      </c>
      <c r="D304" s="2" t="inlineStr">
        <is>
          <t>B73164069</t>
        </is>
      </c>
      <c r="E304" s="2" t="inlineStr">
        <is>
          <t>Tuberías Gl…</t>
        </is>
      </c>
      <c r="F304" s="2" t="n">
        <v>4305091</v>
      </c>
      <c r="G304" s="4" t="n">
        <v>551.35</v>
      </c>
      <c r="H304" s="3" t="n">
        <v>46026</v>
      </c>
      <c r="I304" s="3" t="n">
        <v>46096</v>
      </c>
      <c r="J304" s="2" t="n">
        <v>40</v>
      </c>
      <c r="K304" s="2" t="n">
        <v>45.93</v>
      </c>
      <c r="L304" s="2" t="n">
        <v>2.25</v>
      </c>
      <c r="M304" s="4" t="n">
        <v>12.41</v>
      </c>
      <c r="N304" s="4" t="n">
        <v>28.14</v>
      </c>
      <c r="O304" s="2" t="n">
        <v>20</v>
      </c>
      <c r="P304" s="4" t="n">
        <v>2.49</v>
      </c>
      <c r="Q304" s="4" t="n">
        <v>5.43</v>
      </c>
      <c r="R304" s="4">
        <f>G304*(L304/100)*(O304/100)</f>
        <v/>
      </c>
      <c r="S304" s="4">
        <f>G304*(K304/360/100)*J304*(O304/100)</f>
        <v/>
      </c>
      <c r="T304" s="4">
        <f>P304-R304+Q304-S304</f>
        <v/>
      </c>
    </row>
    <row r="305">
      <c r="A305" s="2" t="inlineStr">
        <is>
          <t>Oro</t>
        </is>
      </c>
      <c r="B305" s="2" t="inlineStr">
        <is>
          <t>Blanco</t>
        </is>
      </c>
      <c r="C305" s="3" t="n">
        <v>46053</v>
      </c>
      <c r="D305" s="2" t="inlineStr">
        <is>
          <t>B09286084</t>
        </is>
      </c>
      <c r="E305" s="2" t="inlineStr">
        <is>
          <t>Engranajes…</t>
        </is>
      </c>
      <c r="F305" s="2" t="n">
        <v>3699528</v>
      </c>
      <c r="G305" s="4" t="n">
        <v>981.91</v>
      </c>
      <c r="H305" s="3" t="n">
        <v>46050</v>
      </c>
      <c r="I305" s="3" t="n">
        <v>46150</v>
      </c>
      <c r="J305" s="2" t="n">
        <v>50</v>
      </c>
      <c r="K305" s="2" t="n">
        <v>41.83</v>
      </c>
      <c r="L305" s="2" t="n">
        <v>1.31</v>
      </c>
      <c r="M305" s="4" t="n">
        <v>12.86</v>
      </c>
      <c r="N305" s="4" t="n">
        <v>57.05</v>
      </c>
      <c r="O305" s="2" t="n">
        <v>70</v>
      </c>
      <c r="P305" s="4" t="n">
        <v>8.710000000000001</v>
      </c>
      <c r="Q305" s="4" t="n">
        <v>39.96</v>
      </c>
      <c r="R305" s="4">
        <f>G305*(L305/100)*(O305/100)</f>
        <v/>
      </c>
      <c r="S305" s="4">
        <f>G305*(K305/360/100)*J305*(O305/100)</f>
        <v/>
      </c>
      <c r="T305" s="4">
        <f>P305-R305+Q305-S305</f>
        <v/>
      </c>
    </row>
    <row r="306">
      <c r="A306" s="2" t="inlineStr">
        <is>
          <t>Oro</t>
        </is>
      </c>
      <c r="B306" s="2" t="inlineStr">
        <is>
          <t>Blanco</t>
        </is>
      </c>
      <c r="C306" s="3" t="n">
        <v>46053</v>
      </c>
      <c r="D306" s="2" t="inlineStr">
        <is>
          <t>B36150061</t>
        </is>
      </c>
      <c r="E306" s="2" t="inlineStr">
        <is>
          <t>Juntas Per…</t>
        </is>
      </c>
      <c r="F306" s="2" t="n">
        <v>2548455</v>
      </c>
      <c r="G306" s="4" t="n">
        <v>935.3</v>
      </c>
      <c r="H306" s="3" t="n">
        <v>46044</v>
      </c>
      <c r="I306" s="3" t="n">
        <v>46132</v>
      </c>
      <c r="J306" s="2" t="n">
        <v>18</v>
      </c>
      <c r="K306" s="2" t="n">
        <v>20.27</v>
      </c>
      <c r="L306" s="2" t="n">
        <v>1.26</v>
      </c>
      <c r="M306" s="4" t="n">
        <v>11.78</v>
      </c>
      <c r="N306" s="4" t="n">
        <v>9.48</v>
      </c>
      <c r="O306" s="2" t="n">
        <v>20</v>
      </c>
      <c r="P306" s="4" t="n">
        <v>2.4</v>
      </c>
      <c r="Q306" s="4" t="n">
        <v>2.15</v>
      </c>
      <c r="R306" s="4">
        <f>G306*(L306/100)*(O306/100)</f>
        <v/>
      </c>
      <c r="S306" s="4">
        <f>G306*(K306/360/100)*J306*(O306/100)</f>
        <v/>
      </c>
      <c r="T306" s="4">
        <f>P306-R306+Q306-S306</f>
        <v/>
      </c>
    </row>
    <row r="307">
      <c r="A307" s="2" t="inlineStr">
        <is>
          <t>Oro</t>
        </is>
      </c>
      <c r="B307" s="2" t="inlineStr">
        <is>
          <t>Blanco</t>
        </is>
      </c>
      <c r="C307" s="3" t="n">
        <v>46053</v>
      </c>
      <c r="D307" s="2" t="inlineStr">
        <is>
          <t>A59369780</t>
        </is>
      </c>
      <c r="E307" s="2" t="inlineStr">
        <is>
          <t>Hierros Su…</t>
        </is>
      </c>
      <c r="F307" s="2" t="n">
        <v>2912107</v>
      </c>
      <c r="G307" s="4" t="n">
        <v>280.51</v>
      </c>
      <c r="H307" s="3" t="n">
        <v>46024</v>
      </c>
      <c r="I307" s="3" t="n">
        <v>46073</v>
      </c>
      <c r="J307" s="2" t="n">
        <v>38</v>
      </c>
      <c r="K307" s="2" t="n">
        <v>45.34</v>
      </c>
      <c r="L307" s="2" t="n">
        <v>1.94</v>
      </c>
      <c r="M307" s="4" t="n">
        <v>5.44</v>
      </c>
      <c r="N307" s="4" t="n">
        <v>13.42</v>
      </c>
      <c r="O307" s="2" t="n">
        <v>60</v>
      </c>
      <c r="P307" s="4" t="n">
        <v>3.17</v>
      </c>
      <c r="Q307" s="4" t="n">
        <v>8.279999999999999</v>
      </c>
      <c r="R307" s="4">
        <f>G307*(L307/100)*(O307/100)</f>
        <v/>
      </c>
      <c r="S307" s="4">
        <f>G307*(K307/360/100)*J307*(O307/100)</f>
        <v/>
      </c>
      <c r="T307" s="4">
        <f>P307-R307+Q307-S307</f>
        <v/>
      </c>
    </row>
    <row r="308">
      <c r="A308" s="2" t="inlineStr">
        <is>
          <t>Oro</t>
        </is>
      </c>
      <c r="B308" s="2" t="inlineStr">
        <is>
          <t>Blanco</t>
        </is>
      </c>
      <c r="C308" s="3" t="n">
        <v>46053</v>
      </c>
      <c r="D308" s="2" t="inlineStr">
        <is>
          <t>A83977236</t>
        </is>
      </c>
      <c r="E308" s="2" t="inlineStr">
        <is>
          <t>Contrachap…</t>
        </is>
      </c>
      <c r="F308" s="2" t="n">
        <v>2218120</v>
      </c>
      <c r="G308" s="4" t="n">
        <v>436.22</v>
      </c>
      <c r="H308" s="3" t="n">
        <v>46025</v>
      </c>
      <c r="I308" s="3" t="n">
        <v>46135</v>
      </c>
      <c r="J308" s="2" t="n">
        <v>79</v>
      </c>
      <c r="K308" s="2" t="n">
        <v>10.21</v>
      </c>
      <c r="L308" s="2" t="n">
        <v>0.7</v>
      </c>
      <c r="M308" s="4" t="n">
        <v>3.05</v>
      </c>
      <c r="N308" s="4" t="n">
        <v>9.77</v>
      </c>
      <c r="O308" s="2" t="n">
        <v>40</v>
      </c>
      <c r="P308" s="4" t="n">
        <v>1.11</v>
      </c>
      <c r="Q308" s="4" t="n">
        <v>3.66</v>
      </c>
      <c r="R308" s="4">
        <f>G308*(L308/100)*(O308/100)</f>
        <v/>
      </c>
      <c r="S308" s="4">
        <f>G308*(K308/360/100)*J308*(O308/100)</f>
        <v/>
      </c>
      <c r="T308" s="4">
        <f>P308-R308+Q308-S308</f>
        <v/>
      </c>
    </row>
    <row r="309">
      <c r="A309" s="2" t="inlineStr">
        <is>
          <t>Oro</t>
        </is>
      </c>
      <c r="B309" s="2" t="inlineStr">
        <is>
          <t>Blanco</t>
        </is>
      </c>
      <c r="C309" s="3" t="n">
        <v>46053</v>
      </c>
      <c r="D309" s="2" t="inlineStr">
        <is>
          <t>A75970663</t>
        </is>
      </c>
      <c r="E309" s="2" t="inlineStr">
        <is>
          <t>Pavimentos…</t>
        </is>
      </c>
      <c r="F309" s="2" t="n">
        <v>4073794</v>
      </c>
      <c r="G309" s="4" t="n">
        <v>2811.06</v>
      </c>
      <c r="H309" s="3" t="n">
        <v>46047</v>
      </c>
      <c r="I309" s="3" t="n">
        <v>46229</v>
      </c>
      <c r="J309" s="2" t="n">
        <v>59</v>
      </c>
      <c r="K309" s="2" t="n">
        <v>32.81</v>
      </c>
      <c r="L309" s="2" t="n">
        <v>0.54</v>
      </c>
      <c r="M309" s="4" t="n">
        <v>15.18</v>
      </c>
      <c r="N309" s="4" t="n">
        <v>151.16</v>
      </c>
      <c r="O309" s="2" t="n">
        <v>40</v>
      </c>
      <c r="P309" s="4" t="n">
        <v>5.92</v>
      </c>
      <c r="Q309" s="4" t="n">
        <v>60.75</v>
      </c>
      <c r="R309" s="4">
        <f>G309*(L309/100)*(O309/100)</f>
        <v/>
      </c>
      <c r="S309" s="4">
        <f>G309*(K309/360/100)*J309*(O309/100)</f>
        <v/>
      </c>
      <c r="T309" s="4">
        <f>P309-R309+Q309-S309</f>
        <v/>
      </c>
    </row>
    <row r="310">
      <c r="A310" s="2" t="inlineStr">
        <is>
          <t>Oro</t>
        </is>
      </c>
      <c r="B310" s="2" t="inlineStr">
        <is>
          <t>Blanco</t>
        </is>
      </c>
      <c r="C310" s="3" t="n">
        <v>46053</v>
      </c>
      <c r="D310" s="2" t="inlineStr">
        <is>
          <t>B80863469</t>
        </is>
      </c>
      <c r="E310" s="2" t="inlineStr">
        <is>
          <t>Filtrados A…</t>
        </is>
      </c>
      <c r="F310" s="2" t="n">
        <v>2046311</v>
      </c>
      <c r="G310" s="4" t="n">
        <v>8225.379999999999</v>
      </c>
      <c r="H310" s="3" t="n">
        <v>46036</v>
      </c>
      <c r="I310" s="3" t="n">
        <v>46229</v>
      </c>
      <c r="J310" s="2" t="n">
        <v>12</v>
      </c>
      <c r="K310" s="2" t="n">
        <v>22.64</v>
      </c>
      <c r="L310" s="2" t="n">
        <v>2.14</v>
      </c>
      <c r="M310" s="4" t="n">
        <v>176.02</v>
      </c>
      <c r="N310" s="4" t="n">
        <v>62.07</v>
      </c>
      <c r="O310" s="2" t="n">
        <v>40</v>
      </c>
      <c r="P310" s="4" t="n">
        <v>70.43000000000001</v>
      </c>
      <c r="Q310" s="4" t="n">
        <v>24.6</v>
      </c>
      <c r="R310" s="4">
        <f>G310*(L310/100)*(O310/100)</f>
        <v/>
      </c>
      <c r="S310" s="4">
        <f>G310*(K310/360/100)*J310*(O310/100)</f>
        <v/>
      </c>
      <c r="T310" s="4">
        <f>P310-R310+Q310-S310</f>
        <v/>
      </c>
    </row>
    <row r="311">
      <c r="A311" s="2" t="inlineStr">
        <is>
          <t>Oro</t>
        </is>
      </c>
      <c r="B311" s="2" t="inlineStr">
        <is>
          <t>Blanco</t>
        </is>
      </c>
      <c r="C311" s="3" t="n">
        <v>46053</v>
      </c>
      <c r="D311" s="2" t="inlineStr">
        <is>
          <t>B02008883</t>
        </is>
      </c>
      <c r="E311" s="2" t="inlineStr">
        <is>
          <t>Excipientes…</t>
        </is>
      </c>
      <c r="F311" s="2" t="n">
        <v>2417072</v>
      </c>
      <c r="G311" s="4" t="n">
        <v>987.36</v>
      </c>
      <c r="H311" s="3" t="n">
        <v>46025</v>
      </c>
      <c r="I311" s="3" t="n">
        <v>46133</v>
      </c>
      <c r="J311" s="2" t="n">
        <v>54</v>
      </c>
      <c r="K311" s="2" t="n">
        <v>33.15</v>
      </c>
      <c r="L311" s="2" t="n">
        <v>2.81</v>
      </c>
      <c r="M311" s="4" t="n">
        <v>27.74</v>
      </c>
      <c r="N311" s="4" t="n">
        <v>49.1</v>
      </c>
      <c r="O311" s="2" t="n">
        <v>70</v>
      </c>
      <c r="P311" s="4" t="n">
        <v>19.46</v>
      </c>
      <c r="Q311" s="4" t="n">
        <v>34.38</v>
      </c>
      <c r="R311" s="4">
        <f>G311*(L311/100)*(O311/100)</f>
        <v/>
      </c>
      <c r="S311" s="4">
        <f>G311*(K311/360/100)*J311*(O311/100)</f>
        <v/>
      </c>
      <c r="T311" s="4">
        <f>P311-R311+Q311-S311</f>
        <v/>
      </c>
    </row>
    <row r="312">
      <c r="A312" s="2" t="inlineStr">
        <is>
          <t>Oro</t>
        </is>
      </c>
      <c r="B312" s="2" t="inlineStr">
        <is>
          <t>Blanco</t>
        </is>
      </c>
      <c r="C312" s="3" t="n">
        <v>46053</v>
      </c>
      <c r="D312" s="2" t="inlineStr">
        <is>
          <t>B12464643</t>
        </is>
      </c>
      <c r="E312" s="2" t="inlineStr">
        <is>
          <t>Aditivos Gl…</t>
        </is>
      </c>
      <c r="F312" s="2" t="n">
        <v>1087688</v>
      </c>
      <c r="G312" s="4" t="n">
        <v>5176.03</v>
      </c>
      <c r="H312" s="3" t="n">
        <v>46034</v>
      </c>
      <c r="I312" s="3" t="n">
        <v>46135</v>
      </c>
      <c r="J312" s="2" t="n">
        <v>86</v>
      </c>
      <c r="K312" s="2" t="n">
        <v>29.31</v>
      </c>
      <c r="L312" s="2" t="n">
        <v>1.21</v>
      </c>
      <c r="M312" s="4" t="n">
        <v>62.63</v>
      </c>
      <c r="N312" s="4" t="n">
        <v>362.42</v>
      </c>
      <c r="O312" s="2" t="n">
        <v>30</v>
      </c>
      <c r="P312" s="4" t="n">
        <v>19.01</v>
      </c>
      <c r="Q312" s="4" t="n">
        <v>108.47</v>
      </c>
      <c r="R312" s="4">
        <f>G312*(L312/100)*(O312/100)</f>
        <v/>
      </c>
      <c r="S312" s="4">
        <f>G312*(K312/360/100)*J312*(O312/100)</f>
        <v/>
      </c>
      <c r="T312" s="4">
        <f>P312-R312+Q312-S312</f>
        <v/>
      </c>
    </row>
    <row r="313">
      <c r="A313" s="2" t="inlineStr">
        <is>
          <t>Oro</t>
        </is>
      </c>
      <c r="B313" s="2" t="inlineStr">
        <is>
          <t>Blanco</t>
        </is>
      </c>
      <c r="C313" s="3" t="n">
        <v>46053</v>
      </c>
      <c r="D313" s="2" t="inlineStr">
        <is>
          <t>B86280513</t>
        </is>
      </c>
      <c r="E313" s="2" t="inlineStr">
        <is>
          <t>Cereales M…</t>
        </is>
      </c>
      <c r="F313" s="2" t="n">
        <v>1550194</v>
      </c>
      <c r="G313" s="4" t="n">
        <v>218.07</v>
      </c>
      <c r="H313" s="3" t="n">
        <v>46035</v>
      </c>
      <c r="I313" s="3" t="n">
        <v>46227</v>
      </c>
      <c r="J313" s="2" t="n">
        <v>18</v>
      </c>
      <c r="K313" s="2" t="n">
        <v>44.23</v>
      </c>
      <c r="L313" s="2" t="n">
        <v>0.53</v>
      </c>
      <c r="M313" s="4" t="n">
        <v>1.16</v>
      </c>
      <c r="N313" s="4" t="n">
        <v>4.82</v>
      </c>
      <c r="O313" s="2" t="n">
        <v>50</v>
      </c>
      <c r="P313" s="4" t="n">
        <v>0.74</v>
      </c>
      <c r="Q313" s="4" t="n">
        <v>2.16</v>
      </c>
      <c r="R313" s="4">
        <f>G313*(L313/100)*(O313/100)</f>
        <v/>
      </c>
      <c r="S313" s="4">
        <f>G313*(K313/360/100)*J313*(O313/100)</f>
        <v/>
      </c>
      <c r="T313" s="4">
        <f>P313-R313+Q313-S313</f>
        <v/>
      </c>
    </row>
    <row r="314">
      <c r="A314" s="2" t="inlineStr">
        <is>
          <t>Oro</t>
        </is>
      </c>
      <c r="B314" s="2" t="inlineStr">
        <is>
          <t>Blanco</t>
        </is>
      </c>
      <c r="C314" s="3" t="n">
        <v>46053</v>
      </c>
      <c r="D314" s="2" t="inlineStr">
        <is>
          <t>B53072229</t>
        </is>
      </c>
      <c r="E314" s="2" t="inlineStr">
        <is>
          <t>Impermeab…</t>
        </is>
      </c>
      <c r="F314" s="2" t="n">
        <v>3419090</v>
      </c>
      <c r="G314" s="4" t="n">
        <v>459.23</v>
      </c>
      <c r="H314" s="3" t="n">
        <v>46050</v>
      </c>
      <c r="I314" s="3" t="n">
        <v>46211</v>
      </c>
      <c r="J314" s="2" t="n">
        <v>15</v>
      </c>
      <c r="K314" s="2" t="n">
        <v>42.27</v>
      </c>
      <c r="L314" s="2" t="n">
        <v>0.96</v>
      </c>
      <c r="M314" s="4" t="n">
        <v>4.41</v>
      </c>
      <c r="N314" s="4" t="n">
        <v>8.09</v>
      </c>
      <c r="O314" s="2" t="n">
        <v>50</v>
      </c>
      <c r="P314" s="4" t="n">
        <v>2.25</v>
      </c>
      <c r="Q314" s="4" t="n">
        <v>3.87</v>
      </c>
      <c r="R314" s="4">
        <f>G314*(L314/100)*(O314/100)</f>
        <v/>
      </c>
      <c r="S314" s="4">
        <f>G314*(K314/360/100)*J314*(O314/100)</f>
        <v/>
      </c>
      <c r="T314" s="4">
        <f>P314-R314+Q314-S314</f>
        <v/>
      </c>
    </row>
    <row r="315">
      <c r="A315" s="2" t="inlineStr">
        <is>
          <t>Oro</t>
        </is>
      </c>
      <c r="B315" s="2" t="inlineStr">
        <is>
          <t>Blanco</t>
        </is>
      </c>
      <c r="C315" s="3" t="n">
        <v>46053</v>
      </c>
      <c r="D315" s="2" t="inlineStr">
        <is>
          <t>A84495282</t>
        </is>
      </c>
      <c r="E315" s="2" t="inlineStr">
        <is>
          <t>Aromas Se…</t>
        </is>
      </c>
      <c r="F315" s="2" t="n">
        <v>4651288</v>
      </c>
      <c r="G315" s="4" t="n">
        <v>340.18</v>
      </c>
      <c r="H315" s="3" t="n">
        <v>46041</v>
      </c>
      <c r="I315" s="3" t="n">
        <v>46207</v>
      </c>
      <c r="J315" s="2" t="n">
        <v>16</v>
      </c>
      <c r="K315" s="2" t="n">
        <v>18.55</v>
      </c>
      <c r="L315" s="2" t="n">
        <v>1.72</v>
      </c>
      <c r="M315" s="4" t="n">
        <v>5.85</v>
      </c>
      <c r="N315" s="4" t="n">
        <v>2.8</v>
      </c>
      <c r="O315" s="2" t="n">
        <v>60</v>
      </c>
      <c r="P315" s="4" t="n">
        <v>3.24</v>
      </c>
      <c r="Q315" s="4" t="n">
        <v>1.7</v>
      </c>
      <c r="R315" s="4">
        <f>G315*(L315/100)*(O315/100)</f>
        <v/>
      </c>
      <c r="S315" s="4">
        <f>G315*(K315/360/100)*J315*(O315/100)</f>
        <v/>
      </c>
      <c r="T315" s="4">
        <f>P315-R315+Q315-S315</f>
        <v/>
      </c>
    </row>
    <row r="316">
      <c r="A316" s="2" t="inlineStr">
        <is>
          <t>Oro</t>
        </is>
      </c>
      <c r="B316" s="2" t="inlineStr">
        <is>
          <t>Blanco</t>
        </is>
      </c>
      <c r="C316" s="3" t="n">
        <v>46053</v>
      </c>
      <c r="D316" s="2" t="inlineStr">
        <is>
          <t>B97925328</t>
        </is>
      </c>
      <c r="E316" s="2" t="inlineStr">
        <is>
          <t>Volquetes…</t>
        </is>
      </c>
      <c r="F316" s="2" t="n">
        <v>1369961</v>
      </c>
      <c r="G316" s="4" t="n">
        <v>946.96</v>
      </c>
      <c r="H316" s="3" t="n">
        <v>46029</v>
      </c>
      <c r="I316" s="3" t="n">
        <v>46095</v>
      </c>
      <c r="J316" s="2" t="n">
        <v>79</v>
      </c>
      <c r="K316" s="2" t="n">
        <v>46.6</v>
      </c>
      <c r="L316" s="2" t="n">
        <v>1.17</v>
      </c>
      <c r="M316" s="4" t="n">
        <v>11.08</v>
      </c>
      <c r="N316" s="4" t="n">
        <v>96.84</v>
      </c>
      <c r="O316" s="2" t="n">
        <v>60</v>
      </c>
      <c r="P316" s="4" t="n">
        <v>6.49</v>
      </c>
      <c r="Q316" s="4" t="n">
        <v>57.87</v>
      </c>
      <c r="R316" s="4">
        <f>G316*(L316/100)*(O316/100)</f>
        <v/>
      </c>
      <c r="S316" s="4">
        <f>G316*(K316/360/100)*J316*(O316/100)</f>
        <v/>
      </c>
      <c r="T316" s="4">
        <f>P316-R316+Q316-S316</f>
        <v/>
      </c>
    </row>
    <row r="317">
      <c r="A317" s="2" t="inlineStr">
        <is>
          <t>Oro</t>
        </is>
      </c>
      <c r="B317" s="2" t="inlineStr">
        <is>
          <t>Blanco</t>
        </is>
      </c>
      <c r="C317" s="3" t="n">
        <v>46053</v>
      </c>
      <c r="D317" s="2" t="inlineStr">
        <is>
          <t>A48932627</t>
        </is>
      </c>
      <c r="E317" s="2" t="inlineStr">
        <is>
          <t>Depósitos…</t>
        </is>
      </c>
      <c r="F317" s="2" t="n">
        <v>2487206</v>
      </c>
      <c r="G317" s="4" t="n">
        <v>1579.94</v>
      </c>
      <c r="H317" s="3" t="n">
        <v>46048</v>
      </c>
      <c r="I317" s="3" t="n">
        <v>46077</v>
      </c>
      <c r="J317" s="2" t="n">
        <v>58</v>
      </c>
      <c r="K317" s="2" t="n">
        <v>18.07</v>
      </c>
      <c r="L317" s="2" t="n">
        <v>1.23</v>
      </c>
      <c r="M317" s="4" t="n">
        <v>19.43</v>
      </c>
      <c r="N317" s="4" t="n">
        <v>46</v>
      </c>
      <c r="O317" s="2" t="n">
        <v>70</v>
      </c>
      <c r="P317" s="4" t="n">
        <v>13.71</v>
      </c>
      <c r="Q317" s="4" t="n">
        <v>32.4</v>
      </c>
      <c r="R317" s="4">
        <f>G317*(L317/100)*(O317/100)</f>
        <v/>
      </c>
      <c r="S317" s="4">
        <f>G317*(K317/360/100)*J317*(O317/100)</f>
        <v/>
      </c>
      <c r="T317" s="4">
        <f>P317-R317+Q317-S317</f>
        <v/>
      </c>
    </row>
    <row r="318">
      <c r="A318" s="2" t="inlineStr">
        <is>
          <t>Oro</t>
        </is>
      </c>
      <c r="B318" s="2" t="inlineStr">
        <is>
          <t>Blanco</t>
        </is>
      </c>
      <c r="C318" s="3" t="n">
        <v>46053</v>
      </c>
      <c r="D318" s="2" t="inlineStr">
        <is>
          <t>B25621071</t>
        </is>
      </c>
      <c r="E318" s="2" t="inlineStr">
        <is>
          <t>Sedas Autó…</t>
        </is>
      </c>
      <c r="F318" s="2" t="n">
        <v>1730968</v>
      </c>
      <c r="G318" s="4" t="n">
        <v>1811.95</v>
      </c>
      <c r="H318" s="3" t="n">
        <v>46047</v>
      </c>
      <c r="I318" s="3" t="n">
        <v>46070</v>
      </c>
      <c r="J318" s="2" t="n">
        <v>41</v>
      </c>
      <c r="K318" s="2" t="n">
        <v>32.5</v>
      </c>
      <c r="L318" s="2" t="n">
        <v>0.58</v>
      </c>
      <c r="M318" s="4" t="n">
        <v>10.51</v>
      </c>
      <c r="N318" s="4" t="n">
        <v>67.06999999999999</v>
      </c>
      <c r="O318" s="2" t="n">
        <v>50</v>
      </c>
      <c r="P318" s="4" t="n">
        <v>4.97</v>
      </c>
      <c r="Q318" s="4" t="n">
        <v>33.6</v>
      </c>
      <c r="R318" s="4">
        <f>G318*(L318/100)*(O318/100)</f>
        <v/>
      </c>
      <c r="S318" s="4">
        <f>G318*(K318/360/100)*J318*(O318/100)</f>
        <v/>
      </c>
      <c r="T318" s="4">
        <f>P318-R318+Q318-S318</f>
        <v/>
      </c>
    </row>
    <row r="319">
      <c r="A319" s="2" t="inlineStr">
        <is>
          <t>Oro</t>
        </is>
      </c>
      <c r="B319" s="2" t="inlineStr">
        <is>
          <t>Blanco</t>
        </is>
      </c>
      <c r="C319" s="3" t="n">
        <v>46053</v>
      </c>
      <c r="D319" s="2" t="inlineStr">
        <is>
          <t>B17308366</t>
        </is>
      </c>
      <c r="E319" s="2" t="inlineStr">
        <is>
          <t>Bauxitas Si…</t>
        </is>
      </c>
      <c r="F319" s="2" t="n">
        <v>1679289</v>
      </c>
      <c r="G319" s="4" t="n">
        <v>3778.56</v>
      </c>
      <c r="H319" s="3" t="n">
        <v>46027</v>
      </c>
      <c r="I319" s="3" t="n">
        <v>46121</v>
      </c>
      <c r="J319" s="2" t="n">
        <v>85</v>
      </c>
      <c r="K319" s="2" t="n">
        <v>41.05</v>
      </c>
      <c r="L319" s="2" t="n">
        <v>1</v>
      </c>
      <c r="M319" s="4" t="n">
        <v>37.79</v>
      </c>
      <c r="N319" s="4" t="n">
        <v>366.23</v>
      </c>
      <c r="O319" s="2" t="n">
        <v>60</v>
      </c>
      <c r="P319" s="4" t="n">
        <v>22.46</v>
      </c>
      <c r="Q319" s="4" t="n">
        <v>219.64</v>
      </c>
      <c r="R319" s="4">
        <f>G319*(L319/100)*(O319/100)</f>
        <v/>
      </c>
      <c r="S319" s="4">
        <f>G319*(K319/360/100)*J319*(O319/100)</f>
        <v/>
      </c>
      <c r="T319" s="4">
        <f>P319-R319+Q319-S319</f>
        <v/>
      </c>
    </row>
    <row r="320">
      <c r="A320" s="2" t="inlineStr">
        <is>
          <t>Oro</t>
        </is>
      </c>
      <c r="B320" s="2" t="inlineStr">
        <is>
          <t>Blanco</t>
        </is>
      </c>
      <c r="C320" s="3" t="n">
        <v>46053</v>
      </c>
      <c r="D320" s="2" t="inlineStr">
        <is>
          <t>A66571721</t>
        </is>
      </c>
      <c r="E320" s="2" t="inlineStr">
        <is>
          <t>Cuarzos G…</t>
        </is>
      </c>
      <c r="F320" s="2" t="n">
        <v>4240607</v>
      </c>
      <c r="G320" s="4" t="n">
        <v>609.75</v>
      </c>
      <c r="H320" s="3" t="n">
        <v>46030</v>
      </c>
      <c r="I320" s="3" t="n">
        <v>46174</v>
      </c>
      <c r="J320" s="2" t="n">
        <v>27</v>
      </c>
      <c r="K320" s="2" t="n">
        <v>19.39</v>
      </c>
      <c r="L320" s="2" t="n">
        <v>0.83</v>
      </c>
      <c r="M320" s="4" t="n">
        <v>5.06</v>
      </c>
      <c r="N320" s="4" t="n">
        <v>8.869999999999999</v>
      </c>
      <c r="O320" s="2" t="n">
        <v>20</v>
      </c>
      <c r="P320" s="4" t="n">
        <v>0.82</v>
      </c>
      <c r="Q320" s="4" t="n">
        <v>1.92</v>
      </c>
      <c r="R320" s="4">
        <f>G320*(L320/100)*(O320/100)</f>
        <v/>
      </c>
      <c r="S320" s="4">
        <f>G320*(K320/360/100)*J320*(O320/100)</f>
        <v/>
      </c>
      <c r="T320" s="4">
        <f>P320-R320+Q320-S320</f>
        <v/>
      </c>
    </row>
    <row r="321">
      <c r="A321" s="2" t="inlineStr">
        <is>
          <t>Oro</t>
        </is>
      </c>
      <c r="B321" s="2" t="inlineStr">
        <is>
          <t>Blanco</t>
        </is>
      </c>
      <c r="C321" s="3" t="n">
        <v>46053</v>
      </c>
      <c r="D321" s="2" t="inlineStr">
        <is>
          <t>A55635995</t>
        </is>
      </c>
      <c r="E321" s="2" t="inlineStr">
        <is>
          <t>Auditorías…</t>
        </is>
      </c>
      <c r="F321" s="2" t="n">
        <v>2860310</v>
      </c>
      <c r="G321" s="4" t="n">
        <v>602.5</v>
      </c>
      <c r="H321" s="3" t="n">
        <v>46028</v>
      </c>
      <c r="I321" s="3" t="n">
        <v>46058</v>
      </c>
      <c r="J321" s="2" t="n">
        <v>45</v>
      </c>
      <c r="K321" s="2" t="n">
        <v>19.5</v>
      </c>
      <c r="L321" s="2" t="n">
        <v>2.11</v>
      </c>
      <c r="M321" s="4" t="n">
        <v>12.71</v>
      </c>
      <c r="N321" s="4" t="n">
        <v>14.69</v>
      </c>
      <c r="O321" s="2" t="n">
        <v>40</v>
      </c>
      <c r="P321" s="4" t="n">
        <v>5.11</v>
      </c>
      <c r="Q321" s="4" t="n">
        <v>6.07</v>
      </c>
      <c r="R321" s="4">
        <f>G321*(L321/100)*(O321/100)</f>
        <v/>
      </c>
      <c r="S321" s="4">
        <f>G321*(K321/360/100)*J321*(O321/100)</f>
        <v/>
      </c>
      <c r="T321" s="4">
        <f>P321-R321+Q321-S321</f>
        <v/>
      </c>
    </row>
    <row r="322">
      <c r="A322" s="2" t="inlineStr">
        <is>
          <t>Oro</t>
        </is>
      </c>
      <c r="B322" s="2" t="inlineStr">
        <is>
          <t>Blanco</t>
        </is>
      </c>
      <c r="C322" s="3" t="n">
        <v>46053</v>
      </c>
      <c r="D322" s="2" t="inlineStr">
        <is>
          <t>A14442952</t>
        </is>
      </c>
      <c r="E322" s="2" t="inlineStr">
        <is>
          <t>Solventes…</t>
        </is>
      </c>
      <c r="F322" s="2" t="n">
        <v>3021018</v>
      </c>
      <c r="G322" s="4" t="n">
        <v>736.02</v>
      </c>
      <c r="H322" s="3" t="n">
        <v>46036</v>
      </c>
      <c r="I322" s="3" t="n">
        <v>46204</v>
      </c>
      <c r="J322" s="2" t="n">
        <v>77</v>
      </c>
      <c r="K322" s="2" t="n">
        <v>46.52</v>
      </c>
      <c r="L322" s="2" t="n">
        <v>0.53</v>
      </c>
      <c r="M322" s="4" t="n">
        <v>3.9</v>
      </c>
      <c r="N322" s="4" t="n">
        <v>73.23</v>
      </c>
      <c r="O322" s="2" t="n">
        <v>40</v>
      </c>
      <c r="P322" s="4" t="n">
        <v>1.78</v>
      </c>
      <c r="Q322" s="4" t="n">
        <v>29.03</v>
      </c>
      <c r="R322" s="4">
        <f>G322*(L322/100)*(O322/100)</f>
        <v/>
      </c>
      <c r="S322" s="4">
        <f>G322*(K322/360/100)*J322*(O322/100)</f>
        <v/>
      </c>
      <c r="T322" s="4">
        <f>P322-R322+Q322-S322</f>
        <v/>
      </c>
    </row>
    <row r="323">
      <c r="A323" s="2" t="inlineStr">
        <is>
          <t>Oro</t>
        </is>
      </c>
      <c r="B323" s="2" t="inlineStr">
        <is>
          <t>Blanco</t>
        </is>
      </c>
      <c r="C323" s="3" t="n">
        <v>46053</v>
      </c>
      <c r="D323" s="2" t="inlineStr">
        <is>
          <t>B00867074</t>
        </is>
      </c>
      <c r="E323" s="2" t="inlineStr">
        <is>
          <t>Aditivos E…</t>
        </is>
      </c>
      <c r="F323" s="2" t="n">
        <v>1588759</v>
      </c>
      <c r="G323" s="4" t="n">
        <v>310.24</v>
      </c>
      <c r="H323" s="3" t="n">
        <v>46039</v>
      </c>
      <c r="I323" s="3" t="n">
        <v>46090</v>
      </c>
      <c r="J323" s="2" t="n">
        <v>32</v>
      </c>
      <c r="K323" s="2" t="n">
        <v>18.65</v>
      </c>
      <c r="L323" s="2" t="n">
        <v>2.42</v>
      </c>
      <c r="M323" s="4" t="n">
        <v>7.51</v>
      </c>
      <c r="N323" s="4" t="n">
        <v>5.14</v>
      </c>
      <c r="O323" s="2" t="n">
        <v>70</v>
      </c>
      <c r="P323" s="4" t="n">
        <v>5.44</v>
      </c>
      <c r="Q323" s="4" t="n">
        <v>3.58</v>
      </c>
      <c r="R323" s="4">
        <f>G323*(L323/100)*(O323/100)</f>
        <v/>
      </c>
      <c r="S323" s="4">
        <f>G323*(K323/360/100)*J323*(O323/100)</f>
        <v/>
      </c>
      <c r="T323" s="4">
        <f>P323-R323+Q323-S323</f>
        <v/>
      </c>
    </row>
    <row r="324">
      <c r="A324" s="2" t="inlineStr">
        <is>
          <t>Oro</t>
        </is>
      </c>
      <c r="B324" s="2" t="inlineStr">
        <is>
          <t>Blanco</t>
        </is>
      </c>
      <c r="C324" s="3" t="n">
        <v>46053</v>
      </c>
      <c r="D324" s="2" t="inlineStr">
        <is>
          <t>A83320138</t>
        </is>
      </c>
      <c r="E324" s="2" t="inlineStr">
        <is>
          <t>Cápsulas S…</t>
        </is>
      </c>
      <c r="F324" s="2" t="n">
        <v>1197002</v>
      </c>
      <c r="G324" s="4" t="n">
        <v>8018.52</v>
      </c>
      <c r="H324" s="3" t="n">
        <v>46026</v>
      </c>
      <c r="I324" s="3" t="n">
        <v>46161</v>
      </c>
      <c r="J324" s="2" t="n">
        <v>31</v>
      </c>
      <c r="K324" s="2" t="n">
        <v>44.58</v>
      </c>
      <c r="L324" s="2" t="n">
        <v>1.49</v>
      </c>
      <c r="M324" s="4" t="n">
        <v>119.48</v>
      </c>
      <c r="N324" s="4" t="n">
        <v>307.82</v>
      </c>
      <c r="O324" s="2" t="n">
        <v>50</v>
      </c>
      <c r="P324" s="4" t="n">
        <v>59.57</v>
      </c>
      <c r="Q324" s="4" t="n">
        <v>153.78</v>
      </c>
      <c r="R324" s="4">
        <f>G324*(L324/100)*(O324/100)</f>
        <v/>
      </c>
      <c r="S324" s="4">
        <f>G324*(K324/360/100)*J324*(O324/100)</f>
        <v/>
      </c>
      <c r="T324" s="4">
        <f>P324-R324+Q324-S324</f>
        <v/>
      </c>
    </row>
    <row r="325">
      <c r="A325" s="2" t="inlineStr">
        <is>
          <t>Oro</t>
        </is>
      </c>
      <c r="B325" s="2" t="inlineStr">
        <is>
          <t>Blanco</t>
        </is>
      </c>
      <c r="C325" s="3" t="n">
        <v>46053</v>
      </c>
      <c r="D325" s="2" t="inlineStr">
        <is>
          <t>A40781447</t>
        </is>
      </c>
      <c r="E325" s="2" t="inlineStr">
        <is>
          <t>Formulacio…</t>
        </is>
      </c>
      <c r="F325" s="2" t="n">
        <v>4379249</v>
      </c>
      <c r="G325" s="4" t="n">
        <v>920.4</v>
      </c>
      <c r="H325" s="3" t="n">
        <v>46044</v>
      </c>
      <c r="I325" s="3" t="n">
        <v>46228</v>
      </c>
      <c r="J325" s="2" t="n">
        <v>24</v>
      </c>
      <c r="K325" s="2" t="n">
        <v>46.79</v>
      </c>
      <c r="L325" s="2" t="n">
        <v>2.72</v>
      </c>
      <c r="M325" s="4" t="n">
        <v>25.03</v>
      </c>
      <c r="N325" s="4" t="n">
        <v>28.71</v>
      </c>
      <c r="O325" s="2" t="n">
        <v>40</v>
      </c>
      <c r="P325" s="4" t="n">
        <v>10.23</v>
      </c>
      <c r="Q325" s="4" t="n">
        <v>11.72</v>
      </c>
      <c r="R325" s="4">
        <f>G325*(L325/100)*(O325/100)</f>
        <v/>
      </c>
      <c r="S325" s="4">
        <f>G325*(K325/360/100)*J325*(O325/100)</f>
        <v/>
      </c>
      <c r="T325" s="4">
        <f>P325-R325+Q325-S325</f>
        <v/>
      </c>
    </row>
    <row r="326">
      <c r="A326" s="2" t="inlineStr">
        <is>
          <t>Oro</t>
        </is>
      </c>
      <c r="B326" s="2" t="inlineStr">
        <is>
          <t>Blanco</t>
        </is>
      </c>
      <c r="C326" s="3" t="n">
        <v>46053</v>
      </c>
      <c r="D326" s="2" t="inlineStr">
        <is>
          <t>A58428781</t>
        </is>
      </c>
      <c r="E326" s="2" t="inlineStr">
        <is>
          <t>Anclas Priv…</t>
        </is>
      </c>
      <c r="F326" s="2" t="n">
        <v>2847436</v>
      </c>
      <c r="G326" s="4" t="n">
        <v>4932.7</v>
      </c>
      <c r="H326" s="3" t="n">
        <v>46037</v>
      </c>
      <c r="I326" s="3" t="n">
        <v>46076</v>
      </c>
      <c r="J326" s="2" t="n">
        <v>64</v>
      </c>
      <c r="K326" s="2" t="n">
        <v>20.45</v>
      </c>
      <c r="L326" s="2" t="n">
        <v>1.46</v>
      </c>
      <c r="M326" s="4" t="n">
        <v>72.02</v>
      </c>
      <c r="N326" s="4" t="n">
        <v>179.33</v>
      </c>
      <c r="O326" s="2" t="n">
        <v>20</v>
      </c>
      <c r="P326" s="4" t="n">
        <v>14.53</v>
      </c>
      <c r="Q326" s="4" t="n">
        <v>35.57</v>
      </c>
      <c r="R326" s="4">
        <f>G326*(L326/100)*(O326/100)</f>
        <v/>
      </c>
      <c r="S326" s="4">
        <f>G326*(K326/360/100)*J326*(O326/100)</f>
        <v/>
      </c>
      <c r="T326" s="4">
        <f>P326-R326+Q326-S326</f>
        <v/>
      </c>
    </row>
    <row r="327">
      <c r="A327" s="2" t="inlineStr">
        <is>
          <t>Oro</t>
        </is>
      </c>
      <c r="B327" s="2" t="inlineStr">
        <is>
          <t>Blanco</t>
        </is>
      </c>
      <c r="C327" s="3" t="n">
        <v>46053</v>
      </c>
      <c r="D327" s="2" t="inlineStr">
        <is>
          <t>B47822749</t>
        </is>
      </c>
      <c r="E327" s="2" t="inlineStr">
        <is>
          <t>Cauchos C…</t>
        </is>
      </c>
      <c r="F327" s="2" t="n">
        <v>1475457</v>
      </c>
      <c r="G327" s="4" t="n">
        <v>566.22</v>
      </c>
      <c r="H327" s="3" t="n">
        <v>46028</v>
      </c>
      <c r="I327" s="3" t="n">
        <v>46067</v>
      </c>
      <c r="J327" s="2" t="n">
        <v>12</v>
      </c>
      <c r="K327" s="2" t="n">
        <v>24.31</v>
      </c>
      <c r="L327" s="2" t="n">
        <v>2.51</v>
      </c>
      <c r="M327" s="4" t="n">
        <v>14.21</v>
      </c>
      <c r="N327" s="4" t="n">
        <v>4.59</v>
      </c>
      <c r="O327" s="2" t="n">
        <v>60</v>
      </c>
      <c r="P327" s="4" t="n">
        <v>8.57</v>
      </c>
      <c r="Q327" s="4" t="n">
        <v>2.68</v>
      </c>
      <c r="R327" s="4">
        <f>G327*(L327/100)*(O327/100)</f>
        <v/>
      </c>
      <c r="S327" s="4">
        <f>G327*(K327/360/100)*J327*(O327/100)</f>
        <v/>
      </c>
      <c r="T327" s="4">
        <f>P327-R327+Q327-S327</f>
        <v/>
      </c>
    </row>
    <row r="328">
      <c r="A328" s="2" t="inlineStr">
        <is>
          <t>Oro</t>
        </is>
      </c>
      <c r="B328" s="2" t="inlineStr">
        <is>
          <t>Blanco</t>
        </is>
      </c>
      <c r="C328" s="3" t="n">
        <v>46053</v>
      </c>
      <c r="D328" s="2" t="inlineStr">
        <is>
          <t>B82570616</t>
        </is>
      </c>
      <c r="E328" s="2" t="inlineStr">
        <is>
          <t>Colorantes…</t>
        </is>
      </c>
      <c r="F328" s="2" t="n">
        <v>1157201</v>
      </c>
      <c r="G328" s="4" t="n">
        <v>211.63</v>
      </c>
      <c r="H328" s="3" t="n">
        <v>46048</v>
      </c>
      <c r="I328" s="3" t="n">
        <v>46192</v>
      </c>
      <c r="J328" s="2" t="n">
        <v>28</v>
      </c>
      <c r="K328" s="2" t="n">
        <v>12.25</v>
      </c>
      <c r="L328" s="2" t="n">
        <v>1.61</v>
      </c>
      <c r="M328" s="4" t="n">
        <v>3.41</v>
      </c>
      <c r="N328" s="4" t="n">
        <v>2.02</v>
      </c>
      <c r="O328" s="2" t="n">
        <v>70</v>
      </c>
      <c r="P328" s="4" t="n">
        <v>2.33</v>
      </c>
      <c r="Q328" s="4" t="n">
        <v>1.3</v>
      </c>
      <c r="R328" s="4">
        <f>G328*(L328/100)*(O328/100)</f>
        <v/>
      </c>
      <c r="S328" s="4">
        <f>G328*(K328/360/100)*J328*(O328/100)</f>
        <v/>
      </c>
      <c r="T328" s="4">
        <f>P328-R328+Q328-S328</f>
        <v/>
      </c>
    </row>
    <row r="329">
      <c r="A329" s="2" t="inlineStr">
        <is>
          <t>Oro</t>
        </is>
      </c>
      <c r="B329" s="2" t="inlineStr">
        <is>
          <t>Blanco</t>
        </is>
      </c>
      <c r="C329" s="3" t="n">
        <v>46053</v>
      </c>
      <c r="D329" s="2" t="inlineStr">
        <is>
          <t>A26442129</t>
        </is>
      </c>
      <c r="E329" s="2" t="inlineStr">
        <is>
          <t>Termoplásti…</t>
        </is>
      </c>
      <c r="F329" s="2" t="n">
        <v>4967825</v>
      </c>
      <c r="G329" s="4" t="n">
        <v>765.21</v>
      </c>
      <c r="H329" s="3" t="n">
        <v>46038</v>
      </c>
      <c r="I329" s="3" t="n">
        <v>46159</v>
      </c>
      <c r="J329" s="2" t="n">
        <v>43</v>
      </c>
      <c r="K329" s="2" t="n">
        <v>31.84</v>
      </c>
      <c r="L329" s="2" t="n">
        <v>2.21</v>
      </c>
      <c r="M329" s="4" t="n">
        <v>16.91</v>
      </c>
      <c r="N329" s="4" t="n">
        <v>29.1</v>
      </c>
      <c r="O329" s="2" t="n">
        <v>20</v>
      </c>
      <c r="P329" s="4" t="n">
        <v>3.16</v>
      </c>
      <c r="Q329" s="4" t="n">
        <v>5.72</v>
      </c>
      <c r="R329" s="4">
        <f>G329*(L329/100)*(O329/100)</f>
        <v/>
      </c>
      <c r="S329" s="4">
        <f>G329*(K329/360/100)*J329*(O329/100)</f>
        <v/>
      </c>
      <c r="T329" s="4">
        <f>P329-R329+Q329-S329</f>
        <v/>
      </c>
    </row>
    <row r="330">
      <c r="A330" s="2" t="inlineStr">
        <is>
          <t>Oro</t>
        </is>
      </c>
      <c r="B330" s="2" t="inlineStr">
        <is>
          <t>Blanco</t>
        </is>
      </c>
      <c r="C330" s="3" t="n">
        <v>46053</v>
      </c>
      <c r="D330" s="2" t="inlineStr">
        <is>
          <t>A12267650</t>
        </is>
      </c>
      <c r="E330" s="2" t="inlineStr">
        <is>
          <t>Rectificado…</t>
        </is>
      </c>
      <c r="F330" s="2" t="n">
        <v>1098099</v>
      </c>
      <c r="G330" s="4" t="n">
        <v>418.06</v>
      </c>
      <c r="H330" s="3" t="n">
        <v>46049</v>
      </c>
      <c r="I330" s="3" t="n">
        <v>46181</v>
      </c>
      <c r="J330" s="2" t="n">
        <v>41</v>
      </c>
      <c r="K330" s="2" t="n">
        <v>36.4</v>
      </c>
      <c r="L330" s="2" t="n">
        <v>2.08</v>
      </c>
      <c r="M330" s="4" t="n">
        <v>8.699999999999999</v>
      </c>
      <c r="N330" s="4" t="n">
        <v>17.33</v>
      </c>
      <c r="O330" s="2" t="n">
        <v>60</v>
      </c>
      <c r="P330" s="4" t="n">
        <v>4.98</v>
      </c>
      <c r="Q330" s="4" t="n">
        <v>10.18</v>
      </c>
      <c r="R330" s="4">
        <f>G330*(L330/100)*(O330/100)</f>
        <v/>
      </c>
      <c r="S330" s="4">
        <f>G330*(K330/360/100)*J330*(O330/100)</f>
        <v/>
      </c>
      <c r="T330" s="4">
        <f>P330-R330+Q330-S330</f>
        <v/>
      </c>
    </row>
    <row r="331">
      <c r="A331" s="2" t="inlineStr">
        <is>
          <t>Oro</t>
        </is>
      </c>
      <c r="B331" s="2" t="inlineStr">
        <is>
          <t>Blanco</t>
        </is>
      </c>
      <c r="C331" s="3" t="n">
        <v>46053</v>
      </c>
      <c r="D331" s="2" t="inlineStr">
        <is>
          <t>A34745644</t>
        </is>
      </c>
      <c r="E331" s="2" t="inlineStr">
        <is>
          <t>Residuos P…</t>
        </is>
      </c>
      <c r="F331" s="2" t="n">
        <v>2172307</v>
      </c>
      <c r="G331" s="4" t="n">
        <v>313.65</v>
      </c>
      <c r="H331" s="3" t="n">
        <v>46037</v>
      </c>
      <c r="I331" s="3" t="n">
        <v>46214</v>
      </c>
      <c r="J331" s="2" t="n">
        <v>22</v>
      </c>
      <c r="K331" s="2" t="n">
        <v>34.89</v>
      </c>
      <c r="L331" s="2" t="n">
        <v>2.4</v>
      </c>
      <c r="M331" s="4" t="n">
        <v>7.53</v>
      </c>
      <c r="N331" s="4" t="n">
        <v>6.69</v>
      </c>
      <c r="O331" s="2" t="n">
        <v>40</v>
      </c>
      <c r="P331" s="4" t="n">
        <v>2.93</v>
      </c>
      <c r="Q331" s="4" t="n">
        <v>2.73</v>
      </c>
      <c r="R331" s="4">
        <f>G331*(L331/100)*(O331/100)</f>
        <v/>
      </c>
      <c r="S331" s="4">
        <f>G331*(K331/360/100)*J331*(O331/100)</f>
        <v/>
      </c>
      <c r="T331" s="4">
        <f>P331-R331+Q331-S331</f>
        <v/>
      </c>
    </row>
    <row r="332">
      <c r="A332" s="2" t="inlineStr">
        <is>
          <t>Oro</t>
        </is>
      </c>
      <c r="B332" s="2" t="inlineStr">
        <is>
          <t>Blanco</t>
        </is>
      </c>
      <c r="C332" s="3" t="n">
        <v>46053</v>
      </c>
      <c r="D332" s="2" t="inlineStr">
        <is>
          <t>A23080403</t>
        </is>
      </c>
      <c r="E332" s="2" t="inlineStr">
        <is>
          <t>Fresas Res…</t>
        </is>
      </c>
      <c r="F332" s="2" t="n">
        <v>3464103</v>
      </c>
      <c r="G332" s="4" t="n">
        <v>518.8200000000001</v>
      </c>
      <c r="H332" s="3" t="n">
        <v>46044</v>
      </c>
      <c r="I332" s="3" t="n">
        <v>46104</v>
      </c>
      <c r="J332" s="2" t="n">
        <v>61</v>
      </c>
      <c r="K332" s="2" t="n">
        <v>38.25</v>
      </c>
      <c r="L332" s="2" t="n">
        <v>1.48</v>
      </c>
      <c r="M332" s="4" t="n">
        <v>7.68</v>
      </c>
      <c r="N332" s="4" t="n">
        <v>33.63</v>
      </c>
      <c r="O332" s="2" t="n">
        <v>30</v>
      </c>
      <c r="P332" s="4" t="n">
        <v>2.47</v>
      </c>
      <c r="Q332" s="4" t="n">
        <v>10.07</v>
      </c>
      <c r="R332" s="4">
        <f>G332*(L332/100)*(O332/100)</f>
        <v/>
      </c>
      <c r="S332" s="4">
        <f>G332*(K332/360/100)*J332*(O332/100)</f>
        <v/>
      </c>
      <c r="T332" s="4">
        <f>P332-R332+Q332-S332</f>
        <v/>
      </c>
    </row>
    <row r="333">
      <c r="A333" s="2" t="inlineStr">
        <is>
          <t>Oro</t>
        </is>
      </c>
      <c r="B333" s="2" t="inlineStr">
        <is>
          <t>Blanco</t>
        </is>
      </c>
      <c r="C333" s="3" t="n">
        <v>46053</v>
      </c>
      <c r="D333" s="2" t="inlineStr">
        <is>
          <t>B03779904</t>
        </is>
      </c>
      <c r="E333" s="2" t="inlineStr">
        <is>
          <t>Hormigone…</t>
        </is>
      </c>
      <c r="F333" s="2" t="n">
        <v>2441310</v>
      </c>
      <c r="G333" s="4" t="n">
        <v>8813.629999999999</v>
      </c>
      <c r="H333" s="3" t="n">
        <v>46037</v>
      </c>
      <c r="I333" s="3" t="n">
        <v>46102</v>
      </c>
      <c r="J333" s="2" t="n">
        <v>48</v>
      </c>
      <c r="K333" s="2" t="n">
        <v>46.5</v>
      </c>
      <c r="L333" s="2" t="n">
        <v>1.72</v>
      </c>
      <c r="M333" s="4" t="n">
        <v>151.59</v>
      </c>
      <c r="N333" s="4" t="n">
        <v>546.45</v>
      </c>
      <c r="O333" s="2" t="n">
        <v>20</v>
      </c>
      <c r="P333" s="4" t="n">
        <v>30.33</v>
      </c>
      <c r="Q333" s="4" t="n">
        <v>109.07</v>
      </c>
      <c r="R333" s="4">
        <f>G333*(L333/100)*(O333/100)</f>
        <v/>
      </c>
      <c r="S333" s="4">
        <f>G333*(K333/360/100)*J333*(O333/100)</f>
        <v/>
      </c>
      <c r="T333" s="4">
        <f>P333-R333+Q333-S333</f>
        <v/>
      </c>
    </row>
    <row r="334">
      <c r="A334" s="2" t="inlineStr">
        <is>
          <t>Oro</t>
        </is>
      </c>
      <c r="B334" s="2" t="inlineStr">
        <is>
          <t>Blanco</t>
        </is>
      </c>
      <c r="C334" s="3" t="n">
        <v>46053</v>
      </c>
      <c r="D334" s="2" t="inlineStr">
        <is>
          <t>B29630838</t>
        </is>
      </c>
      <c r="E334" s="2" t="inlineStr">
        <is>
          <t>Cromados…</t>
        </is>
      </c>
      <c r="F334" s="2" t="n">
        <v>2877768</v>
      </c>
      <c r="G334" s="4" t="n">
        <v>3773.55</v>
      </c>
      <c r="H334" s="3" t="n">
        <v>46035</v>
      </c>
      <c r="I334" s="3" t="n">
        <v>46131</v>
      </c>
      <c r="J334" s="2" t="n">
        <v>43</v>
      </c>
      <c r="K334" s="2" t="n">
        <v>49.96</v>
      </c>
      <c r="L334" s="2" t="n">
        <v>1.2</v>
      </c>
      <c r="M334" s="4" t="n">
        <v>45.28</v>
      </c>
      <c r="N334" s="4" t="n">
        <v>225.18</v>
      </c>
      <c r="O334" s="2" t="n">
        <v>70</v>
      </c>
      <c r="P334" s="4" t="n">
        <v>31.42</v>
      </c>
      <c r="Q334" s="4" t="n">
        <v>157.85</v>
      </c>
      <c r="R334" s="4">
        <f>G334*(L334/100)*(O334/100)</f>
        <v/>
      </c>
      <c r="S334" s="4">
        <f>G334*(K334/360/100)*J334*(O334/100)</f>
        <v/>
      </c>
      <c r="T334" s="4">
        <f>P334-R334+Q334-S334</f>
        <v/>
      </c>
    </row>
    <row r="335">
      <c r="A335" s="2" t="inlineStr">
        <is>
          <t>Oro</t>
        </is>
      </c>
      <c r="B335" s="2" t="inlineStr">
        <is>
          <t>Blanco</t>
        </is>
      </c>
      <c r="C335" s="3" t="n">
        <v>46053</v>
      </c>
      <c r="D335" s="2" t="inlineStr">
        <is>
          <t>A99313980</t>
        </is>
      </c>
      <c r="E335" s="2" t="inlineStr">
        <is>
          <t>Quillas Ele…</t>
        </is>
      </c>
      <c r="F335" s="2" t="n">
        <v>3345526</v>
      </c>
      <c r="G335" s="4" t="n">
        <v>5709.15</v>
      </c>
      <c r="H335" s="3" t="n">
        <v>46036</v>
      </c>
      <c r="I335" s="3" t="n">
        <v>46210</v>
      </c>
      <c r="J335" s="2" t="n">
        <v>90</v>
      </c>
      <c r="K335" s="2" t="n">
        <v>13.36</v>
      </c>
      <c r="L335" s="2" t="n">
        <v>2.54</v>
      </c>
      <c r="M335" s="4" t="n">
        <v>145.01</v>
      </c>
      <c r="N335" s="4" t="n">
        <v>190.69</v>
      </c>
      <c r="O335" s="2" t="n">
        <v>30</v>
      </c>
      <c r="P335" s="4" t="n">
        <v>43.76</v>
      </c>
      <c r="Q335" s="4" t="n">
        <v>57.33</v>
      </c>
      <c r="R335" s="4">
        <f>G335*(L335/100)*(O335/100)</f>
        <v/>
      </c>
      <c r="S335" s="4">
        <f>G335*(K335/360/100)*J335*(O335/100)</f>
        <v/>
      </c>
      <c r="T335" s="4">
        <f>P335-R335+Q335-S335</f>
        <v/>
      </c>
    </row>
    <row r="336">
      <c r="A336" s="2" t="inlineStr">
        <is>
          <t>Oro</t>
        </is>
      </c>
      <c r="B336" s="2" t="inlineStr">
        <is>
          <t>Blanco</t>
        </is>
      </c>
      <c r="C336" s="3" t="n">
        <v>46053</v>
      </c>
      <c r="D336" s="2" t="inlineStr">
        <is>
          <t>A34745644</t>
        </is>
      </c>
      <c r="E336" s="2" t="inlineStr">
        <is>
          <t>Residuos P…</t>
        </is>
      </c>
      <c r="F336" s="2" t="n">
        <v>3868374</v>
      </c>
      <c r="G336" s="4" t="n">
        <v>8318.690000000001</v>
      </c>
      <c r="H336" s="3" t="n">
        <v>46032</v>
      </c>
      <c r="I336" s="3" t="n">
        <v>46165</v>
      </c>
      <c r="J336" s="2" t="n">
        <v>71</v>
      </c>
      <c r="K336" s="2" t="n">
        <v>15.29</v>
      </c>
      <c r="L336" s="2" t="n">
        <v>1.85</v>
      </c>
      <c r="M336" s="4" t="n">
        <v>153.9</v>
      </c>
      <c r="N336" s="4" t="n">
        <v>250.85</v>
      </c>
      <c r="O336" s="2" t="n">
        <v>30</v>
      </c>
      <c r="P336" s="4" t="n">
        <v>46.31</v>
      </c>
      <c r="Q336" s="4" t="n">
        <v>75.29000000000001</v>
      </c>
      <c r="R336" s="4">
        <f>G336*(L336/100)*(O336/100)</f>
        <v/>
      </c>
      <c r="S336" s="4">
        <f>G336*(K336/360/100)*J336*(O336/100)</f>
        <v/>
      </c>
      <c r="T336" s="4">
        <f>P336-R336+Q336-S336</f>
        <v/>
      </c>
    </row>
    <row r="337">
      <c r="A337" s="2" t="inlineStr">
        <is>
          <t>Oro</t>
        </is>
      </c>
      <c r="B337" s="2" t="inlineStr">
        <is>
          <t>Blanco</t>
        </is>
      </c>
      <c r="C337" s="3" t="n">
        <v>46053</v>
      </c>
      <c r="D337" s="2" t="inlineStr">
        <is>
          <t>A92770694</t>
        </is>
      </c>
      <c r="E337" s="2" t="inlineStr">
        <is>
          <t>Sales Ágile…</t>
        </is>
      </c>
      <c r="F337" s="2" t="n">
        <v>2273900</v>
      </c>
      <c r="G337" s="4" t="n">
        <v>961.25</v>
      </c>
      <c r="H337" s="3" t="n">
        <v>46050</v>
      </c>
      <c r="I337" s="3" t="n">
        <v>46145</v>
      </c>
      <c r="J337" s="2" t="n">
        <v>86</v>
      </c>
      <c r="K337" s="2" t="n">
        <v>44.54</v>
      </c>
      <c r="L337" s="2" t="n">
        <v>0.88</v>
      </c>
      <c r="M337" s="4" t="n">
        <v>8.460000000000001</v>
      </c>
      <c r="N337" s="4" t="n">
        <v>102.28</v>
      </c>
      <c r="O337" s="2" t="n">
        <v>60</v>
      </c>
      <c r="P337" s="4" t="n">
        <v>5.13</v>
      </c>
      <c r="Q337" s="4" t="n">
        <v>61.09</v>
      </c>
      <c r="R337" s="4">
        <f>G337*(L337/100)*(O337/100)</f>
        <v/>
      </c>
      <c r="S337" s="4">
        <f>G337*(K337/360/100)*J337*(O337/100)</f>
        <v/>
      </c>
      <c r="T337" s="4">
        <f>P337-R337+Q337-S337</f>
        <v/>
      </c>
    </row>
    <row r="338">
      <c r="A338" s="2" t="inlineStr">
        <is>
          <t>Oro</t>
        </is>
      </c>
      <c r="B338" s="2" t="inlineStr">
        <is>
          <t>Blanco</t>
        </is>
      </c>
      <c r="C338" s="3" t="n">
        <v>46053</v>
      </c>
      <c r="D338" s="2" t="inlineStr">
        <is>
          <t>A53939208</t>
        </is>
      </c>
      <c r="E338" s="2" t="inlineStr">
        <is>
          <t>Disolventes…</t>
        </is>
      </c>
      <c r="F338" s="2" t="n">
        <v>4193147</v>
      </c>
      <c r="G338" s="4" t="n">
        <v>556.78</v>
      </c>
      <c r="H338" s="3" t="n">
        <v>46027</v>
      </c>
      <c r="I338" s="3" t="n">
        <v>46206</v>
      </c>
      <c r="J338" s="2" t="n">
        <v>37</v>
      </c>
      <c r="K338" s="2" t="n">
        <v>23.71</v>
      </c>
      <c r="L338" s="2" t="n">
        <v>0.87</v>
      </c>
      <c r="M338" s="4" t="n">
        <v>4.84</v>
      </c>
      <c r="N338" s="4" t="n">
        <v>13.57</v>
      </c>
      <c r="O338" s="2" t="n">
        <v>60</v>
      </c>
      <c r="P338" s="4" t="n">
        <v>2.74</v>
      </c>
      <c r="Q338" s="4" t="n">
        <v>8.25</v>
      </c>
      <c r="R338" s="4">
        <f>G338*(L338/100)*(O338/100)</f>
        <v/>
      </c>
      <c r="S338" s="4">
        <f>G338*(K338/360/100)*J338*(O338/100)</f>
        <v/>
      </c>
      <c r="T338" s="4">
        <f>P338-R338+Q338-S338</f>
        <v/>
      </c>
    </row>
    <row r="339">
      <c r="A339" s="2" t="inlineStr">
        <is>
          <t>Oro</t>
        </is>
      </c>
      <c r="B339" s="2" t="inlineStr">
        <is>
          <t>Blanco</t>
        </is>
      </c>
      <c r="C339" s="3" t="n">
        <v>46053</v>
      </c>
      <c r="D339" s="2" t="inlineStr">
        <is>
          <t>A95973707</t>
        </is>
      </c>
      <c r="E339" s="2" t="inlineStr">
        <is>
          <t>Fluoruros F…</t>
        </is>
      </c>
      <c r="F339" s="2" t="n">
        <v>4860896</v>
      </c>
      <c r="G339" s="4" t="n">
        <v>895.55</v>
      </c>
      <c r="H339" s="3" t="n">
        <v>46029</v>
      </c>
      <c r="I339" s="3" t="n">
        <v>46208</v>
      </c>
      <c r="J339" s="2" t="n">
        <v>54</v>
      </c>
      <c r="K339" s="2" t="n">
        <v>24.75</v>
      </c>
      <c r="L339" s="2" t="n">
        <v>2.81</v>
      </c>
      <c r="M339" s="4" t="n">
        <v>25.16</v>
      </c>
      <c r="N339" s="4" t="n">
        <v>33.25</v>
      </c>
      <c r="O339" s="2" t="n">
        <v>30</v>
      </c>
      <c r="P339" s="4" t="n">
        <v>7.34</v>
      </c>
      <c r="Q339" s="4" t="n">
        <v>10.17</v>
      </c>
      <c r="R339" s="4">
        <f>G339*(L339/100)*(O339/100)</f>
        <v/>
      </c>
      <c r="S339" s="4">
        <f>G339*(K339/360/100)*J339*(O339/100)</f>
        <v/>
      </c>
      <c r="T339" s="4">
        <f>P339-R339+Q339-S339</f>
        <v/>
      </c>
    </row>
    <row r="340">
      <c r="A340" s="2" t="inlineStr">
        <is>
          <t>Oro</t>
        </is>
      </c>
      <c r="B340" s="2" t="inlineStr">
        <is>
          <t>Blanco</t>
        </is>
      </c>
      <c r="C340" s="3" t="n">
        <v>46053</v>
      </c>
      <c r="D340" s="2" t="inlineStr">
        <is>
          <t>B00867074</t>
        </is>
      </c>
      <c r="E340" s="2" t="inlineStr">
        <is>
          <t>Aditivos E…</t>
        </is>
      </c>
      <c r="F340" s="2" t="n">
        <v>1414815</v>
      </c>
      <c r="G340" s="4" t="n">
        <v>4756.09</v>
      </c>
      <c r="H340" s="3" t="n">
        <v>46047</v>
      </c>
      <c r="I340" s="3" t="n">
        <v>46081</v>
      </c>
      <c r="J340" s="2" t="n">
        <v>89</v>
      </c>
      <c r="K340" s="2" t="n">
        <v>27.62</v>
      </c>
      <c r="L340" s="2" t="n">
        <v>2.85</v>
      </c>
      <c r="M340" s="4" t="n">
        <v>135.55</v>
      </c>
      <c r="N340" s="4" t="n">
        <v>324.76</v>
      </c>
      <c r="O340" s="2" t="n">
        <v>70</v>
      </c>
      <c r="P340" s="4" t="n">
        <v>94.8</v>
      </c>
      <c r="Q340" s="4" t="n">
        <v>227.14</v>
      </c>
      <c r="R340" s="4">
        <f>G340*(L340/100)*(O340/100)</f>
        <v/>
      </c>
      <c r="S340" s="4">
        <f>G340*(K340/360/100)*J340*(O340/100)</f>
        <v/>
      </c>
      <c r="T340" s="4">
        <f>P340-R340+Q340-S340</f>
        <v/>
      </c>
    </row>
    <row r="341">
      <c r="A341" s="2" t="inlineStr">
        <is>
          <t>Oro</t>
        </is>
      </c>
      <c r="B341" s="2" t="inlineStr">
        <is>
          <t>Blanco</t>
        </is>
      </c>
      <c r="C341" s="3" t="n">
        <v>46053</v>
      </c>
      <c r="D341" s="2" t="inlineStr">
        <is>
          <t>B00802970</t>
        </is>
      </c>
      <c r="E341" s="2" t="inlineStr">
        <is>
          <t>Tubulares…</t>
        </is>
      </c>
      <c r="F341" s="2" t="n">
        <v>3568648</v>
      </c>
      <c r="G341" s="4" t="n">
        <v>957.8099999999999</v>
      </c>
      <c r="H341" s="3" t="n">
        <v>46041</v>
      </c>
      <c r="I341" s="3" t="n">
        <v>46109</v>
      </c>
      <c r="J341" s="2" t="n">
        <v>56</v>
      </c>
      <c r="K341" s="2" t="n">
        <v>19.53</v>
      </c>
      <c r="L341" s="2" t="n">
        <v>0.77</v>
      </c>
      <c r="M341" s="4" t="n">
        <v>7.38</v>
      </c>
      <c r="N341" s="4" t="n">
        <v>29.1</v>
      </c>
      <c r="O341" s="2" t="n">
        <v>70</v>
      </c>
      <c r="P341" s="4" t="n">
        <v>4.9</v>
      </c>
      <c r="Q341" s="4" t="n">
        <v>20.34</v>
      </c>
      <c r="R341" s="4">
        <f>G341*(L341/100)*(O341/100)</f>
        <v/>
      </c>
      <c r="S341" s="4">
        <f>G341*(K341/360/100)*J341*(O341/100)</f>
        <v/>
      </c>
      <c r="T341" s="4">
        <f>P341-R341+Q341-S341</f>
        <v/>
      </c>
    </row>
    <row r="342">
      <c r="A342" s="2" t="inlineStr">
        <is>
          <t>Oro</t>
        </is>
      </c>
      <c r="B342" s="2" t="inlineStr">
        <is>
          <t>Blanco</t>
        </is>
      </c>
      <c r="C342" s="3" t="n">
        <v>46053</v>
      </c>
      <c r="D342" s="2" t="inlineStr">
        <is>
          <t>A77907628</t>
        </is>
      </c>
      <c r="E342" s="2" t="inlineStr">
        <is>
          <t>Cargas Anti…</t>
        </is>
      </c>
      <c r="F342" s="2" t="n">
        <v>2404224</v>
      </c>
      <c r="G342" s="4" t="n">
        <v>5805.74</v>
      </c>
      <c r="H342" s="3" t="n">
        <v>46032</v>
      </c>
      <c r="I342" s="3" t="n">
        <v>46177</v>
      </c>
      <c r="J342" s="2" t="n">
        <v>40</v>
      </c>
      <c r="K342" s="2" t="n">
        <v>34</v>
      </c>
      <c r="L342" s="2" t="n">
        <v>2.27</v>
      </c>
      <c r="M342" s="4" t="n">
        <v>131.79</v>
      </c>
      <c r="N342" s="4" t="n">
        <v>219.33</v>
      </c>
      <c r="O342" s="2" t="n">
        <v>40</v>
      </c>
      <c r="P342" s="4" t="n">
        <v>52.85</v>
      </c>
      <c r="Q342" s="4" t="n">
        <v>87.63</v>
      </c>
      <c r="R342" s="4">
        <f>G342*(L342/100)*(O342/100)</f>
        <v/>
      </c>
      <c r="S342" s="4">
        <f>G342*(K342/360/100)*J342*(O342/100)</f>
        <v/>
      </c>
      <c r="T342" s="4">
        <f>P342-R342+Q342-S342</f>
        <v/>
      </c>
    </row>
    <row r="343">
      <c r="A343" s="2" t="inlineStr">
        <is>
          <t>Oro</t>
        </is>
      </c>
      <c r="B343" s="2" t="inlineStr">
        <is>
          <t>Blanco</t>
        </is>
      </c>
      <c r="C343" s="3" t="n">
        <v>46053</v>
      </c>
      <c r="D343" s="2" t="inlineStr">
        <is>
          <t>B23345947</t>
        </is>
      </c>
      <c r="E343" s="2" t="inlineStr">
        <is>
          <t>Acumulado…</t>
        </is>
      </c>
      <c r="F343" s="2" t="n">
        <v>3191683</v>
      </c>
      <c r="G343" s="4" t="n">
        <v>531.76</v>
      </c>
      <c r="H343" s="3" t="n">
        <v>46036</v>
      </c>
      <c r="I343" s="3" t="n">
        <v>46226</v>
      </c>
      <c r="J343" s="2" t="n">
        <v>21</v>
      </c>
      <c r="K343" s="2" t="n">
        <v>13.89</v>
      </c>
      <c r="L343" s="2" t="n">
        <v>1.16</v>
      </c>
      <c r="M343" s="4" t="n">
        <v>6.17</v>
      </c>
      <c r="N343" s="4" t="n">
        <v>4.31</v>
      </c>
      <c r="O343" s="2" t="n">
        <v>40</v>
      </c>
      <c r="P343" s="4" t="n">
        <v>2.18</v>
      </c>
      <c r="Q343" s="4" t="n">
        <v>1.84</v>
      </c>
      <c r="R343" s="4">
        <f>G343*(L343/100)*(O343/100)</f>
        <v/>
      </c>
      <c r="S343" s="4">
        <f>G343*(K343/360/100)*J343*(O343/100)</f>
        <v/>
      </c>
      <c r="T343" s="4">
        <f>P343-R343+Q343-S343</f>
        <v/>
      </c>
    </row>
    <row r="344">
      <c r="A344" s="2" t="inlineStr">
        <is>
          <t>Oro</t>
        </is>
      </c>
      <c r="B344" s="2" t="inlineStr">
        <is>
          <t>Blanco</t>
        </is>
      </c>
      <c r="C344" s="3" t="n">
        <v>46053</v>
      </c>
      <c r="D344" s="2" t="inlineStr">
        <is>
          <t>B87338676</t>
        </is>
      </c>
      <c r="E344" s="2" t="inlineStr">
        <is>
          <t>Digitalizaci…</t>
        </is>
      </c>
      <c r="F344" s="2" t="n">
        <v>1716212</v>
      </c>
      <c r="G344" s="4" t="n">
        <v>912.51</v>
      </c>
      <c r="H344" s="3" t="n">
        <v>46044</v>
      </c>
      <c r="I344" s="3" t="n">
        <v>46118</v>
      </c>
      <c r="J344" s="2" t="n">
        <v>75</v>
      </c>
      <c r="K344" s="2" t="n">
        <v>17.75</v>
      </c>
      <c r="L344" s="2" t="n">
        <v>1.76</v>
      </c>
      <c r="M344" s="4" t="n">
        <v>16.06</v>
      </c>
      <c r="N344" s="4" t="n">
        <v>33.74</v>
      </c>
      <c r="O344" s="2" t="n">
        <v>30</v>
      </c>
      <c r="P344" s="4" t="n">
        <v>5.07</v>
      </c>
      <c r="Q344" s="4" t="n">
        <v>10.28</v>
      </c>
      <c r="R344" s="4">
        <f>G344*(L344/100)*(O344/100)</f>
        <v/>
      </c>
      <c r="S344" s="4">
        <f>G344*(K344/360/100)*J344*(O344/100)</f>
        <v/>
      </c>
      <c r="T344" s="4">
        <f>P344-R344+Q344-S344</f>
        <v/>
      </c>
    </row>
    <row r="345">
      <c r="A345" s="2" t="inlineStr">
        <is>
          <t>Oro</t>
        </is>
      </c>
      <c r="B345" s="2" t="inlineStr">
        <is>
          <t>Blanco</t>
        </is>
      </c>
      <c r="C345" s="3" t="n">
        <v>46053</v>
      </c>
      <c r="D345" s="2" t="inlineStr">
        <is>
          <t>B64207507</t>
        </is>
      </c>
      <c r="E345" s="2" t="inlineStr">
        <is>
          <t>Etilenos Ce…</t>
        </is>
      </c>
      <c r="F345" s="2" t="n">
        <v>4377750</v>
      </c>
      <c r="G345" s="4" t="n">
        <v>238</v>
      </c>
      <c r="H345" s="3" t="n">
        <v>46041</v>
      </c>
      <c r="I345" s="3" t="n">
        <v>46216</v>
      </c>
      <c r="J345" s="2" t="n">
        <v>45</v>
      </c>
      <c r="K345" s="2" t="n">
        <v>16.04</v>
      </c>
      <c r="L345" s="2" t="n">
        <v>1.98</v>
      </c>
      <c r="M345" s="4" t="n">
        <v>4.71</v>
      </c>
      <c r="N345" s="4" t="n">
        <v>4.77</v>
      </c>
      <c r="O345" s="2" t="n">
        <v>50</v>
      </c>
      <c r="P345" s="4" t="n">
        <v>2.24</v>
      </c>
      <c r="Q345" s="4" t="n">
        <v>2.65</v>
      </c>
      <c r="R345" s="4">
        <f>G345*(L345/100)*(O345/100)</f>
        <v/>
      </c>
      <c r="S345" s="4">
        <f>G345*(K345/360/100)*J345*(O345/100)</f>
        <v/>
      </c>
      <c r="T345" s="4">
        <f>P345-R345+Q345-S345</f>
        <v/>
      </c>
    </row>
    <row r="346">
      <c r="A346" s="2" t="inlineStr">
        <is>
          <t>Oro</t>
        </is>
      </c>
      <c r="B346" s="2" t="inlineStr">
        <is>
          <t>Blanco</t>
        </is>
      </c>
      <c r="C346" s="3" t="n">
        <v>46053</v>
      </c>
      <c r="D346" s="2" t="inlineStr">
        <is>
          <t>B50737749</t>
        </is>
      </c>
      <c r="E346" s="2" t="inlineStr">
        <is>
          <t>Retroexcav…</t>
        </is>
      </c>
      <c r="F346" s="2" t="n">
        <v>2178502</v>
      </c>
      <c r="G346" s="4" t="n">
        <v>504.32</v>
      </c>
      <c r="H346" s="3" t="n">
        <v>46024</v>
      </c>
      <c r="I346" s="3" t="n">
        <v>46120</v>
      </c>
      <c r="J346" s="2" t="n">
        <v>69</v>
      </c>
      <c r="K346" s="2" t="n">
        <v>46.2</v>
      </c>
      <c r="L346" s="2" t="n">
        <v>2.97</v>
      </c>
      <c r="M346" s="4" t="n">
        <v>14.98</v>
      </c>
      <c r="N346" s="4" t="n">
        <v>44.66</v>
      </c>
      <c r="O346" s="2" t="n">
        <v>40</v>
      </c>
      <c r="P346" s="4" t="n">
        <v>6.25</v>
      </c>
      <c r="Q346" s="4" t="n">
        <v>17.59</v>
      </c>
      <c r="R346" s="4">
        <f>G346*(L346/100)*(O346/100)</f>
        <v/>
      </c>
      <c r="S346" s="4">
        <f>G346*(K346/360/100)*J346*(O346/100)</f>
        <v/>
      </c>
      <c r="T346" s="4">
        <f>P346-R346+Q346-S346</f>
        <v/>
      </c>
    </row>
    <row r="347">
      <c r="A347" s="2" t="inlineStr">
        <is>
          <t>Oro</t>
        </is>
      </c>
      <c r="B347" s="2" t="inlineStr">
        <is>
          <t>Blanco</t>
        </is>
      </c>
      <c r="C347" s="3" t="n">
        <v>46053</v>
      </c>
      <c r="D347" s="2" t="inlineStr">
        <is>
          <t>A31637699</t>
        </is>
      </c>
      <c r="E347" s="2" t="inlineStr">
        <is>
          <t>Cadenas C…</t>
        </is>
      </c>
      <c r="F347" s="2" t="n">
        <v>1419393</v>
      </c>
      <c r="G347" s="4" t="n">
        <v>659.4</v>
      </c>
      <c r="H347" s="3" t="n">
        <v>46035</v>
      </c>
      <c r="I347" s="3" t="n">
        <v>46218</v>
      </c>
      <c r="J347" s="2" t="n">
        <v>79</v>
      </c>
      <c r="K347" s="2" t="n">
        <v>40.52</v>
      </c>
      <c r="L347" s="2" t="n">
        <v>1.61</v>
      </c>
      <c r="M347" s="4" t="n">
        <v>10.62</v>
      </c>
      <c r="N347" s="4" t="n">
        <v>58.63</v>
      </c>
      <c r="O347" s="2" t="n">
        <v>70</v>
      </c>
      <c r="P347" s="4" t="n">
        <v>7.53</v>
      </c>
      <c r="Q347" s="4" t="n">
        <v>40.8</v>
      </c>
      <c r="R347" s="4">
        <f>G347*(L347/100)*(O347/100)</f>
        <v/>
      </c>
      <c r="S347" s="4">
        <f>G347*(K347/360/100)*J347*(O347/100)</f>
        <v/>
      </c>
      <c r="T347" s="4">
        <f>P347-R347+Q347-S347</f>
        <v/>
      </c>
    </row>
    <row r="348">
      <c r="A348" s="2" t="inlineStr">
        <is>
          <t>Oro</t>
        </is>
      </c>
      <c r="B348" s="2" t="inlineStr">
        <is>
          <t>Blanco</t>
        </is>
      </c>
      <c r="C348" s="3" t="n">
        <v>46053</v>
      </c>
      <c r="D348" s="2" t="inlineStr">
        <is>
          <t>B81360692</t>
        </is>
      </c>
      <c r="E348" s="2" t="inlineStr">
        <is>
          <t>Registros C…</t>
        </is>
      </c>
      <c r="F348" s="2" t="n">
        <v>3874621</v>
      </c>
      <c r="G348" s="4" t="n">
        <v>666.64</v>
      </c>
      <c r="H348" s="3" t="n">
        <v>46046</v>
      </c>
      <c r="I348" s="3" t="n">
        <v>46138</v>
      </c>
      <c r="J348" s="2" t="n">
        <v>19</v>
      </c>
      <c r="K348" s="2" t="n">
        <v>16.41</v>
      </c>
      <c r="L348" s="2" t="n">
        <v>2.46</v>
      </c>
      <c r="M348" s="4" t="n">
        <v>16.4</v>
      </c>
      <c r="N348" s="4" t="n">
        <v>5.77</v>
      </c>
      <c r="O348" s="2" t="n">
        <v>30</v>
      </c>
      <c r="P348" s="4" t="n">
        <v>4.97</v>
      </c>
      <c r="Q348" s="4" t="n">
        <v>2</v>
      </c>
      <c r="R348" s="4">
        <f>G348*(L348/100)*(O348/100)</f>
        <v/>
      </c>
      <c r="S348" s="4">
        <f>G348*(K348/360/100)*J348*(O348/100)</f>
        <v/>
      </c>
      <c r="T348" s="4">
        <f>P348-R348+Q348-S348</f>
        <v/>
      </c>
    </row>
    <row r="349">
      <c r="A349" s="2" t="inlineStr">
        <is>
          <t>Oro</t>
        </is>
      </c>
      <c r="B349" s="2" t="inlineStr">
        <is>
          <t>Blanco</t>
        </is>
      </c>
      <c r="C349" s="3" t="n">
        <v>46053</v>
      </c>
      <c r="D349" s="2" t="inlineStr">
        <is>
          <t>B16492856</t>
        </is>
      </c>
      <c r="E349" s="2" t="inlineStr">
        <is>
          <t>Chapas Gi…</t>
        </is>
      </c>
      <c r="F349" s="2" t="n">
        <v>1175279</v>
      </c>
      <c r="G349" s="4" t="n">
        <v>662.61</v>
      </c>
      <c r="H349" s="3" t="n">
        <v>46038</v>
      </c>
      <c r="I349" s="3" t="n">
        <v>46062</v>
      </c>
      <c r="J349" s="2" t="n">
        <v>30</v>
      </c>
      <c r="K349" s="2" t="n">
        <v>12.01</v>
      </c>
      <c r="L349" s="2" t="n">
        <v>0.75</v>
      </c>
      <c r="M349" s="4" t="n">
        <v>4.97</v>
      </c>
      <c r="N349" s="4" t="n">
        <v>6.63</v>
      </c>
      <c r="O349" s="2" t="n">
        <v>50</v>
      </c>
      <c r="P349" s="4" t="n">
        <v>2.27</v>
      </c>
      <c r="Q349" s="4" t="n">
        <v>3.25</v>
      </c>
      <c r="R349" s="4">
        <f>G349*(L349/100)*(O349/100)</f>
        <v/>
      </c>
      <c r="S349" s="4">
        <f>G349*(K349/360/100)*J349*(O349/100)</f>
        <v/>
      </c>
      <c r="T349" s="4">
        <f>P349-R349+Q349-S349</f>
        <v/>
      </c>
    </row>
    <row r="350">
      <c r="A350" s="2" t="inlineStr">
        <is>
          <t>Oro</t>
        </is>
      </c>
      <c r="B350" s="2" t="inlineStr">
        <is>
          <t>Blanco</t>
        </is>
      </c>
      <c r="C350" s="3" t="n">
        <v>46053</v>
      </c>
      <c r="D350" s="2" t="inlineStr">
        <is>
          <t>A75740798</t>
        </is>
      </c>
      <c r="E350" s="2" t="inlineStr">
        <is>
          <t>Piedras Mo…</t>
        </is>
      </c>
      <c r="F350" s="2" t="n">
        <v>1939819</v>
      </c>
      <c r="G350" s="4" t="n">
        <v>688.45</v>
      </c>
      <c r="H350" s="3" t="n">
        <v>46025</v>
      </c>
      <c r="I350" s="3" t="n">
        <v>46083</v>
      </c>
      <c r="J350" s="2" t="n">
        <v>44</v>
      </c>
      <c r="K350" s="2" t="n">
        <v>45.72</v>
      </c>
      <c r="L350" s="2" t="n">
        <v>2.77</v>
      </c>
      <c r="M350" s="4" t="n">
        <v>19.07</v>
      </c>
      <c r="N350" s="4" t="n">
        <v>38.47</v>
      </c>
      <c r="O350" s="2" t="n">
        <v>30</v>
      </c>
      <c r="P350" s="4" t="n">
        <v>5.46</v>
      </c>
      <c r="Q350" s="4" t="n">
        <v>11.56</v>
      </c>
      <c r="R350" s="4">
        <f>G350*(L350/100)*(O350/100)</f>
        <v/>
      </c>
      <c r="S350" s="4">
        <f>G350*(K350/360/100)*J350*(O350/100)</f>
        <v/>
      </c>
      <c r="T350" s="4">
        <f>P350-R350+Q350-S350</f>
        <v/>
      </c>
    </row>
    <row r="351">
      <c r="A351" s="2" t="inlineStr">
        <is>
          <t>Oro</t>
        </is>
      </c>
      <c r="B351" s="2" t="inlineStr">
        <is>
          <t>Blanco</t>
        </is>
      </c>
      <c r="C351" s="3" t="n">
        <v>46053</v>
      </c>
      <c r="D351" s="2" t="inlineStr">
        <is>
          <t>A06023272</t>
        </is>
      </c>
      <c r="E351" s="2" t="inlineStr">
        <is>
          <t>Filtrados Gr…</t>
        </is>
      </c>
      <c r="F351" s="2" t="n">
        <v>2938725</v>
      </c>
      <c r="G351" s="4" t="n">
        <v>9163.77</v>
      </c>
      <c r="H351" s="3" t="n">
        <v>46023</v>
      </c>
      <c r="I351" s="3" t="n">
        <v>46144</v>
      </c>
      <c r="J351" s="2" t="n">
        <v>36</v>
      </c>
      <c r="K351" s="2" t="n">
        <v>20.63</v>
      </c>
      <c r="L351" s="2" t="n">
        <v>2.24</v>
      </c>
      <c r="M351" s="4" t="n">
        <v>205.27</v>
      </c>
      <c r="N351" s="4" t="n">
        <v>189.05</v>
      </c>
      <c r="O351" s="2" t="n">
        <v>30</v>
      </c>
      <c r="P351" s="4" t="n">
        <v>61.74</v>
      </c>
      <c r="Q351" s="4" t="n">
        <v>56.45</v>
      </c>
      <c r="R351" s="4">
        <f>G351*(L351/100)*(O351/100)</f>
        <v/>
      </c>
      <c r="S351" s="4">
        <f>G351*(K351/360/100)*J351*(O351/100)</f>
        <v/>
      </c>
      <c r="T351" s="4">
        <f>P351-R351+Q351-S351</f>
        <v/>
      </c>
    </row>
    <row r="352">
      <c r="A352" s="2" t="inlineStr">
        <is>
          <t>Oro</t>
        </is>
      </c>
      <c r="B352" s="2" t="inlineStr">
        <is>
          <t>Blanco</t>
        </is>
      </c>
      <c r="C352" s="3" t="n">
        <v>46053</v>
      </c>
      <c r="D352" s="2" t="inlineStr">
        <is>
          <t>B21061059</t>
        </is>
      </c>
      <c r="E352" s="2" t="inlineStr">
        <is>
          <t>Disolventes…</t>
        </is>
      </c>
      <c r="F352" s="2" t="n">
        <v>1377038</v>
      </c>
      <c r="G352" s="4" t="n">
        <v>684.03</v>
      </c>
      <c r="H352" s="3" t="n">
        <v>46042</v>
      </c>
      <c r="I352" s="3" t="n">
        <v>46151</v>
      </c>
      <c r="J352" s="2" t="n">
        <v>41</v>
      </c>
      <c r="K352" s="2" t="n">
        <v>26.46</v>
      </c>
      <c r="L352" s="2" t="n">
        <v>0.83</v>
      </c>
      <c r="M352" s="4" t="n">
        <v>5.68</v>
      </c>
      <c r="N352" s="4" t="n">
        <v>20.61</v>
      </c>
      <c r="O352" s="2" t="n">
        <v>20</v>
      </c>
      <c r="P352" s="4" t="n">
        <v>1.39</v>
      </c>
      <c r="Q352" s="4" t="n">
        <v>4.4</v>
      </c>
      <c r="R352" s="4">
        <f>G352*(L352/100)*(O352/100)</f>
        <v/>
      </c>
      <c r="S352" s="4">
        <f>G352*(K352/360/100)*J352*(O352/100)</f>
        <v/>
      </c>
      <c r="T352" s="4">
        <f>P352-R352+Q352-S352</f>
        <v/>
      </c>
    </row>
    <row r="353">
      <c r="A353" s="2" t="inlineStr">
        <is>
          <t>Oro</t>
        </is>
      </c>
      <c r="B353" s="2" t="inlineStr">
        <is>
          <t>Blanco</t>
        </is>
      </c>
      <c r="C353" s="3" t="n">
        <v>46053</v>
      </c>
      <c r="D353" s="2" t="inlineStr">
        <is>
          <t>B50958875</t>
        </is>
      </c>
      <c r="E353" s="2" t="inlineStr">
        <is>
          <t>Engranajes…</t>
        </is>
      </c>
      <c r="F353" s="2" t="n">
        <v>2362421</v>
      </c>
      <c r="G353" s="4" t="n">
        <v>981.53</v>
      </c>
      <c r="H353" s="3" t="n">
        <v>46033</v>
      </c>
      <c r="I353" s="3" t="n">
        <v>46092</v>
      </c>
      <c r="J353" s="2" t="n">
        <v>42</v>
      </c>
      <c r="K353" s="2" t="n">
        <v>48.6</v>
      </c>
      <c r="L353" s="2" t="n">
        <v>1.71</v>
      </c>
      <c r="M353" s="4" t="n">
        <v>16.78</v>
      </c>
      <c r="N353" s="4" t="n">
        <v>55.65</v>
      </c>
      <c r="O353" s="2" t="n">
        <v>60</v>
      </c>
      <c r="P353" s="4" t="n">
        <v>10.04</v>
      </c>
      <c r="Q353" s="4" t="n">
        <v>33.31</v>
      </c>
      <c r="R353" s="4">
        <f>G353*(L353/100)*(O353/100)</f>
        <v/>
      </c>
      <c r="S353" s="4">
        <f>G353*(K353/360/100)*J353*(O353/100)</f>
        <v/>
      </c>
      <c r="T353" s="4">
        <f>P353-R353+Q353-S353</f>
        <v/>
      </c>
    </row>
    <row r="354">
      <c r="A354" s="2" t="inlineStr">
        <is>
          <t>Oro</t>
        </is>
      </c>
      <c r="B354" s="2" t="inlineStr">
        <is>
          <t>Blanco</t>
        </is>
      </c>
      <c r="C354" s="3" t="n">
        <v>46053</v>
      </c>
      <c r="D354" s="2" t="inlineStr">
        <is>
          <t>A82817723</t>
        </is>
      </c>
      <c r="E354" s="2" t="inlineStr">
        <is>
          <t>Mármoles…</t>
        </is>
      </c>
      <c r="F354" s="2" t="n">
        <v>4967264</v>
      </c>
      <c r="G354" s="4" t="n">
        <v>157.89</v>
      </c>
      <c r="H354" s="3" t="n">
        <v>46042</v>
      </c>
      <c r="I354" s="3" t="n">
        <v>46212</v>
      </c>
      <c r="J354" s="2" t="n">
        <v>11</v>
      </c>
      <c r="K354" s="2" t="n">
        <v>42.94</v>
      </c>
      <c r="L354" s="2" t="n">
        <v>2.04</v>
      </c>
      <c r="M354" s="4" t="n">
        <v>3.22</v>
      </c>
      <c r="N354" s="4" t="n">
        <v>2.07</v>
      </c>
      <c r="O354" s="2" t="n">
        <v>40</v>
      </c>
      <c r="P354" s="4" t="n">
        <v>1.3</v>
      </c>
      <c r="Q354" s="4" t="n">
        <v>0.5600000000000001</v>
      </c>
      <c r="R354" s="4">
        <f>G354*(L354/100)*(O354/100)</f>
        <v/>
      </c>
      <c r="S354" s="4">
        <f>G354*(K354/360/100)*J354*(O354/100)</f>
        <v/>
      </c>
      <c r="T354" s="4">
        <f>P354-R354+Q354-S354</f>
        <v/>
      </c>
    </row>
    <row r="355">
      <c r="A355" s="2" t="inlineStr">
        <is>
          <t>Oro</t>
        </is>
      </c>
      <c r="B355" s="2" t="inlineStr">
        <is>
          <t>Blanco</t>
        </is>
      </c>
      <c r="C355" s="3" t="n">
        <v>46053</v>
      </c>
      <c r="D355" s="2" t="inlineStr">
        <is>
          <t>A30503948</t>
        </is>
      </c>
      <c r="E355" s="2" t="inlineStr">
        <is>
          <t>Sustratos H…</t>
        </is>
      </c>
      <c r="F355" s="2" t="n">
        <v>4791203</v>
      </c>
      <c r="G355" s="4" t="n">
        <v>9752.709999999999</v>
      </c>
      <c r="H355" s="3" t="n">
        <v>46027</v>
      </c>
      <c r="I355" s="3" t="n">
        <v>46109</v>
      </c>
      <c r="J355" s="2" t="n">
        <v>48</v>
      </c>
      <c r="K355" s="2" t="n">
        <v>46.68</v>
      </c>
      <c r="L355" s="2" t="n">
        <v>1.14</v>
      </c>
      <c r="M355" s="4" t="n">
        <v>111.18</v>
      </c>
      <c r="N355" s="4" t="n">
        <v>607.01</v>
      </c>
      <c r="O355" s="2" t="n">
        <v>60</v>
      </c>
      <c r="P355" s="4" t="n">
        <v>66.73</v>
      </c>
      <c r="Q355" s="4" t="n">
        <v>364.44</v>
      </c>
      <c r="R355" s="4">
        <f>G355*(L355/100)*(O355/100)</f>
        <v/>
      </c>
      <c r="S355" s="4">
        <f>G355*(K355/360/100)*J355*(O355/100)</f>
        <v/>
      </c>
      <c r="T355" s="4">
        <f>P355-R355+Q355-S355</f>
        <v/>
      </c>
    </row>
    <row r="356">
      <c r="A356" s="2" t="inlineStr">
        <is>
          <t>Oro</t>
        </is>
      </c>
      <c r="B356" s="2" t="inlineStr">
        <is>
          <t>Blanco</t>
        </is>
      </c>
      <c r="C356" s="3" t="n">
        <v>46053</v>
      </c>
      <c r="D356" s="2" t="inlineStr">
        <is>
          <t>A56659184</t>
        </is>
      </c>
      <c r="E356" s="2" t="inlineStr">
        <is>
          <t>Carretillas…</t>
        </is>
      </c>
      <c r="F356" s="2" t="n">
        <v>4971811</v>
      </c>
      <c r="G356" s="4" t="n">
        <v>694.28</v>
      </c>
      <c r="H356" s="3" t="n">
        <v>46036</v>
      </c>
      <c r="I356" s="3" t="n">
        <v>46143</v>
      </c>
      <c r="J356" s="2" t="n">
        <v>54</v>
      </c>
      <c r="K356" s="2" t="n">
        <v>48.78</v>
      </c>
      <c r="L356" s="2" t="n">
        <v>0.67</v>
      </c>
      <c r="M356" s="4" t="n">
        <v>4.65</v>
      </c>
      <c r="N356" s="4" t="n">
        <v>50.8</v>
      </c>
      <c r="O356" s="2" t="n">
        <v>70</v>
      </c>
      <c r="P356" s="4" t="n">
        <v>3.5</v>
      </c>
      <c r="Q356" s="4" t="n">
        <v>35.77</v>
      </c>
      <c r="R356" s="4">
        <f>G356*(L356/100)*(O356/100)</f>
        <v/>
      </c>
      <c r="S356" s="4">
        <f>G356*(K356/360/100)*J356*(O356/100)</f>
        <v/>
      </c>
      <c r="T356" s="4">
        <f>P356-R356+Q356-S356</f>
        <v/>
      </c>
    </row>
    <row r="357">
      <c r="A357" s="2" t="inlineStr">
        <is>
          <t>Oro</t>
        </is>
      </c>
      <c r="B357" s="2" t="inlineStr">
        <is>
          <t>Blanco</t>
        </is>
      </c>
      <c r="C357" s="3" t="n">
        <v>46053</v>
      </c>
      <c r="D357" s="2" t="inlineStr">
        <is>
          <t>B60803962</t>
        </is>
      </c>
      <c r="E357" s="2" t="inlineStr">
        <is>
          <t>Tintes Cent…</t>
        </is>
      </c>
      <c r="F357" s="2" t="n">
        <v>4956218</v>
      </c>
      <c r="G357" s="4" t="n">
        <v>9552.360000000001</v>
      </c>
      <c r="H357" s="3" t="n">
        <v>46027</v>
      </c>
      <c r="I357" s="3" t="n">
        <v>46090</v>
      </c>
      <c r="J357" s="2" t="n">
        <v>74</v>
      </c>
      <c r="K357" s="2" t="n">
        <v>43.92</v>
      </c>
      <c r="L357" s="2" t="n">
        <v>1.43</v>
      </c>
      <c r="M357" s="4" t="n">
        <v>136.6</v>
      </c>
      <c r="N357" s="4" t="n">
        <v>862.39</v>
      </c>
      <c r="O357" s="2" t="n">
        <v>20</v>
      </c>
      <c r="P357" s="4" t="n">
        <v>27.24</v>
      </c>
      <c r="Q357" s="4" t="n">
        <v>172.29</v>
      </c>
      <c r="R357" s="4">
        <f>G357*(L357/100)*(O357/100)</f>
        <v/>
      </c>
      <c r="S357" s="4">
        <f>G357*(K357/360/100)*J357*(O357/100)</f>
        <v/>
      </c>
      <c r="T357" s="4">
        <f>P357-R357+Q357-S357</f>
        <v/>
      </c>
    </row>
    <row r="358">
      <c r="A358" s="2" t="inlineStr">
        <is>
          <t>Oro</t>
        </is>
      </c>
      <c r="B358" s="2" t="inlineStr">
        <is>
          <t>Blanco</t>
        </is>
      </c>
      <c r="C358" s="3" t="n">
        <v>46053</v>
      </c>
      <c r="D358" s="2" t="inlineStr">
        <is>
          <t>B52579272</t>
        </is>
      </c>
      <c r="E358" s="2" t="inlineStr">
        <is>
          <t>Cajas Acab…</t>
        </is>
      </c>
      <c r="F358" s="2" t="n">
        <v>2985307</v>
      </c>
      <c r="G358" s="4" t="n">
        <v>966.4</v>
      </c>
      <c r="H358" s="3" t="n">
        <v>46047</v>
      </c>
      <c r="I358" s="3" t="n">
        <v>46128</v>
      </c>
      <c r="J358" s="2" t="n">
        <v>13</v>
      </c>
      <c r="K358" s="2" t="n">
        <v>13.64</v>
      </c>
      <c r="L358" s="2" t="n">
        <v>2.37</v>
      </c>
      <c r="M358" s="4" t="n">
        <v>22.9</v>
      </c>
      <c r="N358" s="4" t="n">
        <v>4.76</v>
      </c>
      <c r="O358" s="2" t="n">
        <v>20</v>
      </c>
      <c r="P358" s="4" t="n">
        <v>4.53</v>
      </c>
      <c r="Q358" s="4" t="n">
        <v>1.16</v>
      </c>
      <c r="R358" s="4">
        <f>G358*(L358/100)*(O358/100)</f>
        <v/>
      </c>
      <c r="S358" s="4">
        <f>G358*(K358/360/100)*J358*(O358/100)</f>
        <v/>
      </c>
      <c r="T358" s="4">
        <f>P358-R358+Q358-S358</f>
        <v/>
      </c>
    </row>
    <row r="359">
      <c r="A359" s="2" t="inlineStr">
        <is>
          <t>Oro</t>
        </is>
      </c>
      <c r="B359" s="2" t="inlineStr">
        <is>
          <t>Blanco</t>
        </is>
      </c>
      <c r="C359" s="3" t="n">
        <v>46053</v>
      </c>
      <c r="D359" s="2" t="inlineStr">
        <is>
          <t>B53134368</t>
        </is>
      </c>
      <c r="E359" s="2" t="inlineStr">
        <is>
          <t>Cárnicos S…</t>
        </is>
      </c>
      <c r="F359" s="2" t="n">
        <v>4902792</v>
      </c>
      <c r="G359" s="4" t="n">
        <v>914.02</v>
      </c>
      <c r="H359" s="3" t="n">
        <v>46025</v>
      </c>
      <c r="I359" s="3" t="n">
        <v>46136</v>
      </c>
      <c r="J359" s="2" t="n">
        <v>10</v>
      </c>
      <c r="K359" s="2" t="n">
        <v>12.69</v>
      </c>
      <c r="L359" s="2" t="n">
        <v>0.59</v>
      </c>
      <c r="M359" s="4" t="n">
        <v>5.39</v>
      </c>
      <c r="N359" s="4" t="n">
        <v>3.22</v>
      </c>
      <c r="O359" s="2" t="n">
        <v>30</v>
      </c>
      <c r="P359" s="4" t="n">
        <v>1.69</v>
      </c>
      <c r="Q359" s="4" t="n">
        <v>1.15</v>
      </c>
      <c r="R359" s="4">
        <f>G359*(L359/100)*(O359/100)</f>
        <v/>
      </c>
      <c r="S359" s="4">
        <f>G359*(K359/360/100)*J359*(O359/100)</f>
        <v/>
      </c>
      <c r="T359" s="4">
        <f>P359-R359+Q359-S359</f>
        <v/>
      </c>
    </row>
    <row r="360">
      <c r="A360" s="2" t="inlineStr">
        <is>
          <t>Oro</t>
        </is>
      </c>
      <c r="B360" s="2" t="inlineStr">
        <is>
          <t>Blanco</t>
        </is>
      </c>
      <c r="C360" s="3" t="n">
        <v>46053</v>
      </c>
      <c r="D360" s="2" t="inlineStr">
        <is>
          <t>B68875940</t>
        </is>
      </c>
      <c r="E360" s="2" t="inlineStr">
        <is>
          <t>Vidrios Co…</t>
        </is>
      </c>
      <c r="F360" s="2" t="n">
        <v>2745642</v>
      </c>
      <c r="G360" s="4" t="n">
        <v>3311.97</v>
      </c>
      <c r="H360" s="3" t="n">
        <v>46030</v>
      </c>
      <c r="I360" s="3" t="n">
        <v>46218</v>
      </c>
      <c r="J360" s="2" t="n">
        <v>57</v>
      </c>
      <c r="K360" s="2" t="n">
        <v>31.72</v>
      </c>
      <c r="L360" s="2" t="n">
        <v>1.06</v>
      </c>
      <c r="M360" s="4" t="n">
        <v>35.11</v>
      </c>
      <c r="N360" s="4" t="n">
        <v>166.34</v>
      </c>
      <c r="O360" s="2" t="n">
        <v>40</v>
      </c>
      <c r="P360" s="4" t="n">
        <v>13.99</v>
      </c>
      <c r="Q360" s="4" t="n">
        <v>66.39</v>
      </c>
      <c r="R360" s="4">
        <f>G360*(L360/100)*(O360/100)</f>
        <v/>
      </c>
      <c r="S360" s="4">
        <f>G360*(K360/360/100)*J360*(O360/100)</f>
        <v/>
      </c>
      <c r="T360" s="4">
        <f>P360-R360+Q360-S360</f>
        <v/>
      </c>
    </row>
    <row r="361">
      <c r="A361" s="2" t="inlineStr">
        <is>
          <t>Oro</t>
        </is>
      </c>
      <c r="B361" s="2" t="inlineStr">
        <is>
          <t>Blanco</t>
        </is>
      </c>
      <c r="C361" s="3" t="n">
        <v>46053</v>
      </c>
      <c r="D361" s="2" t="inlineStr">
        <is>
          <t>B80558786</t>
        </is>
      </c>
      <c r="E361" s="2" t="inlineStr">
        <is>
          <t>Sales Emin…</t>
        </is>
      </c>
      <c r="F361" s="2" t="n">
        <v>2771716</v>
      </c>
      <c r="G361" s="4" t="n">
        <v>237.26</v>
      </c>
      <c r="H361" s="3" t="n">
        <v>46033</v>
      </c>
      <c r="I361" s="3" t="n">
        <v>46088</v>
      </c>
      <c r="J361" s="2" t="n">
        <v>42</v>
      </c>
      <c r="K361" s="2" t="n">
        <v>10.41</v>
      </c>
      <c r="L361" s="2" t="n">
        <v>2.37</v>
      </c>
      <c r="M361" s="4" t="n">
        <v>5.62</v>
      </c>
      <c r="N361" s="4" t="n">
        <v>2.88</v>
      </c>
      <c r="O361" s="2" t="n">
        <v>40</v>
      </c>
      <c r="P361" s="4" t="n">
        <v>1.98</v>
      </c>
      <c r="Q361" s="4" t="n">
        <v>1.14</v>
      </c>
      <c r="R361" s="4">
        <f>G361*(L361/100)*(O361/100)</f>
        <v/>
      </c>
      <c r="S361" s="4">
        <f>G361*(K361/360/100)*J361*(O361/100)</f>
        <v/>
      </c>
      <c r="T361" s="4">
        <f>P361-R361+Q361-S361</f>
        <v/>
      </c>
    </row>
    <row r="362">
      <c r="A362" s="2" t="inlineStr">
        <is>
          <t>Oro</t>
        </is>
      </c>
      <c r="B362" s="2" t="inlineStr">
        <is>
          <t>Blanco</t>
        </is>
      </c>
      <c r="C362" s="3" t="n">
        <v>46053</v>
      </c>
      <c r="D362" s="2" t="inlineStr">
        <is>
          <t>B38637782</t>
        </is>
      </c>
      <c r="E362" s="2" t="inlineStr">
        <is>
          <t>Ejes Antioxi…</t>
        </is>
      </c>
      <c r="F362" s="2" t="n">
        <v>1485125</v>
      </c>
      <c r="G362" s="4" t="n">
        <v>850.78</v>
      </c>
      <c r="H362" s="3" t="n">
        <v>46036</v>
      </c>
      <c r="I362" s="3" t="n">
        <v>46207</v>
      </c>
      <c r="J362" s="2" t="n">
        <v>75</v>
      </c>
      <c r="K362" s="2" t="n">
        <v>47.21</v>
      </c>
      <c r="L362" s="2" t="n">
        <v>2.27</v>
      </c>
      <c r="M362" s="4" t="n">
        <v>19.31</v>
      </c>
      <c r="N362" s="4" t="n">
        <v>83.68000000000001</v>
      </c>
      <c r="O362" s="2" t="n">
        <v>40</v>
      </c>
      <c r="P362" s="4" t="n">
        <v>7.87</v>
      </c>
      <c r="Q362" s="4" t="n">
        <v>33.44</v>
      </c>
      <c r="R362" s="4">
        <f>G362*(L362/100)*(O362/100)</f>
        <v/>
      </c>
      <c r="S362" s="4">
        <f>G362*(K362/360/100)*J362*(O362/100)</f>
        <v/>
      </c>
      <c r="T362" s="4">
        <f>P362-R362+Q362-S362</f>
        <v/>
      </c>
    </row>
    <row r="363">
      <c r="A363" s="2" t="inlineStr">
        <is>
          <t>Oro</t>
        </is>
      </c>
      <c r="B363" s="2" t="inlineStr">
        <is>
          <t>Blanco</t>
        </is>
      </c>
      <c r="C363" s="3" t="n">
        <v>46053</v>
      </c>
      <c r="D363" s="2" t="inlineStr">
        <is>
          <t>B05772234</t>
        </is>
      </c>
      <c r="E363" s="2" t="inlineStr">
        <is>
          <t>Component…</t>
        </is>
      </c>
      <c r="F363" s="2" t="n">
        <v>2910180</v>
      </c>
      <c r="G363" s="4" t="n">
        <v>530.15</v>
      </c>
      <c r="H363" s="3" t="n">
        <v>46036</v>
      </c>
      <c r="I363" s="3" t="n">
        <v>46211</v>
      </c>
      <c r="J363" s="2" t="n">
        <v>37</v>
      </c>
      <c r="K363" s="2" t="n">
        <v>20.26</v>
      </c>
      <c r="L363" s="2" t="n">
        <v>1.07</v>
      </c>
      <c r="M363" s="4" t="n">
        <v>5.67</v>
      </c>
      <c r="N363" s="4" t="n">
        <v>11.04</v>
      </c>
      <c r="O363" s="2" t="n">
        <v>70</v>
      </c>
      <c r="P363" s="4" t="n">
        <v>4.07</v>
      </c>
      <c r="Q363" s="4" t="n">
        <v>7.45</v>
      </c>
      <c r="R363" s="4">
        <f>G363*(L363/100)*(O363/100)</f>
        <v/>
      </c>
      <c r="S363" s="4">
        <f>G363*(K363/360/100)*J363*(O363/100)</f>
        <v/>
      </c>
      <c r="T363" s="4">
        <f>P363-R363+Q363-S363</f>
        <v/>
      </c>
    </row>
    <row r="364">
      <c r="A364" s="2" t="inlineStr">
        <is>
          <t>Oro</t>
        </is>
      </c>
      <c r="B364" s="2" t="inlineStr">
        <is>
          <t>Blanco</t>
        </is>
      </c>
      <c r="C364" s="3" t="n">
        <v>46053</v>
      </c>
      <c r="D364" s="2" t="inlineStr">
        <is>
          <t>A65846021</t>
        </is>
      </c>
      <c r="E364" s="2" t="inlineStr">
        <is>
          <t>Fondeos R…</t>
        </is>
      </c>
      <c r="F364" s="2" t="n">
        <v>1840171</v>
      </c>
      <c r="G364" s="4" t="n">
        <v>4079.66</v>
      </c>
      <c r="H364" s="3" t="n">
        <v>46035</v>
      </c>
      <c r="I364" s="3" t="n">
        <v>46092</v>
      </c>
      <c r="J364" s="2" t="n">
        <v>75</v>
      </c>
      <c r="K364" s="2" t="n">
        <v>16.54</v>
      </c>
      <c r="L364" s="2" t="n">
        <v>2.05</v>
      </c>
      <c r="M364" s="4" t="n">
        <v>83.63</v>
      </c>
      <c r="N364" s="4" t="n">
        <v>140.58</v>
      </c>
      <c r="O364" s="2" t="n">
        <v>50</v>
      </c>
      <c r="P364" s="4" t="n">
        <v>41.93</v>
      </c>
      <c r="Q364" s="4" t="n">
        <v>70.15000000000001</v>
      </c>
      <c r="R364" s="4">
        <f>G364*(L364/100)*(O364/100)</f>
        <v/>
      </c>
      <c r="S364" s="4">
        <f>G364*(K364/360/100)*J364*(O364/100)</f>
        <v/>
      </c>
      <c r="T364" s="4">
        <f>P364-R364+Q364-S364</f>
        <v/>
      </c>
    </row>
    <row r="365">
      <c r="A365" s="2" t="inlineStr">
        <is>
          <t>Oro</t>
        </is>
      </c>
      <c r="B365" s="2" t="inlineStr">
        <is>
          <t>Blanco</t>
        </is>
      </c>
      <c r="C365" s="3" t="n">
        <v>46053</v>
      </c>
      <c r="D365" s="2" t="inlineStr">
        <is>
          <t>B43920097</t>
        </is>
      </c>
      <c r="E365" s="2" t="inlineStr">
        <is>
          <t>Cartones P…</t>
        </is>
      </c>
      <c r="F365" s="2" t="n">
        <v>4180506</v>
      </c>
      <c r="G365" s="4" t="n">
        <v>9065.65</v>
      </c>
      <c r="H365" s="3" t="n">
        <v>46043</v>
      </c>
      <c r="I365" s="3" t="n">
        <v>46138</v>
      </c>
      <c r="J365" s="2" t="n">
        <v>86</v>
      </c>
      <c r="K365" s="2" t="n">
        <v>26.3</v>
      </c>
      <c r="L365" s="2" t="n">
        <v>2.86</v>
      </c>
      <c r="M365" s="4" t="n">
        <v>259.28</v>
      </c>
      <c r="N365" s="4" t="n">
        <v>569.5700000000001</v>
      </c>
      <c r="O365" s="2" t="n">
        <v>70</v>
      </c>
      <c r="P365" s="4" t="n">
        <v>181.54</v>
      </c>
      <c r="Q365" s="4" t="n">
        <v>398.96</v>
      </c>
      <c r="R365" s="4">
        <f>G365*(L365/100)*(O365/100)</f>
        <v/>
      </c>
      <c r="S365" s="4">
        <f>G365*(K365/360/100)*J365*(O365/100)</f>
        <v/>
      </c>
      <c r="T365" s="4">
        <f>P365-R365+Q365-S365</f>
        <v/>
      </c>
    </row>
    <row r="366">
      <c r="A366" s="2" t="inlineStr">
        <is>
          <t>Oro</t>
        </is>
      </c>
      <c r="B366" s="2" t="inlineStr">
        <is>
          <t>Blanco</t>
        </is>
      </c>
      <c r="C366" s="3" t="n">
        <v>46053</v>
      </c>
      <c r="D366" s="2" t="inlineStr">
        <is>
          <t>B90104474</t>
        </is>
      </c>
      <c r="E366" s="2" t="inlineStr">
        <is>
          <t>Alcantarilla…</t>
        </is>
      </c>
      <c r="F366" s="2" t="n">
        <v>2554441</v>
      </c>
      <c r="G366" s="4" t="n">
        <v>454.35</v>
      </c>
      <c r="H366" s="3" t="n">
        <v>46028</v>
      </c>
      <c r="I366" s="3" t="n">
        <v>46071</v>
      </c>
      <c r="J366" s="2" t="n">
        <v>74</v>
      </c>
      <c r="K366" s="2" t="n">
        <v>39.14</v>
      </c>
      <c r="L366" s="2" t="n">
        <v>1.78</v>
      </c>
      <c r="M366" s="4" t="n">
        <v>8.09</v>
      </c>
      <c r="N366" s="4" t="n">
        <v>36.55</v>
      </c>
      <c r="O366" s="2" t="n">
        <v>50</v>
      </c>
      <c r="P366" s="4" t="n">
        <v>4.34</v>
      </c>
      <c r="Q366" s="4" t="n">
        <v>18.49</v>
      </c>
      <c r="R366" s="4">
        <f>G366*(L366/100)*(O366/100)</f>
        <v/>
      </c>
      <c r="S366" s="4">
        <f>G366*(K366/360/100)*J366*(O366/100)</f>
        <v/>
      </c>
      <c r="T366" s="4">
        <f>P366-R366+Q366-S366</f>
        <v/>
      </c>
    </row>
    <row r="367">
      <c r="A367" s="2" t="inlineStr">
        <is>
          <t>Oro</t>
        </is>
      </c>
      <c r="B367" s="2" t="inlineStr">
        <is>
          <t>Blanco</t>
        </is>
      </c>
      <c r="C367" s="3" t="n">
        <v>46053</v>
      </c>
      <c r="D367" s="2" t="inlineStr">
        <is>
          <t>A82223757</t>
        </is>
      </c>
      <c r="E367" s="2" t="inlineStr">
        <is>
          <t>Compostaj…</t>
        </is>
      </c>
      <c r="F367" s="2" t="n">
        <v>4359204</v>
      </c>
      <c r="G367" s="4" t="n">
        <v>277.69</v>
      </c>
      <c r="H367" s="3" t="n">
        <v>46038</v>
      </c>
      <c r="I367" s="3" t="n">
        <v>46086</v>
      </c>
      <c r="J367" s="2" t="n">
        <v>12</v>
      </c>
      <c r="K367" s="2" t="n">
        <v>24.6</v>
      </c>
      <c r="L367" s="2" t="n">
        <v>2.65</v>
      </c>
      <c r="M367" s="4" t="n">
        <v>7.36</v>
      </c>
      <c r="N367" s="4" t="n">
        <v>2.28</v>
      </c>
      <c r="O367" s="2" t="n">
        <v>40</v>
      </c>
      <c r="P367" s="4" t="n">
        <v>3.02</v>
      </c>
      <c r="Q367" s="4" t="n">
        <v>1.13</v>
      </c>
      <c r="R367" s="4">
        <f>G367*(L367/100)*(O367/100)</f>
        <v/>
      </c>
      <c r="S367" s="4">
        <f>G367*(K367/360/100)*J367*(O367/100)</f>
        <v/>
      </c>
      <c r="T367" s="4">
        <f>P367-R367+Q367-S367</f>
        <v/>
      </c>
    </row>
    <row r="368">
      <c r="A368" s="2" t="inlineStr">
        <is>
          <t>Oro</t>
        </is>
      </c>
      <c r="B368" s="2" t="inlineStr">
        <is>
          <t>Blanco</t>
        </is>
      </c>
      <c r="C368" s="3" t="n">
        <v>46053</v>
      </c>
      <c r="D368" s="2" t="inlineStr">
        <is>
          <t>B16656758</t>
        </is>
      </c>
      <c r="E368" s="2" t="inlineStr">
        <is>
          <t>Acumulado…</t>
        </is>
      </c>
      <c r="F368" s="2" t="n">
        <v>3025099</v>
      </c>
      <c r="G368" s="4" t="n">
        <v>4064.46</v>
      </c>
      <c r="H368" s="3" t="n">
        <v>46048</v>
      </c>
      <c r="I368" s="3" t="n">
        <v>46100</v>
      </c>
      <c r="J368" s="2" t="n">
        <v>53</v>
      </c>
      <c r="K368" s="2" t="n">
        <v>33.13</v>
      </c>
      <c r="L368" s="2" t="n">
        <v>2.81</v>
      </c>
      <c r="M368" s="4" t="n">
        <v>114.21</v>
      </c>
      <c r="N368" s="4" t="n">
        <v>198.24</v>
      </c>
      <c r="O368" s="2" t="n">
        <v>70</v>
      </c>
      <c r="P368" s="4" t="n">
        <v>80.04000000000001</v>
      </c>
      <c r="Q368" s="4" t="n">
        <v>139.03</v>
      </c>
      <c r="R368" s="4">
        <f>G368*(L368/100)*(O368/100)</f>
        <v/>
      </c>
      <c r="S368" s="4">
        <f>G368*(K368/360/100)*J368*(O368/100)</f>
        <v/>
      </c>
      <c r="T368" s="4">
        <f>P368-R368+Q368-S368</f>
        <v/>
      </c>
    </row>
    <row r="369">
      <c r="A369" s="2" t="inlineStr">
        <is>
          <t>Oro</t>
        </is>
      </c>
      <c r="B369" s="2" t="inlineStr">
        <is>
          <t>Blanco</t>
        </is>
      </c>
      <c r="C369" s="3" t="n">
        <v>46053</v>
      </c>
      <c r="D369" s="2" t="inlineStr">
        <is>
          <t>A97519892</t>
        </is>
      </c>
      <c r="E369" s="2" t="inlineStr">
        <is>
          <t>Telas Cone…</t>
        </is>
      </c>
      <c r="F369" s="2" t="n">
        <v>3505449</v>
      </c>
      <c r="G369" s="4" t="n">
        <v>590.37</v>
      </c>
      <c r="H369" s="3" t="n">
        <v>46041</v>
      </c>
      <c r="I369" s="3" t="n">
        <v>46163</v>
      </c>
      <c r="J369" s="2" t="n">
        <v>57</v>
      </c>
      <c r="K369" s="2" t="n">
        <v>31.67</v>
      </c>
      <c r="L369" s="2" t="n">
        <v>2.05</v>
      </c>
      <c r="M369" s="4" t="n">
        <v>12.1</v>
      </c>
      <c r="N369" s="4" t="n">
        <v>29.6</v>
      </c>
      <c r="O369" s="2" t="n">
        <v>60</v>
      </c>
      <c r="P369" s="4" t="n">
        <v>7.05</v>
      </c>
      <c r="Q369" s="4" t="n">
        <v>17.98</v>
      </c>
      <c r="R369" s="4">
        <f>G369*(L369/100)*(O369/100)</f>
        <v/>
      </c>
      <c r="S369" s="4">
        <f>G369*(K369/360/100)*J369*(O369/100)</f>
        <v/>
      </c>
      <c r="T369" s="4">
        <f>P369-R369+Q369-S369</f>
        <v/>
      </c>
    </row>
    <row r="370">
      <c r="A370" s="2" t="inlineStr">
        <is>
          <t>Oro</t>
        </is>
      </c>
      <c r="B370" s="2" t="inlineStr">
        <is>
          <t>Blanco</t>
        </is>
      </c>
      <c r="C370" s="3" t="n">
        <v>46053</v>
      </c>
      <c r="D370" s="2" t="inlineStr">
        <is>
          <t>B65881267</t>
        </is>
      </c>
      <c r="E370" s="2" t="inlineStr">
        <is>
          <t>Siropes Ho…</t>
        </is>
      </c>
      <c r="F370" s="2" t="n">
        <v>1944767</v>
      </c>
      <c r="G370" s="4" t="n">
        <v>8165.67</v>
      </c>
      <c r="H370" s="3" t="n">
        <v>46049</v>
      </c>
      <c r="I370" s="3" t="n">
        <v>46074</v>
      </c>
      <c r="J370" s="2" t="n">
        <v>61</v>
      </c>
      <c r="K370" s="2" t="n">
        <v>23.14</v>
      </c>
      <c r="L370" s="2" t="n">
        <v>2.88</v>
      </c>
      <c r="M370" s="4" t="n">
        <v>235.17</v>
      </c>
      <c r="N370" s="4" t="n">
        <v>320.17</v>
      </c>
      <c r="O370" s="2" t="n">
        <v>50</v>
      </c>
      <c r="P370" s="4" t="n">
        <v>117.47</v>
      </c>
      <c r="Q370" s="4" t="n">
        <v>160.18</v>
      </c>
      <c r="R370" s="4">
        <f>G370*(L370/100)*(O370/100)</f>
        <v/>
      </c>
      <c r="S370" s="4">
        <f>G370*(K370/360/100)*J370*(O370/100)</f>
        <v/>
      </c>
      <c r="T370" s="4">
        <f>P370-R370+Q370-S370</f>
        <v/>
      </c>
    </row>
    <row r="371">
      <c r="A371" s="2" t="inlineStr">
        <is>
          <t>Oro</t>
        </is>
      </c>
      <c r="B371" s="2" t="inlineStr">
        <is>
          <t>Blanco</t>
        </is>
      </c>
      <c r="C371" s="3" t="n">
        <v>46053</v>
      </c>
      <c r="D371" s="2" t="inlineStr">
        <is>
          <t>B56524964</t>
        </is>
      </c>
      <c r="E371" s="2" t="inlineStr">
        <is>
          <t>Papeles M…</t>
        </is>
      </c>
      <c r="F371" s="2" t="n">
        <v>1342814</v>
      </c>
      <c r="G371" s="4" t="n">
        <v>965.3</v>
      </c>
      <c r="H371" s="3" t="n">
        <v>46044</v>
      </c>
      <c r="I371" s="3" t="n">
        <v>46061</v>
      </c>
      <c r="J371" s="2" t="n">
        <v>86</v>
      </c>
      <c r="K371" s="2" t="n">
        <v>23.29</v>
      </c>
      <c r="L371" s="2" t="n">
        <v>1.85</v>
      </c>
      <c r="M371" s="4" t="n">
        <v>17.86</v>
      </c>
      <c r="N371" s="4" t="n">
        <v>53.71</v>
      </c>
      <c r="O371" s="2" t="n">
        <v>30</v>
      </c>
      <c r="P371" s="4" t="n">
        <v>5.62</v>
      </c>
      <c r="Q371" s="4" t="n">
        <v>16.17</v>
      </c>
      <c r="R371" s="4">
        <f>G371*(L371/100)*(O371/100)</f>
        <v/>
      </c>
      <c r="S371" s="4">
        <f>G371*(K371/360/100)*J371*(O371/100)</f>
        <v/>
      </c>
      <c r="T371" s="4">
        <f>P371-R371+Q371-S371</f>
        <v/>
      </c>
    </row>
    <row r="372">
      <c r="A372" s="2" t="inlineStr">
        <is>
          <t>Oro</t>
        </is>
      </c>
      <c r="B372" s="2" t="inlineStr">
        <is>
          <t>Blanco</t>
        </is>
      </c>
      <c r="C372" s="3" t="n">
        <v>46053</v>
      </c>
      <c r="D372" s="2" t="inlineStr">
        <is>
          <t>B45343981</t>
        </is>
      </c>
      <c r="E372" s="2" t="inlineStr">
        <is>
          <t>Juntas Rec…</t>
        </is>
      </c>
      <c r="F372" s="2" t="n">
        <v>3618678</v>
      </c>
      <c r="G372" s="4" t="n">
        <v>963.5</v>
      </c>
      <c r="H372" s="3" t="n">
        <v>46043</v>
      </c>
      <c r="I372" s="3" t="n">
        <v>46107</v>
      </c>
      <c r="J372" s="2" t="n">
        <v>58</v>
      </c>
      <c r="K372" s="2" t="n">
        <v>37.08</v>
      </c>
      <c r="L372" s="2" t="n">
        <v>1.23</v>
      </c>
      <c r="M372" s="4" t="n">
        <v>11.85</v>
      </c>
      <c r="N372" s="4" t="n">
        <v>57.56</v>
      </c>
      <c r="O372" s="2" t="n">
        <v>30</v>
      </c>
      <c r="P372" s="4" t="n">
        <v>3.53</v>
      </c>
      <c r="Q372" s="4" t="n">
        <v>17.15</v>
      </c>
      <c r="R372" s="4">
        <f>G372*(L372/100)*(O372/100)</f>
        <v/>
      </c>
      <c r="S372" s="4">
        <f>G372*(K372/360/100)*J372*(O372/100)</f>
        <v/>
      </c>
      <c r="T372" s="4">
        <f>P372-R372+Q372-S372</f>
        <v/>
      </c>
    </row>
    <row r="373">
      <c r="A373" s="2" t="inlineStr">
        <is>
          <t>Oro</t>
        </is>
      </c>
      <c r="B373" s="2" t="inlineStr">
        <is>
          <t>Blanco</t>
        </is>
      </c>
      <c r="C373" s="3" t="n">
        <v>46053</v>
      </c>
      <c r="D373" s="2" t="inlineStr">
        <is>
          <t>A45284342</t>
        </is>
      </c>
      <c r="E373" s="2" t="inlineStr">
        <is>
          <t>Actuadores…</t>
        </is>
      </c>
      <c r="F373" s="2" t="n">
        <v>4154199</v>
      </c>
      <c r="G373" s="4" t="n">
        <v>172.45</v>
      </c>
      <c r="H373" s="3" t="n">
        <v>46040</v>
      </c>
      <c r="I373" s="3" t="n">
        <v>46098</v>
      </c>
      <c r="J373" s="2" t="n">
        <v>15</v>
      </c>
      <c r="K373" s="2" t="n">
        <v>13.43</v>
      </c>
      <c r="L373" s="2" t="n">
        <v>1.52</v>
      </c>
      <c r="M373" s="4" t="n">
        <v>2.62</v>
      </c>
      <c r="N373" s="4" t="n">
        <v>0.97</v>
      </c>
      <c r="O373" s="2" t="n">
        <v>60</v>
      </c>
      <c r="P373" s="4" t="n">
        <v>1.49</v>
      </c>
      <c r="Q373" s="4" t="n">
        <v>0.32</v>
      </c>
      <c r="R373" s="4">
        <f>G373*(L373/100)*(O373/100)</f>
        <v/>
      </c>
      <c r="S373" s="4">
        <f>G373*(K373/360/100)*J373*(O373/100)</f>
        <v/>
      </c>
      <c r="T373" s="4">
        <f>P373-R373+Q373-S373</f>
        <v/>
      </c>
    </row>
    <row r="374">
      <c r="A374" s="2" t="inlineStr">
        <is>
          <t>Oro</t>
        </is>
      </c>
      <c r="B374" s="2" t="inlineStr">
        <is>
          <t>Blanco</t>
        </is>
      </c>
      <c r="C374" s="3" t="n">
        <v>46053</v>
      </c>
      <c r="D374" s="2" t="inlineStr">
        <is>
          <t>A07170179</t>
        </is>
      </c>
      <c r="E374" s="2" t="inlineStr">
        <is>
          <t>Tanques Pl…</t>
        </is>
      </c>
      <c r="F374" s="2" t="n">
        <v>4957738</v>
      </c>
      <c r="G374" s="4" t="n">
        <v>373.22</v>
      </c>
      <c r="H374" s="3" t="n">
        <v>46049</v>
      </c>
      <c r="I374" s="3" t="n">
        <v>46127</v>
      </c>
      <c r="J374" s="2" t="n">
        <v>60</v>
      </c>
      <c r="K374" s="2" t="n">
        <v>46.99</v>
      </c>
      <c r="L374" s="2" t="n">
        <v>2.34</v>
      </c>
      <c r="M374" s="4" t="n">
        <v>8.73</v>
      </c>
      <c r="N374" s="4" t="n">
        <v>29.23</v>
      </c>
      <c r="O374" s="2" t="n">
        <v>50</v>
      </c>
      <c r="P374" s="4" t="n">
        <v>4.35</v>
      </c>
      <c r="Q374" s="4" t="n">
        <v>14.49</v>
      </c>
      <c r="R374" s="4">
        <f>G374*(L374/100)*(O374/100)</f>
        <v/>
      </c>
      <c r="S374" s="4">
        <f>G374*(K374/360/100)*J374*(O374/100)</f>
        <v/>
      </c>
      <c r="T374" s="4">
        <f>P374-R374+Q374-S374</f>
        <v/>
      </c>
    </row>
    <row r="375">
      <c r="A375" s="2" t="inlineStr">
        <is>
          <t>Oro</t>
        </is>
      </c>
      <c r="B375" s="2" t="inlineStr">
        <is>
          <t>Blanco</t>
        </is>
      </c>
      <c r="C375" s="3" t="n">
        <v>46053</v>
      </c>
      <c r="D375" s="2" t="inlineStr">
        <is>
          <t>A81768175</t>
        </is>
      </c>
      <c r="E375" s="2" t="inlineStr">
        <is>
          <t>Bridas Refi…</t>
        </is>
      </c>
      <c r="F375" s="2" t="n">
        <v>3345381</v>
      </c>
      <c r="G375" s="4" t="n">
        <v>4875.84</v>
      </c>
      <c r="H375" s="3" t="n">
        <v>46032</v>
      </c>
      <c r="I375" s="3" t="n">
        <v>46124</v>
      </c>
      <c r="J375" s="2" t="n">
        <v>55</v>
      </c>
      <c r="K375" s="2" t="n">
        <v>31.91</v>
      </c>
      <c r="L375" s="2" t="n">
        <v>2.96</v>
      </c>
      <c r="M375" s="4" t="n">
        <v>144.32</v>
      </c>
      <c r="N375" s="4" t="n">
        <v>237.7</v>
      </c>
      <c r="O375" s="2" t="n">
        <v>50</v>
      </c>
      <c r="P375" s="4" t="n">
        <v>72.04000000000001</v>
      </c>
      <c r="Q375" s="4" t="n">
        <v>118.57</v>
      </c>
      <c r="R375" s="4">
        <f>G375*(L375/100)*(O375/100)</f>
        <v/>
      </c>
      <c r="S375" s="4">
        <f>G375*(K375/360/100)*J375*(O375/100)</f>
        <v/>
      </c>
      <c r="T375" s="4">
        <f>P375-R375+Q375-S375</f>
        <v/>
      </c>
    </row>
    <row r="376">
      <c r="A376" s="2" t="inlineStr">
        <is>
          <t>Oro</t>
        </is>
      </c>
      <c r="B376" s="2" t="inlineStr">
        <is>
          <t>Blanco</t>
        </is>
      </c>
      <c r="C376" s="3" t="n">
        <v>46053</v>
      </c>
      <c r="D376" s="2" t="inlineStr">
        <is>
          <t>A89366401</t>
        </is>
      </c>
      <c r="E376" s="2" t="inlineStr">
        <is>
          <t>Inversores…</t>
        </is>
      </c>
      <c r="F376" s="2" t="n">
        <v>4179286</v>
      </c>
      <c r="G376" s="4" t="n">
        <v>966.4</v>
      </c>
      <c r="H376" s="3" t="n">
        <v>46047</v>
      </c>
      <c r="I376" s="3" t="n">
        <v>46156</v>
      </c>
      <c r="J376" s="2" t="n">
        <v>13</v>
      </c>
      <c r="K376" s="2" t="n">
        <v>40.66</v>
      </c>
      <c r="L376" s="2" t="n">
        <v>0.63</v>
      </c>
      <c r="M376" s="4" t="n">
        <v>6.09</v>
      </c>
      <c r="N376" s="4" t="n">
        <v>14.19</v>
      </c>
      <c r="O376" s="2" t="n">
        <v>60</v>
      </c>
      <c r="P376" s="4" t="n">
        <v>3.41</v>
      </c>
      <c r="Q376" s="4" t="n">
        <v>8.49</v>
      </c>
      <c r="R376" s="4">
        <f>G376*(L376/100)*(O376/100)</f>
        <v/>
      </c>
      <c r="S376" s="4">
        <f>G376*(K376/360/100)*J376*(O376/100)</f>
        <v/>
      </c>
      <c r="T376" s="4">
        <f>P376-R376+Q376-S376</f>
        <v/>
      </c>
    </row>
    <row r="377">
      <c r="A377" s="2" t="inlineStr">
        <is>
          <t>Oro</t>
        </is>
      </c>
      <c r="B377" s="2" t="inlineStr">
        <is>
          <t>Blanco</t>
        </is>
      </c>
      <c r="C377" s="3" t="n">
        <v>46053</v>
      </c>
      <c r="D377" s="2" t="inlineStr">
        <is>
          <t>B13092319</t>
        </is>
      </c>
      <c r="E377" s="2" t="inlineStr">
        <is>
          <t>Granitos Es…</t>
        </is>
      </c>
      <c r="F377" s="2" t="n">
        <v>4270426</v>
      </c>
      <c r="G377" s="4" t="n">
        <v>741.12</v>
      </c>
      <c r="H377" s="3" t="n">
        <v>46046</v>
      </c>
      <c r="I377" s="3" t="n">
        <v>46229</v>
      </c>
      <c r="J377" s="2" t="n">
        <v>30</v>
      </c>
      <c r="K377" s="2" t="n">
        <v>40.23</v>
      </c>
      <c r="L377" s="2" t="n">
        <v>0.61</v>
      </c>
      <c r="M377" s="4" t="n">
        <v>4.52</v>
      </c>
      <c r="N377" s="4" t="n">
        <v>24.85</v>
      </c>
      <c r="O377" s="2" t="n">
        <v>60</v>
      </c>
      <c r="P377" s="4" t="n">
        <v>2.48</v>
      </c>
      <c r="Q377" s="4" t="n">
        <v>14.61</v>
      </c>
      <c r="R377" s="4">
        <f>G377*(L377/100)*(O377/100)</f>
        <v/>
      </c>
      <c r="S377" s="4">
        <f>G377*(K377/360/100)*J377*(O377/100)</f>
        <v/>
      </c>
      <c r="T377" s="4">
        <f>P377-R377+Q377-S377</f>
        <v/>
      </c>
    </row>
    <row r="378">
      <c r="A378" s="2" t="inlineStr">
        <is>
          <t>Oro</t>
        </is>
      </c>
      <c r="B378" s="2" t="inlineStr">
        <is>
          <t>Blanco</t>
        </is>
      </c>
      <c r="C378" s="3" t="n">
        <v>46053</v>
      </c>
      <c r="D378" s="2" t="inlineStr">
        <is>
          <t>B31847530</t>
        </is>
      </c>
      <c r="E378" s="2" t="inlineStr">
        <is>
          <t>Precursore…</t>
        </is>
      </c>
      <c r="F378" s="2" t="n">
        <v>1733448</v>
      </c>
      <c r="G378" s="4" t="n">
        <v>448.22</v>
      </c>
      <c r="H378" s="3" t="n">
        <v>46038</v>
      </c>
      <c r="I378" s="3" t="n">
        <v>46094</v>
      </c>
      <c r="J378" s="2" t="n">
        <v>37</v>
      </c>
      <c r="K378" s="2" t="n">
        <v>30.1</v>
      </c>
      <c r="L378" s="2" t="n">
        <v>2.6</v>
      </c>
      <c r="M378" s="4" t="n">
        <v>11.65</v>
      </c>
      <c r="N378" s="4" t="n">
        <v>13.87</v>
      </c>
      <c r="O378" s="2" t="n">
        <v>70</v>
      </c>
      <c r="P378" s="4" t="n">
        <v>8.25</v>
      </c>
      <c r="Q378" s="4" t="n">
        <v>9.5</v>
      </c>
      <c r="R378" s="4">
        <f>G378*(L378/100)*(O378/100)</f>
        <v/>
      </c>
      <c r="S378" s="4">
        <f>G378*(K378/360/100)*J378*(O378/100)</f>
        <v/>
      </c>
      <c r="T378" s="4">
        <f>P378-R378+Q378-S378</f>
        <v/>
      </c>
    </row>
    <row r="379">
      <c r="A379" s="2" t="inlineStr">
        <is>
          <t>Oro</t>
        </is>
      </c>
      <c r="B379" s="2" t="inlineStr">
        <is>
          <t>Blanco</t>
        </is>
      </c>
      <c r="C379" s="3" t="n">
        <v>46053</v>
      </c>
      <c r="D379" s="2" t="inlineStr">
        <is>
          <t>B53134368</t>
        </is>
      </c>
      <c r="E379" s="2" t="inlineStr">
        <is>
          <t>Cárnicos S…</t>
        </is>
      </c>
      <c r="F379" s="2" t="n">
        <v>2891819</v>
      </c>
      <c r="G379" s="4" t="n">
        <v>4153.54</v>
      </c>
      <c r="H379" s="3" t="n">
        <v>46046</v>
      </c>
      <c r="I379" s="3" t="n">
        <v>46178</v>
      </c>
      <c r="J379" s="2" t="n">
        <v>70</v>
      </c>
      <c r="K379" s="2" t="n">
        <v>35.13</v>
      </c>
      <c r="L379" s="2" t="n">
        <v>0.95</v>
      </c>
      <c r="M379" s="4" t="n">
        <v>39.46</v>
      </c>
      <c r="N379" s="4" t="n">
        <v>283.72</v>
      </c>
      <c r="O379" s="2" t="n">
        <v>30</v>
      </c>
      <c r="P379" s="4" t="n">
        <v>12.1</v>
      </c>
      <c r="Q379" s="4" t="n">
        <v>85</v>
      </c>
      <c r="R379" s="4">
        <f>G379*(L379/100)*(O379/100)</f>
        <v/>
      </c>
      <c r="S379" s="4">
        <f>G379*(K379/360/100)*J379*(O379/100)</f>
        <v/>
      </c>
      <c r="T379" s="4">
        <f>P379-R379+Q379-S379</f>
        <v/>
      </c>
    </row>
    <row r="380">
      <c r="A380" s="2" t="inlineStr">
        <is>
          <t>Oro</t>
        </is>
      </c>
      <c r="B380" s="2" t="inlineStr">
        <is>
          <t>Blanco</t>
        </is>
      </c>
      <c r="C380" s="3" t="n">
        <v>46053</v>
      </c>
      <c r="D380" s="2" t="inlineStr">
        <is>
          <t>B50421489</t>
        </is>
      </c>
      <c r="E380" s="2" t="inlineStr">
        <is>
          <t>Aglomerad…</t>
        </is>
      </c>
      <c r="F380" s="2" t="n">
        <v>4843746</v>
      </c>
      <c r="G380" s="4" t="n">
        <v>566.99</v>
      </c>
      <c r="H380" s="3" t="n">
        <v>46029</v>
      </c>
      <c r="I380" s="3" t="n">
        <v>46149</v>
      </c>
      <c r="J380" s="2" t="n">
        <v>40</v>
      </c>
      <c r="K380" s="2" t="n">
        <v>22.05</v>
      </c>
      <c r="L380" s="2" t="n">
        <v>2.64</v>
      </c>
      <c r="M380" s="4" t="n">
        <v>14.97</v>
      </c>
      <c r="N380" s="4" t="n">
        <v>13.89</v>
      </c>
      <c r="O380" s="2" t="n">
        <v>40</v>
      </c>
      <c r="P380" s="4" t="n">
        <v>6.13</v>
      </c>
      <c r="Q380" s="4" t="n">
        <v>5.49</v>
      </c>
      <c r="R380" s="4">
        <f>G380*(L380/100)*(O380/100)</f>
        <v/>
      </c>
      <c r="S380" s="4">
        <f>G380*(K380/360/100)*J380*(O380/100)</f>
        <v/>
      </c>
      <c r="T380" s="4">
        <f>P380-R380+Q380-S380</f>
        <v/>
      </c>
    </row>
    <row r="381">
      <c r="A381" s="2" t="inlineStr">
        <is>
          <t>Oro</t>
        </is>
      </c>
      <c r="B381" s="2" t="inlineStr">
        <is>
          <t>Blanco</t>
        </is>
      </c>
      <c r="C381" s="3" t="n">
        <v>46053</v>
      </c>
      <c r="D381" s="2" t="inlineStr">
        <is>
          <t>A38794533</t>
        </is>
      </c>
      <c r="E381" s="2" t="inlineStr">
        <is>
          <t>Parquets F…</t>
        </is>
      </c>
      <c r="F381" s="2" t="n">
        <v>4114179</v>
      </c>
      <c r="G381" s="4" t="n">
        <v>632.6</v>
      </c>
      <c r="H381" s="3" t="n">
        <v>46033</v>
      </c>
      <c r="I381" s="3" t="n">
        <v>46195</v>
      </c>
      <c r="J381" s="2" t="n">
        <v>20</v>
      </c>
      <c r="K381" s="2" t="n">
        <v>41.52</v>
      </c>
      <c r="L381" s="2" t="n">
        <v>2.39</v>
      </c>
      <c r="M381" s="4" t="n">
        <v>15.12</v>
      </c>
      <c r="N381" s="4" t="n">
        <v>14.59</v>
      </c>
      <c r="O381" s="2" t="n">
        <v>60</v>
      </c>
      <c r="P381" s="4" t="n">
        <v>9.02</v>
      </c>
      <c r="Q381" s="4" t="n">
        <v>8.66</v>
      </c>
      <c r="R381" s="4">
        <f>G381*(L381/100)*(O381/100)</f>
        <v/>
      </c>
      <c r="S381" s="4">
        <f>G381*(K381/360/100)*J381*(O381/100)</f>
        <v/>
      </c>
      <c r="T381" s="4">
        <f>P381-R381+Q381-S381</f>
        <v/>
      </c>
    </row>
    <row r="382">
      <c r="A382" s="2" t="inlineStr">
        <is>
          <t>Oro</t>
        </is>
      </c>
      <c r="B382" s="2" t="inlineStr">
        <is>
          <t>Blanco</t>
        </is>
      </c>
      <c r="C382" s="3" t="n">
        <v>46053</v>
      </c>
      <c r="D382" s="2" t="inlineStr">
        <is>
          <t>A44282657</t>
        </is>
      </c>
      <c r="E382" s="2" t="inlineStr">
        <is>
          <t>Parquets P…</t>
        </is>
      </c>
      <c r="F382" s="2" t="n">
        <v>1363340</v>
      </c>
      <c r="G382" s="4" t="n">
        <v>6598.43</v>
      </c>
      <c r="H382" s="3" t="n">
        <v>46049</v>
      </c>
      <c r="I382" s="3" t="n">
        <v>46067</v>
      </c>
      <c r="J382" s="2" t="n">
        <v>78</v>
      </c>
      <c r="K382" s="2" t="n">
        <v>38</v>
      </c>
      <c r="L382" s="2" t="n">
        <v>1.83</v>
      </c>
      <c r="M382" s="4" t="n">
        <v>120.75</v>
      </c>
      <c r="N382" s="4" t="n">
        <v>543.27</v>
      </c>
      <c r="O382" s="2" t="n">
        <v>70</v>
      </c>
      <c r="P382" s="4" t="n">
        <v>84.39</v>
      </c>
      <c r="Q382" s="4" t="n">
        <v>380.39</v>
      </c>
      <c r="R382" s="4">
        <f>G382*(L382/100)*(O382/100)</f>
        <v/>
      </c>
      <c r="S382" s="4">
        <f>G382*(K382/360/100)*J382*(O382/100)</f>
        <v/>
      </c>
      <c r="T382" s="4">
        <f>P382-R382+Q382-S382</f>
        <v/>
      </c>
    </row>
    <row r="383">
      <c r="A383" s="2" t="inlineStr">
        <is>
          <t>Oro</t>
        </is>
      </c>
      <c r="B383" s="2" t="inlineStr">
        <is>
          <t>Blanco</t>
        </is>
      </c>
      <c r="C383" s="3" t="n">
        <v>46053</v>
      </c>
      <c r="D383" s="2" t="inlineStr">
        <is>
          <t>B05772234</t>
        </is>
      </c>
      <c r="E383" s="2" t="inlineStr">
        <is>
          <t>Component…</t>
        </is>
      </c>
      <c r="F383" s="2" t="n">
        <v>3464689</v>
      </c>
      <c r="G383" s="4" t="n">
        <v>9633.34</v>
      </c>
      <c r="H383" s="3" t="n">
        <v>46038</v>
      </c>
      <c r="I383" s="3" t="n">
        <v>46127</v>
      </c>
      <c r="J383" s="2" t="n">
        <v>53</v>
      </c>
      <c r="K383" s="2" t="n">
        <v>47.19</v>
      </c>
      <c r="L383" s="2" t="n">
        <v>1.9</v>
      </c>
      <c r="M383" s="4" t="n">
        <v>183.03</v>
      </c>
      <c r="N383" s="4" t="n">
        <v>669.27</v>
      </c>
      <c r="O383" s="2" t="n">
        <v>20</v>
      </c>
      <c r="P383" s="4" t="n">
        <v>36.77</v>
      </c>
      <c r="Q383" s="4" t="n">
        <v>133.89</v>
      </c>
      <c r="R383" s="4">
        <f>G383*(L383/100)*(O383/100)</f>
        <v/>
      </c>
      <c r="S383" s="4">
        <f>G383*(K383/360/100)*J383*(O383/100)</f>
        <v/>
      </c>
      <c r="T383" s="4">
        <f>P383-R383+Q383-S383</f>
        <v/>
      </c>
    </row>
    <row r="384">
      <c r="A384" s="2" t="inlineStr">
        <is>
          <t>Oro</t>
        </is>
      </c>
      <c r="B384" s="2" t="inlineStr">
        <is>
          <t>Blanco</t>
        </is>
      </c>
      <c r="C384" s="3" t="n">
        <v>46053</v>
      </c>
      <c r="D384" s="2" t="inlineStr">
        <is>
          <t>A69638537</t>
        </is>
      </c>
      <c r="E384" s="2" t="inlineStr">
        <is>
          <t>Circuitos Ar…</t>
        </is>
      </c>
      <c r="F384" s="2" t="n">
        <v>4681330</v>
      </c>
      <c r="G384" s="4" t="n">
        <v>8435.35</v>
      </c>
      <c r="H384" s="3" t="n">
        <v>46023</v>
      </c>
      <c r="I384" s="3" t="n">
        <v>46150</v>
      </c>
      <c r="J384" s="2" t="n">
        <v>23</v>
      </c>
      <c r="K384" s="2" t="n">
        <v>28.06</v>
      </c>
      <c r="L384" s="2" t="n">
        <v>1.27</v>
      </c>
      <c r="M384" s="4" t="n">
        <v>107.13</v>
      </c>
      <c r="N384" s="4" t="n">
        <v>151.22</v>
      </c>
      <c r="O384" s="2" t="n">
        <v>30</v>
      </c>
      <c r="P384" s="4" t="n">
        <v>32.44</v>
      </c>
      <c r="Q384" s="4" t="n">
        <v>45.32</v>
      </c>
      <c r="R384" s="4">
        <f>G384*(L384/100)*(O384/100)</f>
        <v/>
      </c>
      <c r="S384" s="4">
        <f>G384*(K384/360/100)*J384*(O384/100)</f>
        <v/>
      </c>
      <c r="T384" s="4">
        <f>P384-R384+Q384-S384</f>
        <v/>
      </c>
    </row>
    <row r="385">
      <c r="A385" s="2" t="inlineStr">
        <is>
          <t>Oro</t>
        </is>
      </c>
      <c r="B385" s="2" t="inlineStr">
        <is>
          <t>Blanco</t>
        </is>
      </c>
      <c r="C385" s="3" t="n">
        <v>46053</v>
      </c>
      <c r="D385" s="2" t="inlineStr">
        <is>
          <t>A83294252</t>
        </is>
      </c>
      <c r="E385" s="2" t="inlineStr">
        <is>
          <t>Agroquímic…</t>
        </is>
      </c>
      <c r="F385" s="2" t="n">
        <v>2054758</v>
      </c>
      <c r="G385" s="4" t="n">
        <v>9348.59</v>
      </c>
      <c r="H385" s="3" t="n">
        <v>46039</v>
      </c>
      <c r="I385" s="3" t="n">
        <v>46187</v>
      </c>
      <c r="J385" s="2" t="n">
        <v>71</v>
      </c>
      <c r="K385" s="2" t="n">
        <v>19.51</v>
      </c>
      <c r="L385" s="2" t="n">
        <v>2.3</v>
      </c>
      <c r="M385" s="4" t="n">
        <v>215.02</v>
      </c>
      <c r="N385" s="4" t="n">
        <v>359.72</v>
      </c>
      <c r="O385" s="2" t="n">
        <v>70</v>
      </c>
      <c r="P385" s="4" t="n">
        <v>150.27</v>
      </c>
      <c r="Q385" s="4" t="n">
        <v>251.67</v>
      </c>
      <c r="R385" s="4">
        <f>G385*(L385/100)*(O385/100)</f>
        <v/>
      </c>
      <c r="S385" s="4">
        <f>G385*(K385/360/100)*J385*(O385/100)</f>
        <v/>
      </c>
      <c r="T385" s="4">
        <f>P385-R385+Q385-S385</f>
        <v/>
      </c>
    </row>
    <row r="386">
      <c r="A386" s="2" t="inlineStr">
        <is>
          <t>Oro</t>
        </is>
      </c>
      <c r="B386" s="2" t="inlineStr">
        <is>
          <t>Blanco</t>
        </is>
      </c>
      <c r="C386" s="3" t="n">
        <v>46053</v>
      </c>
      <c r="D386" s="2" t="inlineStr">
        <is>
          <t>B09080092</t>
        </is>
      </c>
      <c r="E386" s="2" t="inlineStr">
        <is>
          <t>Precintos T…</t>
        </is>
      </c>
      <c r="F386" s="2" t="n">
        <v>3698432</v>
      </c>
      <c r="G386" s="4" t="n">
        <v>163.97</v>
      </c>
      <c r="H386" s="3" t="n">
        <v>46027</v>
      </c>
      <c r="I386" s="3" t="n">
        <v>46108</v>
      </c>
      <c r="J386" s="2" t="n">
        <v>49</v>
      </c>
      <c r="K386" s="2" t="n">
        <v>23.32</v>
      </c>
      <c r="L386" s="2" t="n">
        <v>0.92</v>
      </c>
      <c r="M386" s="4" t="n">
        <v>1.51</v>
      </c>
      <c r="N386" s="4" t="n">
        <v>5.2</v>
      </c>
      <c r="O386" s="2" t="n">
        <v>60</v>
      </c>
      <c r="P386" s="4" t="n">
        <v>0.87</v>
      </c>
      <c r="Q386" s="4" t="n">
        <v>2.84</v>
      </c>
      <c r="R386" s="4">
        <f>G386*(L386/100)*(O386/100)</f>
        <v/>
      </c>
      <c r="S386" s="4">
        <f>G386*(K386/360/100)*J386*(O386/100)</f>
        <v/>
      </c>
      <c r="T386" s="4">
        <f>P386-R386+Q386-S386</f>
        <v/>
      </c>
    </row>
    <row r="387">
      <c r="A387" s="2" t="inlineStr">
        <is>
          <t>Oro</t>
        </is>
      </c>
      <c r="B387" s="2" t="inlineStr">
        <is>
          <t>Blanco</t>
        </is>
      </c>
      <c r="C387" s="3" t="n">
        <v>46053</v>
      </c>
      <c r="D387" s="2" t="inlineStr">
        <is>
          <t>B22634073</t>
        </is>
      </c>
      <c r="E387" s="2" t="inlineStr">
        <is>
          <t>Turbinas F…</t>
        </is>
      </c>
      <c r="F387" s="2" t="n">
        <v>2417954</v>
      </c>
      <c r="G387" s="4" t="n">
        <v>849.87</v>
      </c>
      <c r="H387" s="3" t="n">
        <v>46043</v>
      </c>
      <c r="I387" s="3" t="n">
        <v>46134</v>
      </c>
      <c r="J387" s="2" t="n">
        <v>87</v>
      </c>
      <c r="K387" s="2" t="n">
        <v>35.16</v>
      </c>
      <c r="L387" s="2" t="n">
        <v>1.06</v>
      </c>
      <c r="M387" s="4" t="n">
        <v>9.01</v>
      </c>
      <c r="N387" s="4" t="n">
        <v>72.20999999999999</v>
      </c>
      <c r="O387" s="2" t="n">
        <v>20</v>
      </c>
      <c r="P387" s="4" t="n">
        <v>2.01</v>
      </c>
      <c r="Q387" s="4" t="n">
        <v>14.56</v>
      </c>
      <c r="R387" s="4">
        <f>G387*(L387/100)*(O387/100)</f>
        <v/>
      </c>
      <c r="S387" s="4">
        <f>G387*(K387/360/100)*J387*(O387/100)</f>
        <v/>
      </c>
      <c r="T387" s="4">
        <f>P387-R387+Q387-S387</f>
        <v/>
      </c>
    </row>
    <row r="388">
      <c r="A388" s="2" t="inlineStr">
        <is>
          <t>Oro</t>
        </is>
      </c>
      <c r="B388" s="2" t="inlineStr">
        <is>
          <t>Blanco</t>
        </is>
      </c>
      <c r="C388" s="3" t="n">
        <v>46053</v>
      </c>
      <c r="D388" s="2" t="inlineStr">
        <is>
          <t>B57933667</t>
        </is>
      </c>
      <c r="E388" s="2" t="inlineStr">
        <is>
          <t>Gestiones…</t>
        </is>
      </c>
      <c r="F388" s="2" t="n">
        <v>2911324</v>
      </c>
      <c r="G388" s="4" t="n">
        <v>308.69</v>
      </c>
      <c r="H388" s="3" t="n">
        <v>46044</v>
      </c>
      <c r="I388" s="3" t="n">
        <v>46128</v>
      </c>
      <c r="J388" s="2" t="n">
        <v>64</v>
      </c>
      <c r="K388" s="2" t="n">
        <v>11.81</v>
      </c>
      <c r="L388" s="2" t="n">
        <v>2.98</v>
      </c>
      <c r="M388" s="4" t="n">
        <v>9.199999999999999</v>
      </c>
      <c r="N388" s="4" t="n">
        <v>6.48</v>
      </c>
      <c r="O388" s="2" t="n">
        <v>60</v>
      </c>
      <c r="P388" s="4" t="n">
        <v>5.8</v>
      </c>
      <c r="Q388" s="4" t="n">
        <v>3.97</v>
      </c>
      <c r="R388" s="4">
        <f>G388*(L388/100)*(O388/100)</f>
        <v/>
      </c>
      <c r="S388" s="4">
        <f>G388*(K388/360/100)*J388*(O388/100)</f>
        <v/>
      </c>
      <c r="T388" s="4">
        <f>P388-R388+Q388-S388</f>
        <v/>
      </c>
    </row>
    <row r="389">
      <c r="A389" s="2" t="inlineStr">
        <is>
          <t>Oro</t>
        </is>
      </c>
      <c r="B389" s="2" t="inlineStr">
        <is>
          <t>Blanco</t>
        </is>
      </c>
      <c r="C389" s="3" t="n">
        <v>46053</v>
      </c>
      <c r="D389" s="2" t="inlineStr">
        <is>
          <t>A53322806</t>
        </is>
      </c>
      <c r="E389" s="2" t="inlineStr">
        <is>
          <t>Almacenes…</t>
        </is>
      </c>
      <c r="F389" s="2" t="n">
        <v>2749424</v>
      </c>
      <c r="G389" s="4" t="n">
        <v>9060.549999999999</v>
      </c>
      <c r="H389" s="3" t="n">
        <v>46049</v>
      </c>
      <c r="I389" s="3" t="n">
        <v>46134</v>
      </c>
      <c r="J389" s="2" t="n">
        <v>82</v>
      </c>
      <c r="K389" s="2" t="n">
        <v>49.07</v>
      </c>
      <c r="L389" s="2" t="n">
        <v>1.63</v>
      </c>
      <c r="M389" s="4" t="n">
        <v>147.69</v>
      </c>
      <c r="N389" s="4" t="n">
        <v>1012.7</v>
      </c>
      <c r="O389" s="2" t="n">
        <v>70</v>
      </c>
      <c r="P389" s="4" t="n">
        <v>103.58</v>
      </c>
      <c r="Q389" s="4" t="n">
        <v>709.0599999999999</v>
      </c>
      <c r="R389" s="4">
        <f>G389*(L389/100)*(O389/100)</f>
        <v/>
      </c>
      <c r="S389" s="4">
        <f>G389*(K389/360/100)*J389*(O389/100)</f>
        <v/>
      </c>
      <c r="T389" s="4">
        <f>P389-R389+Q389-S389</f>
        <v/>
      </c>
    </row>
    <row r="390">
      <c r="A390" s="2" t="inlineStr">
        <is>
          <t>Oro</t>
        </is>
      </c>
      <c r="B390" s="2" t="inlineStr">
        <is>
          <t>Blanco</t>
        </is>
      </c>
      <c r="C390" s="3" t="n">
        <v>46053</v>
      </c>
      <c r="D390" s="2" t="inlineStr">
        <is>
          <t>B04131692</t>
        </is>
      </c>
      <c r="E390" s="2" t="inlineStr">
        <is>
          <t>Pavimentos…</t>
        </is>
      </c>
      <c r="F390" s="2" t="n">
        <v>2172786</v>
      </c>
      <c r="G390" s="4" t="n">
        <v>6609.33</v>
      </c>
      <c r="H390" s="3" t="n">
        <v>46026</v>
      </c>
      <c r="I390" s="3" t="n">
        <v>46231</v>
      </c>
      <c r="J390" s="2" t="n">
        <v>39</v>
      </c>
      <c r="K390" s="2" t="n">
        <v>36.14</v>
      </c>
      <c r="L390" s="2" t="n">
        <v>0.87</v>
      </c>
      <c r="M390" s="4" t="n">
        <v>57.5</v>
      </c>
      <c r="N390" s="4" t="n">
        <v>258.77</v>
      </c>
      <c r="O390" s="2" t="n">
        <v>20</v>
      </c>
      <c r="P390" s="4" t="n">
        <v>11.27</v>
      </c>
      <c r="Q390" s="4" t="n">
        <v>52.01</v>
      </c>
      <c r="R390" s="4">
        <f>G390*(L390/100)*(O390/100)</f>
        <v/>
      </c>
      <c r="S390" s="4">
        <f>G390*(K390/360/100)*J390*(O390/100)</f>
        <v/>
      </c>
      <c r="T390" s="4">
        <f>P390-R390+Q390-S390</f>
        <v/>
      </c>
    </row>
    <row r="391">
      <c r="A391" s="2" t="inlineStr">
        <is>
          <t>Oro</t>
        </is>
      </c>
      <c r="B391" s="2" t="inlineStr">
        <is>
          <t>Blanco</t>
        </is>
      </c>
      <c r="C391" s="3" t="n">
        <v>46053</v>
      </c>
      <c r="D391" s="2" t="inlineStr">
        <is>
          <t>B16552567</t>
        </is>
      </c>
      <c r="E391" s="2" t="inlineStr">
        <is>
          <t>Insecticidas…</t>
        </is>
      </c>
      <c r="F391" s="2" t="n">
        <v>4091391</v>
      </c>
      <c r="G391" s="4" t="n">
        <v>353.83</v>
      </c>
      <c r="H391" s="3" t="n">
        <v>46038</v>
      </c>
      <c r="I391" s="3" t="n">
        <v>46218</v>
      </c>
      <c r="J391" s="2" t="n">
        <v>33</v>
      </c>
      <c r="K391" s="2" t="n">
        <v>19.42</v>
      </c>
      <c r="L391" s="2" t="n">
        <v>2.29</v>
      </c>
      <c r="M391" s="4" t="n">
        <v>8.1</v>
      </c>
      <c r="N391" s="4" t="n">
        <v>6.3</v>
      </c>
      <c r="O391" s="2" t="n">
        <v>40</v>
      </c>
      <c r="P391" s="4" t="n">
        <v>3.15</v>
      </c>
      <c r="Q391" s="4" t="n">
        <v>2.8</v>
      </c>
      <c r="R391" s="4">
        <f>G391*(L391/100)*(O391/100)</f>
        <v/>
      </c>
      <c r="S391" s="4">
        <f>G391*(K391/360/100)*J391*(O391/100)</f>
        <v/>
      </c>
      <c r="T391" s="4">
        <f>P391-R391+Q391-S391</f>
        <v/>
      </c>
    </row>
    <row r="392">
      <c r="A392" s="2" t="inlineStr">
        <is>
          <t>Oro</t>
        </is>
      </c>
      <c r="B392" s="2" t="inlineStr">
        <is>
          <t>Blanco</t>
        </is>
      </c>
      <c r="C392" s="3" t="n">
        <v>46053</v>
      </c>
      <c r="D392" s="2" t="inlineStr">
        <is>
          <t>B58873524</t>
        </is>
      </c>
      <c r="E392" s="2" t="inlineStr">
        <is>
          <t>Fletes Exp…</t>
        </is>
      </c>
      <c r="F392" s="2" t="n">
        <v>3174348</v>
      </c>
      <c r="G392" s="4" t="n">
        <v>9192.049999999999</v>
      </c>
      <c r="H392" s="3" t="n">
        <v>46025</v>
      </c>
      <c r="I392" s="3" t="n">
        <v>46215</v>
      </c>
      <c r="J392" s="2" t="n">
        <v>48</v>
      </c>
      <c r="K392" s="2" t="n">
        <v>27.3</v>
      </c>
      <c r="L392" s="2" t="n">
        <v>2.32</v>
      </c>
      <c r="M392" s="4" t="n">
        <v>213.26</v>
      </c>
      <c r="N392" s="4" t="n">
        <v>334.59</v>
      </c>
      <c r="O392" s="2" t="n">
        <v>60</v>
      </c>
      <c r="P392" s="4" t="n">
        <v>128.19</v>
      </c>
      <c r="Q392" s="4" t="n">
        <v>200.91</v>
      </c>
      <c r="R392" s="4">
        <f>G392*(L392/100)*(O392/100)</f>
        <v/>
      </c>
      <c r="S392" s="4">
        <f>G392*(K392/360/100)*J392*(O392/100)</f>
        <v/>
      </c>
      <c r="T392" s="4">
        <f>P392-R392+Q392-S392</f>
        <v/>
      </c>
    </row>
    <row r="393">
      <c r="A393" s="2" t="inlineStr">
        <is>
          <t>Oro</t>
        </is>
      </c>
      <c r="B393" s="2" t="inlineStr">
        <is>
          <t>Blanco</t>
        </is>
      </c>
      <c r="C393" s="3" t="n">
        <v>46053</v>
      </c>
      <c r="D393" s="2" t="inlineStr">
        <is>
          <t>B52579272</t>
        </is>
      </c>
      <c r="E393" s="2" t="inlineStr">
        <is>
          <t>Cajas Acab…</t>
        </is>
      </c>
      <c r="F393" s="2" t="n">
        <v>1397710</v>
      </c>
      <c r="G393" s="4" t="n">
        <v>201.28</v>
      </c>
      <c r="H393" s="3" t="n">
        <v>46039</v>
      </c>
      <c r="I393" s="3" t="n">
        <v>46116</v>
      </c>
      <c r="J393" s="2" t="n">
        <v>58</v>
      </c>
      <c r="K393" s="2" t="n">
        <v>46.14</v>
      </c>
      <c r="L393" s="2" t="n">
        <v>0.75</v>
      </c>
      <c r="M393" s="4" t="n">
        <v>1.51</v>
      </c>
      <c r="N393" s="4" t="n">
        <v>14.96</v>
      </c>
      <c r="O393" s="2" t="n">
        <v>30</v>
      </c>
      <c r="P393" s="4" t="n">
        <v>0.57</v>
      </c>
      <c r="Q393" s="4" t="n">
        <v>4.75</v>
      </c>
      <c r="R393" s="4">
        <f>G393*(L393/100)*(O393/100)</f>
        <v/>
      </c>
      <c r="S393" s="4">
        <f>G393*(K393/360/100)*J393*(O393/100)</f>
        <v/>
      </c>
      <c r="T393" s="4">
        <f>P393-R393+Q393-S393</f>
        <v/>
      </c>
    </row>
    <row r="394">
      <c r="A394" s="2" t="inlineStr">
        <is>
          <t>Oro</t>
        </is>
      </c>
      <c r="B394" s="2" t="inlineStr">
        <is>
          <t>Blanco</t>
        </is>
      </c>
      <c r="C394" s="3" t="n">
        <v>46053</v>
      </c>
      <c r="D394" s="2" t="inlineStr">
        <is>
          <t>B65377603</t>
        </is>
      </c>
      <c r="E394" s="2" t="inlineStr">
        <is>
          <t>Silicatos Ve…</t>
        </is>
      </c>
      <c r="F394" s="2" t="n">
        <v>2094067</v>
      </c>
      <c r="G394" s="4" t="n">
        <v>828.66</v>
      </c>
      <c r="H394" s="3" t="n">
        <v>46036</v>
      </c>
      <c r="I394" s="3" t="n">
        <v>46178</v>
      </c>
      <c r="J394" s="2" t="n">
        <v>78</v>
      </c>
      <c r="K394" s="2" t="n">
        <v>32.98</v>
      </c>
      <c r="L394" s="2" t="n">
        <v>1.62</v>
      </c>
      <c r="M394" s="4" t="n">
        <v>13.42</v>
      </c>
      <c r="N394" s="4" t="n">
        <v>59.21</v>
      </c>
      <c r="O394" s="2" t="n">
        <v>50</v>
      </c>
      <c r="P394" s="4" t="n">
        <v>6.97</v>
      </c>
      <c r="Q394" s="4" t="n">
        <v>29.81</v>
      </c>
      <c r="R394" s="4">
        <f>G394*(L394/100)*(O394/100)</f>
        <v/>
      </c>
      <c r="S394" s="4">
        <f>G394*(K394/360/100)*J394*(O394/100)</f>
        <v/>
      </c>
      <c r="T394" s="4">
        <f>P394-R394+Q394-S394</f>
        <v/>
      </c>
    </row>
    <row r="395">
      <c r="A395" s="2" t="inlineStr">
        <is>
          <t>Oro</t>
        </is>
      </c>
      <c r="B395" s="2" t="inlineStr">
        <is>
          <t>Blanco</t>
        </is>
      </c>
      <c r="C395" s="3" t="n">
        <v>46053</v>
      </c>
      <c r="D395" s="2" t="inlineStr">
        <is>
          <t>A62809818</t>
        </is>
      </c>
      <c r="E395" s="2" t="inlineStr">
        <is>
          <t>Aleaciones…</t>
        </is>
      </c>
      <c r="F395" s="2" t="n">
        <v>1977353</v>
      </c>
      <c r="G395" s="4" t="n">
        <v>645.03</v>
      </c>
      <c r="H395" s="3" t="n">
        <v>46040</v>
      </c>
      <c r="I395" s="3" t="n">
        <v>46082</v>
      </c>
      <c r="J395" s="2" t="n">
        <v>50</v>
      </c>
      <c r="K395" s="2" t="n">
        <v>27.88</v>
      </c>
      <c r="L395" s="2" t="n">
        <v>1.25</v>
      </c>
      <c r="M395" s="4" t="n">
        <v>8.06</v>
      </c>
      <c r="N395" s="4" t="n">
        <v>24.98</v>
      </c>
      <c r="O395" s="2" t="n">
        <v>70</v>
      </c>
      <c r="P395" s="4" t="n">
        <v>5.79</v>
      </c>
      <c r="Q395" s="4" t="n">
        <v>17.65</v>
      </c>
      <c r="R395" s="4">
        <f>G395*(L395/100)*(O395/100)</f>
        <v/>
      </c>
      <c r="S395" s="4">
        <f>G395*(K395/360/100)*J395*(O395/100)</f>
        <v/>
      </c>
      <c r="T395" s="4">
        <f>P395-R395+Q395-S395</f>
        <v/>
      </c>
    </row>
    <row r="396">
      <c r="A396" s="2" t="inlineStr">
        <is>
          <t>Oro</t>
        </is>
      </c>
      <c r="B396" s="2" t="inlineStr">
        <is>
          <t>Blanco</t>
        </is>
      </c>
      <c r="C396" s="3" t="n">
        <v>46053</v>
      </c>
      <c r="D396" s="2" t="inlineStr">
        <is>
          <t>A33058693</t>
        </is>
      </c>
      <c r="E396" s="2" t="inlineStr">
        <is>
          <t>Juntas Anti…</t>
        </is>
      </c>
      <c r="F396" s="2" t="n">
        <v>4100862</v>
      </c>
      <c r="G396" s="4" t="n">
        <v>679.47</v>
      </c>
      <c r="H396" s="3" t="n">
        <v>46043</v>
      </c>
      <c r="I396" s="3" t="n">
        <v>46132</v>
      </c>
      <c r="J396" s="2" t="n">
        <v>30</v>
      </c>
      <c r="K396" s="2" t="n">
        <v>25.81</v>
      </c>
      <c r="L396" s="2" t="n">
        <v>2.51</v>
      </c>
      <c r="M396" s="4" t="n">
        <v>17.05</v>
      </c>
      <c r="N396" s="4" t="n">
        <v>14.61</v>
      </c>
      <c r="O396" s="2" t="n">
        <v>40</v>
      </c>
      <c r="P396" s="4" t="n">
        <v>6.93</v>
      </c>
      <c r="Q396" s="4" t="n">
        <v>5.58</v>
      </c>
      <c r="R396" s="4">
        <f>G396*(L396/100)*(O396/100)</f>
        <v/>
      </c>
      <c r="S396" s="4">
        <f>G396*(K396/360/100)*J396*(O396/100)</f>
        <v/>
      </c>
      <c r="T396" s="4">
        <f>P396-R396+Q396-S396</f>
        <v/>
      </c>
    </row>
    <row r="397">
      <c r="A397" s="2" t="inlineStr">
        <is>
          <t>Oro</t>
        </is>
      </c>
      <c r="B397" s="2" t="inlineStr">
        <is>
          <t>Blanco</t>
        </is>
      </c>
      <c r="C397" s="3" t="n">
        <v>46053</v>
      </c>
      <c r="D397" s="2" t="inlineStr">
        <is>
          <t>A87790879</t>
        </is>
      </c>
      <c r="E397" s="2" t="inlineStr">
        <is>
          <t>Digitalizaci…</t>
        </is>
      </c>
      <c r="F397" s="2" t="n">
        <v>2531011</v>
      </c>
      <c r="G397" s="4" t="n">
        <v>645.3200000000001</v>
      </c>
      <c r="H397" s="3" t="n">
        <v>46024</v>
      </c>
      <c r="I397" s="3" t="n">
        <v>46058</v>
      </c>
      <c r="J397" s="2" t="n">
        <v>68</v>
      </c>
      <c r="K397" s="2" t="n">
        <v>27.04</v>
      </c>
      <c r="L397" s="2" t="n">
        <v>2.17</v>
      </c>
      <c r="M397" s="4" t="n">
        <v>14</v>
      </c>
      <c r="N397" s="4" t="n">
        <v>32.96</v>
      </c>
      <c r="O397" s="2" t="n">
        <v>20</v>
      </c>
      <c r="P397" s="4" t="n">
        <v>2.72</v>
      </c>
      <c r="Q397" s="4" t="n">
        <v>6.81</v>
      </c>
      <c r="R397" s="4">
        <f>G397*(L397/100)*(O397/100)</f>
        <v/>
      </c>
      <c r="S397" s="4">
        <f>G397*(K397/360/100)*J397*(O397/100)</f>
        <v/>
      </c>
      <c r="T397" s="4">
        <f>P397-R397+Q397-S397</f>
        <v/>
      </c>
    </row>
    <row r="398">
      <c r="A398" s="2" t="inlineStr">
        <is>
          <t>Oro</t>
        </is>
      </c>
      <c r="B398" s="2" t="inlineStr">
        <is>
          <t>Blanco</t>
        </is>
      </c>
      <c r="C398" s="3" t="n">
        <v>46053</v>
      </c>
      <c r="D398" s="2" t="inlineStr">
        <is>
          <t>B73219548</t>
        </is>
      </c>
      <c r="E398" s="2" t="inlineStr">
        <is>
          <t>Saborizant…</t>
        </is>
      </c>
      <c r="F398" s="2" t="n">
        <v>2100225</v>
      </c>
      <c r="G398" s="4" t="n">
        <v>5008.01</v>
      </c>
      <c r="H398" s="3" t="n">
        <v>46023</v>
      </c>
      <c r="I398" s="3" t="n">
        <v>46210</v>
      </c>
      <c r="J398" s="2" t="n">
        <v>36</v>
      </c>
      <c r="K398" s="2" t="n">
        <v>11.18</v>
      </c>
      <c r="L398" s="2" t="n">
        <v>0.58</v>
      </c>
      <c r="M398" s="4" t="n">
        <v>29.05</v>
      </c>
      <c r="N398" s="4" t="n">
        <v>55.99</v>
      </c>
      <c r="O398" s="2" t="n">
        <v>60</v>
      </c>
      <c r="P398" s="4" t="n">
        <v>17.46</v>
      </c>
      <c r="Q398" s="4" t="n">
        <v>33.75</v>
      </c>
      <c r="R398" s="4">
        <f>G398*(L398/100)*(O398/100)</f>
        <v/>
      </c>
      <c r="S398" s="4">
        <f>G398*(K398/360/100)*J398*(O398/100)</f>
        <v/>
      </c>
      <c r="T398" s="4">
        <f>P398-R398+Q398-S398</f>
        <v/>
      </c>
    </row>
    <row r="399">
      <c r="A399" s="2" t="inlineStr">
        <is>
          <t>Oro</t>
        </is>
      </c>
      <c r="B399" s="2" t="inlineStr">
        <is>
          <t>Blanco</t>
        </is>
      </c>
      <c r="C399" s="3" t="n">
        <v>46053</v>
      </c>
      <c r="D399" s="2" t="inlineStr">
        <is>
          <t>A53673252</t>
        </is>
      </c>
      <c r="E399" s="2" t="inlineStr">
        <is>
          <t>Geles Calc…</t>
        </is>
      </c>
      <c r="F399" s="2" t="n">
        <v>4957806</v>
      </c>
      <c r="G399" s="4" t="n">
        <v>953.24</v>
      </c>
      <c r="H399" s="3" t="n">
        <v>46035</v>
      </c>
      <c r="I399" s="3" t="n">
        <v>46132</v>
      </c>
      <c r="J399" s="2" t="n">
        <v>26</v>
      </c>
      <c r="K399" s="2" t="n">
        <v>45.89</v>
      </c>
      <c r="L399" s="2" t="n">
        <v>0.97</v>
      </c>
      <c r="M399" s="4" t="n">
        <v>9.25</v>
      </c>
      <c r="N399" s="4" t="n">
        <v>31.59</v>
      </c>
      <c r="O399" s="2" t="n">
        <v>30</v>
      </c>
      <c r="P399" s="4" t="n">
        <v>3.06</v>
      </c>
      <c r="Q399" s="4" t="n">
        <v>9.539999999999999</v>
      </c>
      <c r="R399" s="4">
        <f>G399*(L399/100)*(O399/100)</f>
        <v/>
      </c>
      <c r="S399" s="4">
        <f>G399*(K399/360/100)*J399*(O399/100)</f>
        <v/>
      </c>
      <c r="T399" s="4">
        <f>P399-R399+Q399-S399</f>
        <v/>
      </c>
    </row>
    <row r="400">
      <c r="A400" s="2" t="inlineStr">
        <is>
          <t>Oro</t>
        </is>
      </c>
      <c r="B400" s="2" t="inlineStr">
        <is>
          <t>Blanco</t>
        </is>
      </c>
      <c r="C400" s="3" t="n">
        <v>46053</v>
      </c>
      <c r="D400" s="2" t="inlineStr">
        <is>
          <t>A71535854</t>
        </is>
      </c>
      <c r="E400" s="2" t="inlineStr">
        <is>
          <t>Relés Pres…</t>
        </is>
      </c>
      <c r="F400" s="2" t="n">
        <v>4493243</v>
      </c>
      <c r="G400" s="4" t="n">
        <v>9385.219999999999</v>
      </c>
      <c r="H400" s="3" t="n">
        <v>46025</v>
      </c>
      <c r="I400" s="3" t="n">
        <v>46187</v>
      </c>
      <c r="J400" s="2" t="n">
        <v>33</v>
      </c>
      <c r="K400" s="2" t="n">
        <v>18.78</v>
      </c>
      <c r="L400" s="2" t="n">
        <v>1.73</v>
      </c>
      <c r="M400" s="4" t="n">
        <v>162.36</v>
      </c>
      <c r="N400" s="4" t="n">
        <v>161.57</v>
      </c>
      <c r="O400" s="2" t="n">
        <v>70</v>
      </c>
      <c r="P400" s="4" t="n">
        <v>113.53</v>
      </c>
      <c r="Q400" s="4" t="n">
        <v>113.05</v>
      </c>
      <c r="R400" s="4">
        <f>G400*(L400/100)*(O400/100)</f>
        <v/>
      </c>
      <c r="S400" s="4">
        <f>G400*(K400/360/100)*J400*(O400/100)</f>
        <v/>
      </c>
      <c r="T400" s="4">
        <f>P400-R400+Q400-S400</f>
        <v/>
      </c>
    </row>
    <row r="401">
      <c r="A401" s="2" t="inlineStr">
        <is>
          <t>Oro</t>
        </is>
      </c>
      <c r="B401" s="2" t="inlineStr">
        <is>
          <t>Blanco</t>
        </is>
      </c>
      <c r="C401" s="3" t="n">
        <v>46053</v>
      </c>
      <c r="D401" s="2" t="inlineStr">
        <is>
          <t>A34982925</t>
        </is>
      </c>
      <c r="E401" s="2" t="inlineStr">
        <is>
          <t>Precursore…</t>
        </is>
      </c>
      <c r="F401" s="2" t="n">
        <v>3025357</v>
      </c>
      <c r="G401" s="4" t="n">
        <v>981.48</v>
      </c>
      <c r="H401" s="3" t="n">
        <v>46023</v>
      </c>
      <c r="I401" s="3" t="n">
        <v>46212</v>
      </c>
      <c r="J401" s="2" t="n">
        <v>20</v>
      </c>
      <c r="K401" s="2" t="n">
        <v>37.09</v>
      </c>
      <c r="L401" s="2" t="n">
        <v>1.76</v>
      </c>
      <c r="M401" s="4" t="n">
        <v>17.27</v>
      </c>
      <c r="N401" s="4" t="n">
        <v>20.22</v>
      </c>
      <c r="O401" s="2" t="n">
        <v>30</v>
      </c>
      <c r="P401" s="4" t="n">
        <v>5.48</v>
      </c>
      <c r="Q401" s="4" t="n">
        <v>5.92</v>
      </c>
      <c r="R401" s="4">
        <f>G401*(L401/100)*(O401/100)</f>
        <v/>
      </c>
      <c r="S401" s="4">
        <f>G401*(K401/360/100)*J401*(O401/100)</f>
        <v/>
      </c>
      <c r="T401" s="4">
        <f>P401-R401+Q401-S401</f>
        <v/>
      </c>
    </row>
    <row r="402">
      <c r="A402" s="2" t="inlineStr">
        <is>
          <t>Oro</t>
        </is>
      </c>
      <c r="B402" s="2" t="inlineStr">
        <is>
          <t>Blanco</t>
        </is>
      </c>
      <c r="C402" s="3" t="n">
        <v>46053</v>
      </c>
      <c r="D402" s="2" t="inlineStr">
        <is>
          <t>A87369793</t>
        </is>
      </c>
      <c r="E402" s="2" t="inlineStr">
        <is>
          <t>Estructuras…</t>
        </is>
      </c>
      <c r="F402" s="2" t="n">
        <v>3801350</v>
      </c>
      <c r="G402" s="4" t="n">
        <v>5961.68</v>
      </c>
      <c r="H402" s="3" t="n">
        <v>46026</v>
      </c>
      <c r="I402" s="3" t="n">
        <v>46145</v>
      </c>
      <c r="J402" s="2" t="n">
        <v>33</v>
      </c>
      <c r="K402" s="2" t="n">
        <v>44.56</v>
      </c>
      <c r="L402" s="2" t="n">
        <v>1.61</v>
      </c>
      <c r="M402" s="4" t="n">
        <v>95.98</v>
      </c>
      <c r="N402" s="4" t="n">
        <v>243.51</v>
      </c>
      <c r="O402" s="2" t="n">
        <v>40</v>
      </c>
      <c r="P402" s="4" t="n">
        <v>38.35</v>
      </c>
      <c r="Q402" s="4" t="n">
        <v>97.3</v>
      </c>
      <c r="R402" s="4">
        <f>G402*(L402/100)*(O402/100)</f>
        <v/>
      </c>
      <c r="S402" s="4">
        <f>G402*(K402/360/100)*J402*(O402/100)</f>
        <v/>
      </c>
      <c r="T402" s="4">
        <f>P402-R402+Q402-S402</f>
        <v/>
      </c>
    </row>
    <row r="403">
      <c r="A403" s="2" t="inlineStr">
        <is>
          <t>Oro</t>
        </is>
      </c>
      <c r="B403" s="2" t="inlineStr">
        <is>
          <t>Blanco</t>
        </is>
      </c>
      <c r="C403" s="3" t="n">
        <v>46053</v>
      </c>
      <c r="D403" s="2" t="inlineStr">
        <is>
          <t>B71738399</t>
        </is>
      </c>
      <c r="E403" s="2" t="inlineStr">
        <is>
          <t>Derivados…</t>
        </is>
      </c>
      <c r="F403" s="2" t="n">
        <v>2351286</v>
      </c>
      <c r="G403" s="4" t="n">
        <v>8251.889999999999</v>
      </c>
      <c r="H403" s="3" t="n">
        <v>46035</v>
      </c>
      <c r="I403" s="3" t="n">
        <v>46218</v>
      </c>
      <c r="J403" s="2" t="n">
        <v>38</v>
      </c>
      <c r="K403" s="2" t="n">
        <v>28.4</v>
      </c>
      <c r="L403" s="2" t="n">
        <v>1.29</v>
      </c>
      <c r="M403" s="4" t="n">
        <v>106.45</v>
      </c>
      <c r="N403" s="4" t="n">
        <v>247.37</v>
      </c>
      <c r="O403" s="2" t="n">
        <v>70</v>
      </c>
      <c r="P403" s="4" t="n">
        <v>74.66</v>
      </c>
      <c r="Q403" s="4" t="n">
        <v>173.28</v>
      </c>
      <c r="R403" s="4">
        <f>G403*(L403/100)*(O403/100)</f>
        <v/>
      </c>
      <c r="S403" s="4">
        <f>G403*(K403/360/100)*J403*(O403/100)</f>
        <v/>
      </c>
      <c r="T403" s="4">
        <f>P403-R403+Q403-S403</f>
        <v/>
      </c>
    </row>
    <row r="404">
      <c r="A404" s="2" t="inlineStr">
        <is>
          <t>Oro</t>
        </is>
      </c>
      <c r="B404" s="2" t="inlineStr">
        <is>
          <t>Blanco</t>
        </is>
      </c>
      <c r="C404" s="3" t="n">
        <v>46053</v>
      </c>
      <c r="D404" s="2" t="inlineStr">
        <is>
          <t>B64401496</t>
        </is>
      </c>
      <c r="E404" s="2" t="inlineStr">
        <is>
          <t>Microchips…</t>
        </is>
      </c>
      <c r="F404" s="2" t="n">
        <v>4083045</v>
      </c>
      <c r="G404" s="4" t="n">
        <v>873.15</v>
      </c>
      <c r="H404" s="3" t="n">
        <v>46032</v>
      </c>
      <c r="I404" s="3" t="n">
        <v>46187</v>
      </c>
      <c r="J404" s="2" t="n">
        <v>60</v>
      </c>
      <c r="K404" s="2" t="n">
        <v>36.75</v>
      </c>
      <c r="L404" s="2" t="n">
        <v>0.98</v>
      </c>
      <c r="M404" s="4" t="n">
        <v>8.56</v>
      </c>
      <c r="N404" s="4" t="n">
        <v>53.48</v>
      </c>
      <c r="O404" s="2" t="n">
        <v>40</v>
      </c>
      <c r="P404" s="4" t="n">
        <v>3.26</v>
      </c>
      <c r="Q404" s="4" t="n">
        <v>21.44</v>
      </c>
      <c r="R404" s="4">
        <f>G404*(L404/100)*(O404/100)</f>
        <v/>
      </c>
      <c r="S404" s="4">
        <f>G404*(K404/360/100)*J404*(O404/100)</f>
        <v/>
      </c>
      <c r="T404" s="4">
        <f>P404-R404+Q404-S404</f>
        <v/>
      </c>
    </row>
    <row r="405">
      <c r="A405" s="2" t="inlineStr">
        <is>
          <t>Oro</t>
        </is>
      </c>
      <c r="B405" s="2" t="inlineStr">
        <is>
          <t>Blanco</t>
        </is>
      </c>
      <c r="C405" s="3" t="n">
        <v>46053</v>
      </c>
      <c r="D405" s="2" t="inlineStr">
        <is>
          <t>A29295437</t>
        </is>
      </c>
      <c r="E405" s="2" t="inlineStr">
        <is>
          <t>Diodos Bip…</t>
        </is>
      </c>
      <c r="F405" s="2" t="n">
        <v>1982760</v>
      </c>
      <c r="G405" s="4" t="n">
        <v>393.3</v>
      </c>
      <c r="H405" s="3" t="n">
        <v>46028</v>
      </c>
      <c r="I405" s="3" t="n">
        <v>46091</v>
      </c>
      <c r="J405" s="2" t="n">
        <v>84</v>
      </c>
      <c r="K405" s="2" t="n">
        <v>49.66</v>
      </c>
      <c r="L405" s="2" t="n">
        <v>2.23</v>
      </c>
      <c r="M405" s="4" t="n">
        <v>8.77</v>
      </c>
      <c r="N405" s="4" t="n">
        <v>45.57</v>
      </c>
      <c r="O405" s="2" t="n">
        <v>40</v>
      </c>
      <c r="P405" s="4" t="n">
        <v>3.72</v>
      </c>
      <c r="Q405" s="4" t="n">
        <v>18.13</v>
      </c>
      <c r="R405" s="4">
        <f>G405*(L405/100)*(O405/100)</f>
        <v/>
      </c>
      <c r="S405" s="4">
        <f>G405*(K405/360/100)*J405*(O405/100)</f>
        <v/>
      </c>
      <c r="T405" s="4">
        <f>P405-R405+Q405-S405</f>
        <v/>
      </c>
    </row>
    <row r="406">
      <c r="A406" s="2" t="inlineStr">
        <is>
          <t>Oro</t>
        </is>
      </c>
      <c r="B406" s="2" t="inlineStr">
        <is>
          <t>Blanco</t>
        </is>
      </c>
      <c r="C406" s="3" t="n">
        <v>46053</v>
      </c>
      <c r="D406" s="2" t="inlineStr">
        <is>
          <t>A09361757</t>
        </is>
      </c>
      <c r="E406" s="2" t="inlineStr">
        <is>
          <t>Lacas Extr…</t>
        </is>
      </c>
      <c r="F406" s="2" t="n">
        <v>4944961</v>
      </c>
      <c r="G406" s="4" t="n">
        <v>3596.16</v>
      </c>
      <c r="H406" s="3" t="n">
        <v>46034</v>
      </c>
      <c r="I406" s="3" t="n">
        <v>46210</v>
      </c>
      <c r="J406" s="2" t="n">
        <v>41</v>
      </c>
      <c r="K406" s="2" t="n">
        <v>27.01</v>
      </c>
      <c r="L406" s="2" t="n">
        <v>1.7</v>
      </c>
      <c r="M406" s="4" t="n">
        <v>61.13</v>
      </c>
      <c r="N406" s="4" t="n">
        <v>110.62</v>
      </c>
      <c r="O406" s="2" t="n">
        <v>30</v>
      </c>
      <c r="P406" s="4" t="n">
        <v>18.59</v>
      </c>
      <c r="Q406" s="4" t="n">
        <v>32.92</v>
      </c>
      <c r="R406" s="4">
        <f>G406*(L406/100)*(O406/100)</f>
        <v/>
      </c>
      <c r="S406" s="4">
        <f>G406*(K406/360/100)*J406*(O406/100)</f>
        <v/>
      </c>
      <c r="T406" s="4">
        <f>P406-R406+Q406-S406</f>
        <v/>
      </c>
    </row>
    <row r="407">
      <c r="A407" s="2" t="inlineStr">
        <is>
          <t>Oro</t>
        </is>
      </c>
      <c r="B407" s="2" t="inlineStr">
        <is>
          <t>Blanco</t>
        </is>
      </c>
      <c r="C407" s="3" t="n">
        <v>46053</v>
      </c>
      <c r="D407" s="2" t="inlineStr">
        <is>
          <t>B59508945</t>
        </is>
      </c>
      <c r="E407" s="2" t="inlineStr">
        <is>
          <t>Digitalizaci…</t>
        </is>
      </c>
      <c r="F407" s="2" t="n">
        <v>1059799</v>
      </c>
      <c r="G407" s="4" t="n">
        <v>383.71</v>
      </c>
      <c r="H407" s="3" t="n">
        <v>46049</v>
      </c>
      <c r="I407" s="3" t="n">
        <v>46219</v>
      </c>
      <c r="J407" s="2" t="n">
        <v>15</v>
      </c>
      <c r="K407" s="2" t="n">
        <v>21.16</v>
      </c>
      <c r="L407" s="2" t="n">
        <v>1.13</v>
      </c>
      <c r="M407" s="4" t="n">
        <v>4.34</v>
      </c>
      <c r="N407" s="4" t="n">
        <v>3.38</v>
      </c>
      <c r="O407" s="2" t="n">
        <v>50</v>
      </c>
      <c r="P407" s="4" t="n">
        <v>1.98</v>
      </c>
      <c r="Q407" s="4" t="n">
        <v>1.42</v>
      </c>
      <c r="R407" s="4">
        <f>G407*(L407/100)*(O407/100)</f>
        <v/>
      </c>
      <c r="S407" s="4">
        <f>G407*(K407/360/100)*J407*(O407/100)</f>
        <v/>
      </c>
      <c r="T407" s="4">
        <f>P407-R407+Q407-S407</f>
        <v/>
      </c>
    </row>
    <row r="408">
      <c r="A408" s="2" t="inlineStr">
        <is>
          <t>Oro</t>
        </is>
      </c>
      <c r="B408" s="2" t="inlineStr">
        <is>
          <t>Blanco</t>
        </is>
      </c>
      <c r="C408" s="3" t="n">
        <v>46053</v>
      </c>
      <c r="D408" s="2" t="inlineStr">
        <is>
          <t>A88641215</t>
        </is>
      </c>
      <c r="E408" s="2" t="inlineStr">
        <is>
          <t>Adoquines…</t>
        </is>
      </c>
      <c r="F408" s="2" t="n">
        <v>2646093</v>
      </c>
      <c r="G408" s="4" t="n">
        <v>248.82</v>
      </c>
      <c r="H408" s="3" t="n">
        <v>46044</v>
      </c>
      <c r="I408" s="3" t="n">
        <v>46120</v>
      </c>
      <c r="J408" s="2" t="n">
        <v>53</v>
      </c>
      <c r="K408" s="2" t="n">
        <v>38.71</v>
      </c>
      <c r="L408" s="2" t="n">
        <v>2.07</v>
      </c>
      <c r="M408" s="4" t="n">
        <v>5.15</v>
      </c>
      <c r="N408" s="4" t="n">
        <v>14.18</v>
      </c>
      <c r="O408" s="2" t="n">
        <v>40</v>
      </c>
      <c r="P408" s="4" t="n">
        <v>2.18</v>
      </c>
      <c r="Q408" s="4" t="n">
        <v>5.66</v>
      </c>
      <c r="R408" s="4">
        <f>G408*(L408/100)*(O408/100)</f>
        <v/>
      </c>
      <c r="S408" s="4">
        <f>G408*(K408/360/100)*J408*(O408/100)</f>
        <v/>
      </c>
      <c r="T408" s="4">
        <f>P408-R408+Q408-S408</f>
        <v/>
      </c>
    </row>
    <row r="409">
      <c r="A409" s="2" t="inlineStr">
        <is>
          <t>Oro</t>
        </is>
      </c>
      <c r="B409" s="2" t="inlineStr">
        <is>
          <t>Blanco</t>
        </is>
      </c>
      <c r="C409" s="3" t="n">
        <v>46053</v>
      </c>
      <c r="D409" s="2" t="inlineStr">
        <is>
          <t>A64349113</t>
        </is>
      </c>
      <c r="E409" s="2" t="inlineStr">
        <is>
          <t>Datos Eval…</t>
        </is>
      </c>
      <c r="F409" s="2" t="n">
        <v>4828159</v>
      </c>
      <c r="G409" s="4" t="n">
        <v>780.76</v>
      </c>
      <c r="H409" s="3" t="n">
        <v>46041</v>
      </c>
      <c r="I409" s="3" t="n">
        <v>46209</v>
      </c>
      <c r="J409" s="2" t="n">
        <v>77</v>
      </c>
      <c r="K409" s="2" t="n">
        <v>27.83</v>
      </c>
      <c r="L409" s="2" t="n">
        <v>0.76</v>
      </c>
      <c r="M409" s="4" t="n">
        <v>5.93</v>
      </c>
      <c r="N409" s="4" t="n">
        <v>46.47</v>
      </c>
      <c r="O409" s="2" t="n">
        <v>60</v>
      </c>
      <c r="P409" s="4" t="n">
        <v>3.37</v>
      </c>
      <c r="Q409" s="4" t="n">
        <v>28.03</v>
      </c>
      <c r="R409" s="4">
        <f>G409*(L409/100)*(O409/100)</f>
        <v/>
      </c>
      <c r="S409" s="4">
        <f>G409*(K409/360/100)*J409*(O409/100)</f>
        <v/>
      </c>
      <c r="T409" s="4">
        <f>P409-R409+Q409-S409</f>
        <v/>
      </c>
    </row>
    <row r="410">
      <c r="A410" s="2" t="inlineStr">
        <is>
          <t>Oro</t>
        </is>
      </c>
      <c r="B410" s="2" t="inlineStr">
        <is>
          <t>Blanco</t>
        </is>
      </c>
      <c r="C410" s="3" t="n">
        <v>46053</v>
      </c>
      <c r="D410" s="2" t="inlineStr">
        <is>
          <t>B57710045</t>
        </is>
      </c>
      <c r="E410" s="2" t="inlineStr">
        <is>
          <t>Alcalis Ver…</t>
        </is>
      </c>
      <c r="F410" s="2" t="n">
        <v>3409352</v>
      </c>
      <c r="G410" s="4" t="n">
        <v>256.48</v>
      </c>
      <c r="H410" s="3" t="n">
        <v>46043</v>
      </c>
      <c r="I410" s="3" t="n">
        <v>46181</v>
      </c>
      <c r="J410" s="2" t="n">
        <v>51</v>
      </c>
      <c r="K410" s="2" t="n">
        <v>24.11</v>
      </c>
      <c r="L410" s="2" t="n">
        <v>1.68</v>
      </c>
      <c r="M410" s="4" t="n">
        <v>4.31</v>
      </c>
      <c r="N410" s="4" t="n">
        <v>8.76</v>
      </c>
      <c r="O410" s="2" t="n">
        <v>70</v>
      </c>
      <c r="P410" s="4" t="n">
        <v>2.72</v>
      </c>
      <c r="Q410" s="4" t="n">
        <v>6.04</v>
      </c>
      <c r="R410" s="4">
        <f>G410*(L410/100)*(O410/100)</f>
        <v/>
      </c>
      <c r="S410" s="4">
        <f>G410*(K410/360/100)*J410*(O410/100)</f>
        <v/>
      </c>
      <c r="T410" s="4">
        <f>P410-R410+Q410-S410</f>
        <v/>
      </c>
    </row>
    <row r="411">
      <c r="A411" s="2" t="inlineStr">
        <is>
          <t>Oro</t>
        </is>
      </c>
      <c r="B411" s="2" t="inlineStr">
        <is>
          <t>Blanco</t>
        </is>
      </c>
      <c r="C411" s="3" t="n">
        <v>46053</v>
      </c>
      <c r="D411" s="2" t="inlineStr">
        <is>
          <t>B09652862</t>
        </is>
      </c>
      <c r="E411" s="2" t="inlineStr">
        <is>
          <t>Telas Asoci…</t>
        </is>
      </c>
      <c r="F411" s="2" t="n">
        <v>3194340</v>
      </c>
      <c r="G411" s="4" t="n">
        <v>4699.44</v>
      </c>
      <c r="H411" s="3" t="n">
        <v>46039</v>
      </c>
      <c r="I411" s="3" t="n">
        <v>46196</v>
      </c>
      <c r="J411" s="2" t="n">
        <v>39</v>
      </c>
      <c r="K411" s="2" t="n">
        <v>43.37</v>
      </c>
      <c r="L411" s="2" t="n">
        <v>2.49</v>
      </c>
      <c r="M411" s="4" t="n">
        <v>117.02</v>
      </c>
      <c r="N411" s="4" t="n">
        <v>220.8</v>
      </c>
      <c r="O411" s="2" t="n">
        <v>30</v>
      </c>
      <c r="P411" s="4" t="n">
        <v>34.98</v>
      </c>
      <c r="Q411" s="4" t="n">
        <v>66.15000000000001</v>
      </c>
      <c r="R411" s="4">
        <f>G411*(L411/100)*(O411/100)</f>
        <v/>
      </c>
      <c r="S411" s="4">
        <f>G411*(K411/360/100)*J411*(O411/100)</f>
        <v/>
      </c>
      <c r="T411" s="4">
        <f>P411-R411+Q411-S411</f>
        <v/>
      </c>
    </row>
    <row r="412">
      <c r="A412" s="2" t="inlineStr">
        <is>
          <t>Oro</t>
        </is>
      </c>
      <c r="B412" s="2" t="inlineStr">
        <is>
          <t>Blanco</t>
        </is>
      </c>
      <c r="C412" s="3" t="n">
        <v>46053</v>
      </c>
      <c r="D412" s="2" t="inlineStr">
        <is>
          <t>A05454986</t>
        </is>
      </c>
      <c r="E412" s="2" t="inlineStr">
        <is>
          <t>Elastómero…</t>
        </is>
      </c>
      <c r="F412" s="2" t="n">
        <v>4735797</v>
      </c>
      <c r="G412" s="4" t="n">
        <v>8751.77</v>
      </c>
      <c r="H412" s="3" t="n">
        <v>46023</v>
      </c>
      <c r="I412" s="3" t="n">
        <v>46165</v>
      </c>
      <c r="J412" s="2" t="n">
        <v>50</v>
      </c>
      <c r="K412" s="2" t="n">
        <v>10.79</v>
      </c>
      <c r="L412" s="2" t="n">
        <v>0.7</v>
      </c>
      <c r="M412" s="4" t="n">
        <v>61.26</v>
      </c>
      <c r="N412" s="4" t="n">
        <v>131.15</v>
      </c>
      <c r="O412" s="2" t="n">
        <v>50</v>
      </c>
      <c r="P412" s="4" t="n">
        <v>30.62</v>
      </c>
      <c r="Q412" s="4" t="n">
        <v>65.81999999999999</v>
      </c>
      <c r="R412" s="4">
        <f>G412*(L412/100)*(O412/100)</f>
        <v/>
      </c>
      <c r="S412" s="4">
        <f>G412*(K412/360/100)*J412*(O412/100)</f>
        <v/>
      </c>
      <c r="T412" s="4">
        <f>P412-R412+Q412-S412</f>
        <v/>
      </c>
    </row>
    <row r="413">
      <c r="A413" s="2" t="inlineStr">
        <is>
          <t>Oro</t>
        </is>
      </c>
      <c r="B413" s="2" t="inlineStr">
        <is>
          <t>Blanco</t>
        </is>
      </c>
      <c r="C413" s="3" t="n">
        <v>46053</v>
      </c>
      <c r="D413" s="2" t="inlineStr">
        <is>
          <t>A83294252</t>
        </is>
      </c>
      <c r="E413" s="2" t="inlineStr">
        <is>
          <t>Agroquímic…</t>
        </is>
      </c>
      <c r="F413" s="2" t="n">
        <v>3325023</v>
      </c>
      <c r="G413" s="4" t="n">
        <v>366.04</v>
      </c>
      <c r="H413" s="3" t="n">
        <v>46030</v>
      </c>
      <c r="I413" s="3" t="n">
        <v>46117</v>
      </c>
      <c r="J413" s="2" t="n">
        <v>36</v>
      </c>
      <c r="K413" s="2" t="n">
        <v>31.54</v>
      </c>
      <c r="L413" s="2" t="n">
        <v>2.7</v>
      </c>
      <c r="M413" s="4" t="n">
        <v>9.880000000000001</v>
      </c>
      <c r="N413" s="4" t="n">
        <v>11.54</v>
      </c>
      <c r="O413" s="2" t="n">
        <v>30</v>
      </c>
      <c r="P413" s="4" t="n">
        <v>2.7</v>
      </c>
      <c r="Q413" s="4" t="n">
        <v>3.54</v>
      </c>
      <c r="R413" s="4">
        <f>G413*(L413/100)*(O413/100)</f>
        <v/>
      </c>
      <c r="S413" s="4">
        <f>G413*(K413/360/100)*J413*(O413/100)</f>
        <v/>
      </c>
      <c r="T413" s="4">
        <f>P413-R413+Q413-S413</f>
        <v/>
      </c>
    </row>
    <row r="414">
      <c r="A414" s="2" t="inlineStr">
        <is>
          <t>Oro</t>
        </is>
      </c>
      <c r="B414" s="2" t="inlineStr">
        <is>
          <t>Blanco</t>
        </is>
      </c>
      <c r="C414" s="3" t="n">
        <v>46053</v>
      </c>
      <c r="D414" s="2" t="inlineStr">
        <is>
          <t>A46991051</t>
        </is>
      </c>
      <c r="E414" s="2" t="inlineStr">
        <is>
          <t>Perfiles Ex…</t>
        </is>
      </c>
      <c r="F414" s="2" t="n">
        <v>3031427</v>
      </c>
      <c r="G414" s="4" t="n">
        <v>685.1799999999999</v>
      </c>
      <c r="H414" s="3" t="n">
        <v>46025</v>
      </c>
      <c r="I414" s="3" t="n">
        <v>46208</v>
      </c>
      <c r="J414" s="2" t="n">
        <v>70</v>
      </c>
      <c r="K414" s="2" t="n">
        <v>49.26</v>
      </c>
      <c r="L414" s="2" t="n">
        <v>2.88</v>
      </c>
      <c r="M414" s="4" t="n">
        <v>19.73</v>
      </c>
      <c r="N414" s="4" t="n">
        <v>65.63</v>
      </c>
      <c r="O414" s="2" t="n">
        <v>60</v>
      </c>
      <c r="P414" s="4" t="n">
        <v>11.74</v>
      </c>
      <c r="Q414" s="4" t="n">
        <v>39.48</v>
      </c>
      <c r="R414" s="4">
        <f>G414*(L414/100)*(O414/100)</f>
        <v/>
      </c>
      <c r="S414" s="4">
        <f>G414*(K414/360/100)*J414*(O414/100)</f>
        <v/>
      </c>
      <c r="T414" s="4">
        <f>P414-R414+Q414-S414</f>
        <v/>
      </c>
    </row>
    <row r="415">
      <c r="A415" s="2" t="inlineStr">
        <is>
          <t>Oro</t>
        </is>
      </c>
      <c r="B415" s="2" t="inlineStr">
        <is>
          <t>Blanco</t>
        </is>
      </c>
      <c r="C415" s="3" t="n">
        <v>46053</v>
      </c>
      <c r="D415" s="2" t="inlineStr">
        <is>
          <t>B89382373</t>
        </is>
      </c>
      <c r="E415" s="2" t="inlineStr">
        <is>
          <t>Polímeros…</t>
        </is>
      </c>
      <c r="F415" s="2" t="n">
        <v>4505728</v>
      </c>
      <c r="G415" s="4" t="n">
        <v>571.64</v>
      </c>
      <c r="H415" s="3" t="n">
        <v>46046</v>
      </c>
      <c r="I415" s="3" t="n">
        <v>46168</v>
      </c>
      <c r="J415" s="2" t="n">
        <v>90</v>
      </c>
      <c r="K415" s="2" t="n">
        <v>25.34</v>
      </c>
      <c r="L415" s="2" t="n">
        <v>0.96</v>
      </c>
      <c r="M415" s="4" t="n">
        <v>5.49</v>
      </c>
      <c r="N415" s="4" t="n">
        <v>36.21</v>
      </c>
      <c r="O415" s="2" t="n">
        <v>70</v>
      </c>
      <c r="P415" s="4" t="n">
        <v>4.05</v>
      </c>
      <c r="Q415" s="4" t="n">
        <v>25.27</v>
      </c>
      <c r="R415" s="4">
        <f>G415*(L415/100)*(O415/100)</f>
        <v/>
      </c>
      <c r="S415" s="4">
        <f>G415*(K415/360/100)*J415*(O415/100)</f>
        <v/>
      </c>
      <c r="T415" s="4">
        <f>P415-R415+Q415-S415</f>
        <v/>
      </c>
    </row>
    <row r="416">
      <c r="A416" s="2" t="inlineStr">
        <is>
          <t>Oro</t>
        </is>
      </c>
      <c r="B416" s="2" t="inlineStr">
        <is>
          <t>Blanco</t>
        </is>
      </c>
      <c r="C416" s="3" t="n">
        <v>46053</v>
      </c>
      <c r="D416" s="2" t="inlineStr">
        <is>
          <t>A77482351</t>
        </is>
      </c>
      <c r="E416" s="2" t="inlineStr">
        <is>
          <t>Aromas Fra…</t>
        </is>
      </c>
      <c r="F416" s="2" t="n">
        <v>4084784</v>
      </c>
      <c r="G416" s="4" t="n">
        <v>936.34</v>
      </c>
      <c r="H416" s="3" t="n">
        <v>46034</v>
      </c>
      <c r="I416" s="3" t="n">
        <v>46225</v>
      </c>
      <c r="J416" s="2" t="n">
        <v>17</v>
      </c>
      <c r="K416" s="2" t="n">
        <v>24.67</v>
      </c>
      <c r="L416" s="2" t="n">
        <v>1.71</v>
      </c>
      <c r="M416" s="4" t="n">
        <v>16.01</v>
      </c>
      <c r="N416" s="4" t="n">
        <v>10.91</v>
      </c>
      <c r="O416" s="2" t="n">
        <v>20</v>
      </c>
      <c r="P416" s="4" t="n">
        <v>3.08</v>
      </c>
      <c r="Q416" s="4" t="n">
        <v>2.13</v>
      </c>
      <c r="R416" s="4">
        <f>G416*(L416/100)*(O416/100)</f>
        <v/>
      </c>
      <c r="S416" s="4">
        <f>G416*(K416/360/100)*J416*(O416/100)</f>
        <v/>
      </c>
      <c r="T416" s="4">
        <f>P416-R416+Q416-S416</f>
        <v/>
      </c>
    </row>
    <row r="417">
      <c r="A417" s="2" t="inlineStr">
        <is>
          <t>Oro</t>
        </is>
      </c>
      <c r="B417" s="2" t="inlineStr">
        <is>
          <t>Blanco</t>
        </is>
      </c>
      <c r="C417" s="3" t="n">
        <v>46053</v>
      </c>
      <c r="D417" s="2" t="inlineStr">
        <is>
          <t>A15344900</t>
        </is>
      </c>
      <c r="E417" s="2" t="inlineStr">
        <is>
          <t>Biocidas Es…</t>
        </is>
      </c>
      <c r="F417" s="2" t="n">
        <v>2880976</v>
      </c>
      <c r="G417" s="4" t="n">
        <v>162.76</v>
      </c>
      <c r="H417" s="3" t="n">
        <v>46039</v>
      </c>
      <c r="I417" s="3" t="n">
        <v>46175</v>
      </c>
      <c r="J417" s="2" t="n">
        <v>32</v>
      </c>
      <c r="K417" s="2" t="n">
        <v>24.31</v>
      </c>
      <c r="L417" s="2" t="n">
        <v>0.66</v>
      </c>
      <c r="M417" s="4" t="n">
        <v>1.07</v>
      </c>
      <c r="N417" s="4" t="n">
        <v>3.52</v>
      </c>
      <c r="O417" s="2" t="n">
        <v>50</v>
      </c>
      <c r="P417" s="4" t="n">
        <v>0.37</v>
      </c>
      <c r="Q417" s="4" t="n">
        <v>1.62</v>
      </c>
      <c r="R417" s="4">
        <f>G417*(L417/100)*(O417/100)</f>
        <v/>
      </c>
      <c r="S417" s="4">
        <f>G417*(K417/360/100)*J417*(O417/100)</f>
        <v/>
      </c>
      <c r="T417" s="4">
        <f>P417-R417+Q417-S417</f>
        <v/>
      </c>
    </row>
    <row r="418">
      <c r="A418" s="2" t="inlineStr">
        <is>
          <t>Oro</t>
        </is>
      </c>
      <c r="B418" s="2" t="inlineStr">
        <is>
          <t>Blanco</t>
        </is>
      </c>
      <c r="C418" s="3" t="n">
        <v>46053</v>
      </c>
      <c r="D418" s="2" t="inlineStr">
        <is>
          <t>A64935709</t>
        </is>
      </c>
      <c r="E418" s="2" t="inlineStr">
        <is>
          <t>Inductores…</t>
        </is>
      </c>
      <c r="F418" s="2" t="n">
        <v>2699766</v>
      </c>
      <c r="G418" s="4" t="n">
        <v>742.15</v>
      </c>
      <c r="H418" s="3" t="n">
        <v>46049</v>
      </c>
      <c r="I418" s="3" t="n">
        <v>46125</v>
      </c>
      <c r="J418" s="2" t="n">
        <v>60</v>
      </c>
      <c r="K418" s="2" t="n">
        <v>41.11</v>
      </c>
      <c r="L418" s="2" t="n">
        <v>1.61</v>
      </c>
      <c r="M418" s="4" t="n">
        <v>11.95</v>
      </c>
      <c r="N418" s="4" t="n">
        <v>50.85</v>
      </c>
      <c r="O418" s="2" t="n">
        <v>20</v>
      </c>
      <c r="P418" s="4" t="n">
        <v>2.35</v>
      </c>
      <c r="Q418" s="4" t="n">
        <v>10.27</v>
      </c>
      <c r="R418" s="4">
        <f>G418*(L418/100)*(O418/100)</f>
        <v/>
      </c>
      <c r="S418" s="4">
        <f>G418*(K418/360/100)*J418*(O418/100)</f>
        <v/>
      </c>
      <c r="T418" s="4">
        <f>P418-R418+Q418-S418</f>
        <v/>
      </c>
    </row>
    <row r="419">
      <c r="A419" s="2" t="inlineStr">
        <is>
          <t>Oro</t>
        </is>
      </c>
      <c r="B419" s="2" t="inlineStr">
        <is>
          <t>Blanco</t>
        </is>
      </c>
      <c r="C419" s="3" t="n">
        <v>46053</v>
      </c>
      <c r="D419" s="2" t="inlineStr">
        <is>
          <t>A59031137</t>
        </is>
      </c>
      <c r="E419" s="2" t="inlineStr">
        <is>
          <t>Mediciones…</t>
        </is>
      </c>
      <c r="F419" s="2" t="n">
        <v>4883701</v>
      </c>
      <c r="G419" s="4" t="n">
        <v>366.18</v>
      </c>
      <c r="H419" s="3" t="n">
        <v>46043</v>
      </c>
      <c r="I419" s="3" t="n">
        <v>46083</v>
      </c>
      <c r="J419" s="2" t="n">
        <v>60</v>
      </c>
      <c r="K419" s="2" t="n">
        <v>14.19</v>
      </c>
      <c r="L419" s="2" t="n">
        <v>2.59</v>
      </c>
      <c r="M419" s="4" t="n">
        <v>9.48</v>
      </c>
      <c r="N419" s="4" t="n">
        <v>8.66</v>
      </c>
      <c r="O419" s="2" t="n">
        <v>40</v>
      </c>
      <c r="P419" s="4" t="n">
        <v>4.02</v>
      </c>
      <c r="Q419" s="4" t="n">
        <v>3.61</v>
      </c>
      <c r="R419" s="4">
        <f>G419*(L419/100)*(O419/100)</f>
        <v/>
      </c>
      <c r="S419" s="4">
        <f>G419*(K419/360/100)*J419*(O419/100)</f>
        <v/>
      </c>
      <c r="T419" s="4">
        <f>P419-R419+Q419-S419</f>
        <v/>
      </c>
    </row>
    <row r="420">
      <c r="A420" s="2" t="inlineStr">
        <is>
          <t>Oro</t>
        </is>
      </c>
      <c r="B420" s="2" t="inlineStr">
        <is>
          <t>Blanco</t>
        </is>
      </c>
      <c r="C420" s="3" t="n">
        <v>46053</v>
      </c>
      <c r="D420" s="2" t="inlineStr">
        <is>
          <t>A64349113</t>
        </is>
      </c>
      <c r="E420" s="2" t="inlineStr">
        <is>
          <t>Datos Eval…</t>
        </is>
      </c>
      <c r="F420" s="2" t="n">
        <v>2940633</v>
      </c>
      <c r="G420" s="4" t="n">
        <v>449.91</v>
      </c>
      <c r="H420" s="3" t="n">
        <v>46026</v>
      </c>
      <c r="I420" s="3" t="n">
        <v>46086</v>
      </c>
      <c r="J420" s="2" t="n">
        <v>85</v>
      </c>
      <c r="K420" s="2" t="n">
        <v>31.32</v>
      </c>
      <c r="L420" s="2" t="n">
        <v>2.66</v>
      </c>
      <c r="M420" s="4" t="n">
        <v>11.97</v>
      </c>
      <c r="N420" s="4" t="n">
        <v>33.27</v>
      </c>
      <c r="O420" s="2" t="n">
        <v>40</v>
      </c>
      <c r="P420" s="4" t="n">
        <v>4.76</v>
      </c>
      <c r="Q420" s="4" t="n">
        <v>13.32</v>
      </c>
      <c r="R420" s="4">
        <f>G420*(L420/100)*(O420/100)</f>
        <v/>
      </c>
      <c r="S420" s="4">
        <f>G420*(K420/360/100)*J420*(O420/100)</f>
        <v/>
      </c>
      <c r="T420" s="4">
        <f>P420-R420+Q420-S420</f>
        <v/>
      </c>
    </row>
    <row r="421">
      <c r="A421" s="2" t="inlineStr">
        <is>
          <t>Oro</t>
        </is>
      </c>
      <c r="B421" s="2" t="inlineStr">
        <is>
          <t>Blanco</t>
        </is>
      </c>
      <c r="C421" s="3" t="n">
        <v>46053</v>
      </c>
      <c r="D421" s="2" t="inlineStr">
        <is>
          <t>A08097624</t>
        </is>
      </c>
      <c r="E421" s="2" t="inlineStr">
        <is>
          <t>Cereales C…</t>
        </is>
      </c>
      <c r="F421" s="2" t="n">
        <v>1629446</v>
      </c>
      <c r="G421" s="4" t="n">
        <v>196.57</v>
      </c>
      <c r="H421" s="3" t="n">
        <v>46032</v>
      </c>
      <c r="I421" s="3" t="n">
        <v>46147</v>
      </c>
      <c r="J421" s="2" t="n">
        <v>83</v>
      </c>
      <c r="K421" s="2" t="n">
        <v>48.98</v>
      </c>
      <c r="L421" s="2" t="n">
        <v>2.24</v>
      </c>
      <c r="M421" s="4" t="n">
        <v>4.4</v>
      </c>
      <c r="N421" s="4" t="n">
        <v>22.2</v>
      </c>
      <c r="O421" s="2" t="n">
        <v>60</v>
      </c>
      <c r="P421" s="4" t="n">
        <v>2.78</v>
      </c>
      <c r="Q421" s="4" t="n">
        <v>13.34</v>
      </c>
      <c r="R421" s="4">
        <f>G421*(L421/100)*(O421/100)</f>
        <v/>
      </c>
      <c r="S421" s="4">
        <f>G421*(K421/360/100)*J421*(O421/100)</f>
        <v/>
      </c>
      <c r="T421" s="4">
        <f>P421-R421+Q421-S421</f>
        <v/>
      </c>
    </row>
    <row r="422">
      <c r="A422" s="2" t="inlineStr">
        <is>
          <t>Oro</t>
        </is>
      </c>
      <c r="B422" s="2" t="inlineStr">
        <is>
          <t>Blanco</t>
        </is>
      </c>
      <c r="C422" s="3" t="n">
        <v>46053</v>
      </c>
      <c r="D422" s="2" t="inlineStr">
        <is>
          <t>A37570540</t>
        </is>
      </c>
      <c r="E422" s="2" t="inlineStr">
        <is>
          <t>Talcos Pre…</t>
        </is>
      </c>
      <c r="F422" s="2" t="n">
        <v>2165644</v>
      </c>
      <c r="G422" s="4" t="n">
        <v>390.61</v>
      </c>
      <c r="H422" s="3" t="n">
        <v>46026</v>
      </c>
      <c r="I422" s="3" t="n">
        <v>46181</v>
      </c>
      <c r="J422" s="2" t="n">
        <v>58</v>
      </c>
      <c r="K422" s="2" t="n">
        <v>32.26</v>
      </c>
      <c r="L422" s="2" t="n">
        <v>1</v>
      </c>
      <c r="M422" s="4" t="n">
        <v>3.91</v>
      </c>
      <c r="N422" s="4" t="n">
        <v>20.3</v>
      </c>
      <c r="O422" s="2" t="n">
        <v>30</v>
      </c>
      <c r="P422" s="4" t="n">
        <v>1.43</v>
      </c>
      <c r="Q422" s="4" t="n">
        <v>6</v>
      </c>
      <c r="R422" s="4">
        <f>G422*(L422/100)*(O422/100)</f>
        <v/>
      </c>
      <c r="S422" s="4">
        <f>G422*(K422/360/100)*J422*(O422/100)</f>
        <v/>
      </c>
      <c r="T422" s="4">
        <f>P422-R422+Q422-S422</f>
        <v/>
      </c>
    </row>
    <row r="423">
      <c r="A423" s="2" t="inlineStr">
        <is>
          <t>Oro</t>
        </is>
      </c>
      <c r="B423" s="2" t="inlineStr">
        <is>
          <t>Blanco</t>
        </is>
      </c>
      <c r="C423" s="3" t="n">
        <v>46053</v>
      </c>
      <c r="D423" s="2" t="inlineStr">
        <is>
          <t>A14358012</t>
        </is>
      </c>
      <c r="E423" s="2" t="inlineStr">
        <is>
          <t>Tejidos Sat…</t>
        </is>
      </c>
      <c r="F423" s="2" t="n">
        <v>3833294</v>
      </c>
      <c r="G423" s="4" t="n">
        <v>8637.559999999999</v>
      </c>
      <c r="H423" s="3" t="n">
        <v>46028</v>
      </c>
      <c r="I423" s="3" t="n">
        <v>46217</v>
      </c>
      <c r="J423" s="2" t="n">
        <v>80</v>
      </c>
      <c r="K423" s="2" t="n">
        <v>48.36</v>
      </c>
      <c r="L423" s="2" t="n">
        <v>0.85</v>
      </c>
      <c r="M423" s="4" t="n">
        <v>73.42</v>
      </c>
      <c r="N423" s="4" t="n">
        <v>928.25</v>
      </c>
      <c r="O423" s="2" t="n">
        <v>30</v>
      </c>
      <c r="P423" s="4" t="n">
        <v>21.96</v>
      </c>
      <c r="Q423" s="4" t="n">
        <v>278.32</v>
      </c>
      <c r="R423" s="4">
        <f>G423*(L423/100)*(O423/100)</f>
        <v/>
      </c>
      <c r="S423" s="4">
        <f>G423*(K423/360/100)*J423*(O423/100)</f>
        <v/>
      </c>
      <c r="T423" s="4">
        <f>P423-R423+Q423-S423</f>
        <v/>
      </c>
    </row>
    <row r="424">
      <c r="A424" s="2" t="inlineStr">
        <is>
          <t>Oro</t>
        </is>
      </c>
      <c r="B424" s="2" t="inlineStr">
        <is>
          <t>Blanco</t>
        </is>
      </c>
      <c r="C424" s="3" t="n">
        <v>46053</v>
      </c>
      <c r="D424" s="2" t="inlineStr">
        <is>
          <t>B97041895</t>
        </is>
      </c>
      <c r="E424" s="2" t="inlineStr">
        <is>
          <t>Formulacio…</t>
        </is>
      </c>
      <c r="F424" s="2" t="n">
        <v>3661337</v>
      </c>
      <c r="G424" s="4" t="n">
        <v>165.19</v>
      </c>
      <c r="H424" s="3" t="n">
        <v>46033</v>
      </c>
      <c r="I424" s="3" t="n">
        <v>46167</v>
      </c>
      <c r="J424" s="2" t="n">
        <v>60</v>
      </c>
      <c r="K424" s="2" t="n">
        <v>35.5</v>
      </c>
      <c r="L424" s="2" t="n">
        <v>1.62</v>
      </c>
      <c r="M424" s="4" t="n">
        <v>2.68</v>
      </c>
      <c r="N424" s="4" t="n">
        <v>9.77</v>
      </c>
      <c r="O424" s="2" t="n">
        <v>60</v>
      </c>
      <c r="P424" s="4" t="n">
        <v>1.39</v>
      </c>
      <c r="Q424" s="4" t="n">
        <v>5.75</v>
      </c>
      <c r="R424" s="4">
        <f>G424*(L424/100)*(O424/100)</f>
        <v/>
      </c>
      <c r="S424" s="4">
        <f>G424*(K424/360/100)*J424*(O424/100)</f>
        <v/>
      </c>
      <c r="T424" s="4">
        <f>P424-R424+Q424-S424</f>
        <v/>
      </c>
    </row>
    <row r="425">
      <c r="A425" s="2" t="inlineStr">
        <is>
          <t>Oro</t>
        </is>
      </c>
      <c r="B425" s="2" t="inlineStr">
        <is>
          <t>Blanco</t>
        </is>
      </c>
      <c r="C425" s="3" t="n">
        <v>46053</v>
      </c>
      <c r="D425" s="2" t="inlineStr">
        <is>
          <t>B72294548</t>
        </is>
      </c>
      <c r="E425" s="2" t="inlineStr">
        <is>
          <t>Cables Ágil…</t>
        </is>
      </c>
      <c r="F425" s="2" t="n">
        <v>3857108</v>
      </c>
      <c r="G425" s="4" t="n">
        <v>585.28</v>
      </c>
      <c r="H425" s="3" t="n">
        <v>46044</v>
      </c>
      <c r="I425" s="3" t="n">
        <v>46166</v>
      </c>
      <c r="J425" s="2" t="n">
        <v>10</v>
      </c>
      <c r="K425" s="2" t="n">
        <v>24.35</v>
      </c>
      <c r="L425" s="2" t="n">
        <v>2.29</v>
      </c>
      <c r="M425" s="4" t="n">
        <v>13.4</v>
      </c>
      <c r="N425" s="4" t="n">
        <v>3.96</v>
      </c>
      <c r="O425" s="2" t="n">
        <v>50</v>
      </c>
      <c r="P425" s="4" t="n">
        <v>6.42</v>
      </c>
      <c r="Q425" s="4" t="n">
        <v>2.16</v>
      </c>
      <c r="R425" s="4">
        <f>G425*(L425/100)*(O425/100)</f>
        <v/>
      </c>
      <c r="S425" s="4">
        <f>G425*(K425/360/100)*J425*(O425/100)</f>
        <v/>
      </c>
      <c r="T425" s="4">
        <f>P425-R425+Q425-S425</f>
        <v/>
      </c>
    </row>
    <row r="426">
      <c r="A426" s="2" t="inlineStr">
        <is>
          <t>Oro</t>
        </is>
      </c>
      <c r="B426" s="2" t="inlineStr">
        <is>
          <t>Blanco</t>
        </is>
      </c>
      <c r="C426" s="3" t="n">
        <v>46053</v>
      </c>
      <c r="D426" s="2" t="inlineStr">
        <is>
          <t>B66756052</t>
        </is>
      </c>
      <c r="E426" s="2" t="inlineStr">
        <is>
          <t>Perfiles Apr…</t>
        </is>
      </c>
      <c r="F426" s="2" t="n">
        <v>1663836</v>
      </c>
      <c r="G426" s="4" t="n">
        <v>998.4</v>
      </c>
      <c r="H426" s="3" t="n">
        <v>46030</v>
      </c>
      <c r="I426" s="3" t="n">
        <v>46070</v>
      </c>
      <c r="J426" s="2" t="n">
        <v>34</v>
      </c>
      <c r="K426" s="2" t="n">
        <v>14.8</v>
      </c>
      <c r="L426" s="2" t="n">
        <v>1.03</v>
      </c>
      <c r="M426" s="4" t="n">
        <v>10.28</v>
      </c>
      <c r="N426" s="4" t="n">
        <v>13.96</v>
      </c>
      <c r="O426" s="2" t="n">
        <v>40</v>
      </c>
      <c r="P426" s="4" t="n">
        <v>3.89</v>
      </c>
      <c r="Q426" s="4" t="n">
        <v>5.87</v>
      </c>
      <c r="R426" s="4">
        <f>G426*(L426/100)*(O426/100)</f>
        <v/>
      </c>
      <c r="S426" s="4">
        <f>G426*(K426/360/100)*J426*(O426/100)</f>
        <v/>
      </c>
      <c r="T426" s="4">
        <f>P426-R426+Q426-S426</f>
        <v/>
      </c>
    </row>
    <row r="427">
      <c r="A427" s="2" t="inlineStr">
        <is>
          <t>Oro</t>
        </is>
      </c>
      <c r="B427" s="2" t="inlineStr">
        <is>
          <t>Blanco</t>
        </is>
      </c>
      <c r="C427" s="3" t="n">
        <v>46053</v>
      </c>
      <c r="D427" s="2" t="inlineStr">
        <is>
          <t>A53324468</t>
        </is>
      </c>
      <c r="E427" s="2" t="inlineStr">
        <is>
          <t>Cables Hist…</t>
        </is>
      </c>
      <c r="F427" s="2" t="n">
        <v>1527255</v>
      </c>
      <c r="G427" s="4" t="n">
        <v>2069.67</v>
      </c>
      <c r="H427" s="3" t="n">
        <v>46040</v>
      </c>
      <c r="I427" s="3" t="n">
        <v>46089</v>
      </c>
      <c r="J427" s="2" t="n">
        <v>50</v>
      </c>
      <c r="K427" s="2" t="n">
        <v>27.79</v>
      </c>
      <c r="L427" s="2" t="n">
        <v>1.35</v>
      </c>
      <c r="M427" s="4" t="n">
        <v>27.94</v>
      </c>
      <c r="N427" s="4" t="n">
        <v>79.88</v>
      </c>
      <c r="O427" s="2" t="n">
        <v>40</v>
      </c>
      <c r="P427" s="4" t="n">
        <v>10.88</v>
      </c>
      <c r="Q427" s="4" t="n">
        <v>31.87</v>
      </c>
      <c r="R427" s="4">
        <f>G427*(L427/100)*(O427/100)</f>
        <v/>
      </c>
      <c r="S427" s="4">
        <f>G427*(K427/360/100)*J427*(O427/100)</f>
        <v/>
      </c>
      <c r="T427" s="4">
        <f>P427-R427+Q427-S427</f>
        <v/>
      </c>
    </row>
    <row r="428">
      <c r="A428" s="2" t="inlineStr">
        <is>
          <t>Oro</t>
        </is>
      </c>
      <c r="B428" s="2" t="inlineStr">
        <is>
          <t>Blanco</t>
        </is>
      </c>
      <c r="C428" s="3" t="n">
        <v>46053</v>
      </c>
      <c r="D428" s="2" t="inlineStr">
        <is>
          <t>A43195305</t>
        </is>
      </c>
      <c r="E428" s="2" t="inlineStr">
        <is>
          <t>Licores Na…</t>
        </is>
      </c>
      <c r="F428" s="2" t="n">
        <v>4624392</v>
      </c>
      <c r="G428" s="4" t="n">
        <v>723.96</v>
      </c>
      <c r="H428" s="3" t="n">
        <v>46030</v>
      </c>
      <c r="I428" s="3" t="n">
        <v>46125</v>
      </c>
      <c r="J428" s="2" t="n">
        <v>86</v>
      </c>
      <c r="K428" s="2" t="n">
        <v>42.01</v>
      </c>
      <c r="L428" s="2" t="n">
        <v>0.66</v>
      </c>
      <c r="M428" s="4" t="n">
        <v>4.78</v>
      </c>
      <c r="N428" s="4" t="n">
        <v>72.65000000000001</v>
      </c>
      <c r="O428" s="2" t="n">
        <v>40</v>
      </c>
      <c r="P428" s="4" t="n">
        <v>1.95</v>
      </c>
      <c r="Q428" s="4" t="n">
        <v>29.35</v>
      </c>
      <c r="R428" s="4">
        <f>G428*(L428/100)*(O428/100)</f>
        <v/>
      </c>
      <c r="S428" s="4">
        <f>G428*(K428/360/100)*J428*(O428/100)</f>
        <v/>
      </c>
      <c r="T428" s="4">
        <f>P428-R428+Q428-S428</f>
        <v/>
      </c>
    </row>
    <row r="429">
      <c r="A429" s="2" t="inlineStr">
        <is>
          <t>Oro</t>
        </is>
      </c>
      <c r="B429" s="2" t="inlineStr">
        <is>
          <t>Blanco</t>
        </is>
      </c>
      <c r="C429" s="3" t="n">
        <v>46053</v>
      </c>
      <c r="D429" s="2" t="inlineStr">
        <is>
          <t>A61795318</t>
        </is>
      </c>
      <c r="E429" s="2" t="inlineStr">
        <is>
          <t>Pizarras M…</t>
        </is>
      </c>
      <c r="F429" s="2" t="n">
        <v>4757186</v>
      </c>
      <c r="G429" s="4" t="n">
        <v>108.72</v>
      </c>
      <c r="H429" s="3" t="n">
        <v>46042</v>
      </c>
      <c r="I429" s="3" t="n">
        <v>46069</v>
      </c>
      <c r="J429" s="2" t="n">
        <v>14</v>
      </c>
      <c r="K429" s="2" t="n">
        <v>36.02</v>
      </c>
      <c r="L429" s="2" t="n">
        <v>2.93</v>
      </c>
      <c r="M429" s="4" t="n">
        <v>3.19</v>
      </c>
      <c r="N429" s="4" t="n">
        <v>1.52</v>
      </c>
      <c r="O429" s="2" t="n">
        <v>70</v>
      </c>
      <c r="P429" s="4" t="n">
        <v>2.02</v>
      </c>
      <c r="Q429" s="4" t="n">
        <v>1.04</v>
      </c>
      <c r="R429" s="4">
        <f>G429*(L429/100)*(O429/100)</f>
        <v/>
      </c>
      <c r="S429" s="4">
        <f>G429*(K429/360/100)*J429*(O429/100)</f>
        <v/>
      </c>
      <c r="T429" s="4">
        <f>P429-R429+Q429-S429</f>
        <v/>
      </c>
    </row>
    <row r="430">
      <c r="A430" s="2" t="inlineStr">
        <is>
          <t>Oro</t>
        </is>
      </c>
      <c r="B430" s="2" t="inlineStr">
        <is>
          <t>Blanco</t>
        </is>
      </c>
      <c r="C430" s="3" t="n">
        <v>46053</v>
      </c>
      <c r="D430" s="2" t="inlineStr">
        <is>
          <t>A75878906</t>
        </is>
      </c>
      <c r="E430" s="2" t="inlineStr">
        <is>
          <t>Fotovoltaic…</t>
        </is>
      </c>
      <c r="F430" s="2" t="n">
        <v>2151606</v>
      </c>
      <c r="G430" s="4" t="n">
        <v>818.74</v>
      </c>
      <c r="H430" s="3" t="n">
        <v>46024</v>
      </c>
      <c r="I430" s="3" t="n">
        <v>46228</v>
      </c>
      <c r="J430" s="2" t="n">
        <v>51</v>
      </c>
      <c r="K430" s="2" t="n">
        <v>40.93</v>
      </c>
      <c r="L430" s="2" t="n">
        <v>2.17</v>
      </c>
      <c r="M430" s="4" t="n">
        <v>17.77</v>
      </c>
      <c r="N430" s="4" t="n">
        <v>47.47</v>
      </c>
      <c r="O430" s="2" t="n">
        <v>60</v>
      </c>
      <c r="P430" s="4" t="n">
        <v>10.41</v>
      </c>
      <c r="Q430" s="4" t="n">
        <v>28.32</v>
      </c>
      <c r="R430" s="4">
        <f>G430*(L430/100)*(O430/100)</f>
        <v/>
      </c>
      <c r="S430" s="4">
        <f>G430*(K430/360/100)*J430*(O430/100)</f>
        <v/>
      </c>
      <c r="T430" s="4">
        <f>P430-R430+Q430-S430</f>
        <v/>
      </c>
    </row>
    <row r="431">
      <c r="A431" s="2" t="inlineStr">
        <is>
          <t>Oro</t>
        </is>
      </c>
      <c r="B431" s="2" t="inlineStr">
        <is>
          <t>Blanco</t>
        </is>
      </c>
      <c r="C431" s="3" t="n">
        <v>46053</v>
      </c>
      <c r="D431" s="2" t="inlineStr">
        <is>
          <t>B52720300</t>
        </is>
      </c>
      <c r="E431" s="2" t="inlineStr">
        <is>
          <t>Fluoruros D…</t>
        </is>
      </c>
      <c r="F431" s="2" t="n">
        <v>3806078</v>
      </c>
      <c r="G431" s="4" t="n">
        <v>7761.54</v>
      </c>
      <c r="H431" s="3" t="n">
        <v>46025</v>
      </c>
      <c r="I431" s="3" t="n">
        <v>46170</v>
      </c>
      <c r="J431" s="2" t="n">
        <v>60</v>
      </c>
      <c r="K431" s="2" t="n">
        <v>41.85</v>
      </c>
      <c r="L431" s="2" t="n">
        <v>0.64</v>
      </c>
      <c r="M431" s="4" t="n">
        <v>49.67</v>
      </c>
      <c r="N431" s="4" t="n">
        <v>541.37</v>
      </c>
      <c r="O431" s="2" t="n">
        <v>20</v>
      </c>
      <c r="P431" s="4" t="n">
        <v>10.15</v>
      </c>
      <c r="Q431" s="4" t="n">
        <v>108.36</v>
      </c>
      <c r="R431" s="4">
        <f>G431*(L431/100)*(O431/100)</f>
        <v/>
      </c>
      <c r="S431" s="4">
        <f>G431*(K431/360/100)*J431*(O431/100)</f>
        <v/>
      </c>
      <c r="T431" s="4">
        <f>P431-R431+Q431-S431</f>
        <v/>
      </c>
    </row>
    <row r="432">
      <c r="A432" s="2" t="inlineStr">
        <is>
          <t>Oro</t>
        </is>
      </c>
      <c r="B432" s="2" t="inlineStr">
        <is>
          <t>Blanco</t>
        </is>
      </c>
      <c r="C432" s="3" t="n">
        <v>46053</v>
      </c>
      <c r="D432" s="2" t="inlineStr">
        <is>
          <t>A08053188</t>
        </is>
      </c>
      <c r="E432" s="2" t="inlineStr">
        <is>
          <t>Equipos Re…</t>
        </is>
      </c>
      <c r="F432" s="2" t="n">
        <v>4138366</v>
      </c>
      <c r="G432" s="4" t="n">
        <v>211.19</v>
      </c>
      <c r="H432" s="3" t="n">
        <v>46042</v>
      </c>
      <c r="I432" s="3" t="n">
        <v>46108</v>
      </c>
      <c r="J432" s="2" t="n">
        <v>14</v>
      </c>
      <c r="K432" s="2" t="n">
        <v>45.66</v>
      </c>
      <c r="L432" s="2" t="n">
        <v>2.53</v>
      </c>
      <c r="M432" s="4" t="n">
        <v>5.34</v>
      </c>
      <c r="N432" s="4" t="n">
        <v>3.75</v>
      </c>
      <c r="O432" s="2" t="n">
        <v>30</v>
      </c>
      <c r="P432" s="4" t="n">
        <v>1.74</v>
      </c>
      <c r="Q432" s="4" t="n">
        <v>1.26</v>
      </c>
      <c r="R432" s="4">
        <f>G432*(L432/100)*(O432/100)</f>
        <v/>
      </c>
      <c r="S432" s="4">
        <f>G432*(K432/360/100)*J432*(O432/100)</f>
        <v/>
      </c>
      <c r="T432" s="4">
        <f>P432-R432+Q432-S432</f>
        <v/>
      </c>
    </row>
    <row r="433">
      <c r="A433" s="2" t="inlineStr">
        <is>
          <t>Oro</t>
        </is>
      </c>
      <c r="B433" s="2" t="inlineStr">
        <is>
          <t>Blanco</t>
        </is>
      </c>
      <c r="C433" s="3" t="n">
        <v>46053</v>
      </c>
      <c r="D433" s="2" t="inlineStr">
        <is>
          <t>A91563398</t>
        </is>
      </c>
      <c r="E433" s="2" t="inlineStr">
        <is>
          <t>Relés Cro…</t>
        </is>
      </c>
      <c r="F433" s="2" t="n">
        <v>1295903</v>
      </c>
      <c r="G433" s="4" t="n">
        <v>935.67</v>
      </c>
      <c r="H433" s="3" t="n">
        <v>46024</v>
      </c>
      <c r="I433" s="3" t="n">
        <v>46165</v>
      </c>
      <c r="J433" s="2" t="n">
        <v>54</v>
      </c>
      <c r="K433" s="2" t="n">
        <v>48.98</v>
      </c>
      <c r="L433" s="2" t="n">
        <v>0.84</v>
      </c>
      <c r="M433" s="4" t="n">
        <v>7.86</v>
      </c>
      <c r="N433" s="4" t="n">
        <v>68.73999999999999</v>
      </c>
      <c r="O433" s="2" t="n">
        <v>60</v>
      </c>
      <c r="P433" s="4" t="n">
        <v>4.99</v>
      </c>
      <c r="Q433" s="4" t="n">
        <v>41.37</v>
      </c>
      <c r="R433" s="4">
        <f>G433*(L433/100)*(O433/100)</f>
        <v/>
      </c>
      <c r="S433" s="4">
        <f>G433*(K433/360/100)*J433*(O433/100)</f>
        <v/>
      </c>
      <c r="T433" s="4">
        <f>P433-R433+Q433-S433</f>
        <v/>
      </c>
    </row>
    <row r="434">
      <c r="A434" s="2" t="inlineStr">
        <is>
          <t>Oro</t>
        </is>
      </c>
      <c r="B434" s="2" t="inlineStr">
        <is>
          <t>Blanco</t>
        </is>
      </c>
      <c r="C434" s="3" t="n">
        <v>46053</v>
      </c>
      <c r="D434" s="2" t="inlineStr">
        <is>
          <t>A04551909</t>
        </is>
      </c>
      <c r="E434" s="2" t="inlineStr">
        <is>
          <t>Parquets B…</t>
        </is>
      </c>
      <c r="F434" s="2" t="n">
        <v>4613444</v>
      </c>
      <c r="G434" s="4" t="n">
        <v>1476.43</v>
      </c>
      <c r="H434" s="3" t="n">
        <v>46046</v>
      </c>
      <c r="I434" s="3" t="n">
        <v>46151</v>
      </c>
      <c r="J434" s="2" t="n">
        <v>81</v>
      </c>
      <c r="K434" s="2" t="n">
        <v>12.04</v>
      </c>
      <c r="L434" s="2" t="n">
        <v>1.85</v>
      </c>
      <c r="M434" s="4" t="n">
        <v>27.31</v>
      </c>
      <c r="N434" s="4" t="n">
        <v>40</v>
      </c>
      <c r="O434" s="2" t="n">
        <v>50</v>
      </c>
      <c r="P434" s="4" t="n">
        <v>13.82</v>
      </c>
      <c r="Q434" s="4" t="n">
        <v>19.74</v>
      </c>
      <c r="R434" s="4">
        <f>G434*(L434/100)*(O434/100)</f>
        <v/>
      </c>
      <c r="S434" s="4">
        <f>G434*(K434/360/100)*J434*(O434/100)</f>
        <v/>
      </c>
      <c r="T434" s="4">
        <f>P434-R434+Q434-S434</f>
        <v/>
      </c>
    </row>
    <row r="435">
      <c r="A435" s="2" t="inlineStr">
        <is>
          <t>Oro</t>
        </is>
      </c>
      <c r="B435" s="2" t="inlineStr">
        <is>
          <t>Blanco</t>
        </is>
      </c>
      <c r="C435" s="3" t="n">
        <v>46053</v>
      </c>
      <c r="D435" s="2" t="inlineStr">
        <is>
          <t>A73888019</t>
        </is>
      </c>
      <c r="E435" s="2" t="inlineStr">
        <is>
          <t>Fletes Sect…</t>
        </is>
      </c>
      <c r="F435" s="2" t="n">
        <v>3441866</v>
      </c>
      <c r="G435" s="4" t="n">
        <v>593.97</v>
      </c>
      <c r="H435" s="3" t="n">
        <v>46033</v>
      </c>
      <c r="I435" s="3" t="n">
        <v>46130</v>
      </c>
      <c r="J435" s="2" t="n">
        <v>42</v>
      </c>
      <c r="K435" s="2" t="n">
        <v>19.03</v>
      </c>
      <c r="L435" s="2" t="n">
        <v>1.13</v>
      </c>
      <c r="M435" s="4" t="n">
        <v>6.71</v>
      </c>
      <c r="N435" s="4" t="n">
        <v>13.19</v>
      </c>
      <c r="O435" s="2" t="n">
        <v>70</v>
      </c>
      <c r="P435" s="4" t="n">
        <v>4.84</v>
      </c>
      <c r="Q435" s="4" t="n">
        <v>9.380000000000001</v>
      </c>
      <c r="R435" s="4">
        <f>G435*(L435/100)*(O435/100)</f>
        <v/>
      </c>
      <c r="S435" s="4">
        <f>G435*(K435/360/100)*J435*(O435/100)</f>
        <v/>
      </c>
      <c r="T435" s="4">
        <f>P435-R435+Q435-S435</f>
        <v/>
      </c>
    </row>
    <row r="436">
      <c r="A436" s="2" t="inlineStr">
        <is>
          <t>Oro</t>
        </is>
      </c>
      <c r="B436" s="2" t="inlineStr">
        <is>
          <t>Blanco</t>
        </is>
      </c>
      <c r="C436" s="3" t="n">
        <v>46053</v>
      </c>
      <c r="D436" s="2" t="inlineStr">
        <is>
          <t>A45943465</t>
        </is>
      </c>
      <c r="E436" s="2" t="inlineStr">
        <is>
          <t>Bandejas C…</t>
        </is>
      </c>
      <c r="F436" s="2" t="n">
        <v>3806831</v>
      </c>
      <c r="G436" s="4" t="n">
        <v>6047.71</v>
      </c>
      <c r="H436" s="3" t="n">
        <v>46023</v>
      </c>
      <c r="I436" s="3" t="n">
        <v>46180</v>
      </c>
      <c r="J436" s="2" t="n">
        <v>64</v>
      </c>
      <c r="K436" s="2" t="n">
        <v>38.24</v>
      </c>
      <c r="L436" s="2" t="n">
        <v>2.08</v>
      </c>
      <c r="M436" s="4" t="n">
        <v>125.79</v>
      </c>
      <c r="N436" s="4" t="n">
        <v>411.14</v>
      </c>
      <c r="O436" s="2" t="n">
        <v>70</v>
      </c>
      <c r="P436" s="4" t="n">
        <v>88.27</v>
      </c>
      <c r="Q436" s="4" t="n">
        <v>288.08</v>
      </c>
      <c r="R436" s="4">
        <f>G436*(L436/100)*(O436/100)</f>
        <v/>
      </c>
      <c r="S436" s="4">
        <f>G436*(K436/360/100)*J436*(O436/100)</f>
        <v/>
      </c>
      <c r="T436" s="4">
        <f>P436-R436+Q436-S436</f>
        <v/>
      </c>
    </row>
    <row r="437">
      <c r="A437" s="2" t="inlineStr">
        <is>
          <t>Oro</t>
        </is>
      </c>
      <c r="B437" s="2" t="inlineStr">
        <is>
          <t>Blanco</t>
        </is>
      </c>
      <c r="C437" s="3" t="n">
        <v>46053</v>
      </c>
      <c r="D437" s="2" t="inlineStr">
        <is>
          <t>A62059817</t>
        </is>
      </c>
      <c r="E437" s="2" t="inlineStr">
        <is>
          <t>Pesticidas…</t>
        </is>
      </c>
      <c r="F437" s="2" t="n">
        <v>2000580</v>
      </c>
      <c r="G437" s="4" t="n">
        <v>974.27</v>
      </c>
      <c r="H437" s="3" t="n">
        <v>46028</v>
      </c>
      <c r="I437" s="3" t="n">
        <v>46187</v>
      </c>
      <c r="J437" s="2" t="n">
        <v>54</v>
      </c>
      <c r="K437" s="2" t="n">
        <v>11.54</v>
      </c>
      <c r="L437" s="2" t="n">
        <v>2.79</v>
      </c>
      <c r="M437" s="4" t="n">
        <v>27.18</v>
      </c>
      <c r="N437" s="4" t="n">
        <v>16.86</v>
      </c>
      <c r="O437" s="2" t="n">
        <v>30</v>
      </c>
      <c r="P437" s="4" t="n">
        <v>7.98</v>
      </c>
      <c r="Q437" s="4" t="n">
        <v>4.9</v>
      </c>
      <c r="R437" s="4">
        <f>G437*(L437/100)*(O437/100)</f>
        <v/>
      </c>
      <c r="S437" s="4">
        <f>G437*(K437/360/100)*J437*(O437/100)</f>
        <v/>
      </c>
      <c r="T437" s="4">
        <f>P437-R437+Q437-S437</f>
        <v/>
      </c>
    </row>
    <row r="438">
      <c r="A438" s="2" t="inlineStr">
        <is>
          <t>Oro</t>
        </is>
      </c>
      <c r="B438" s="2" t="inlineStr">
        <is>
          <t>Blanco</t>
        </is>
      </c>
      <c r="C438" s="3" t="n">
        <v>46053</v>
      </c>
      <c r="D438" s="2" t="inlineStr">
        <is>
          <t>B25484607</t>
        </is>
      </c>
      <c r="E438" s="2" t="inlineStr">
        <is>
          <t>Aditivos Pr…</t>
        </is>
      </c>
      <c r="F438" s="2" t="n">
        <v>2458331</v>
      </c>
      <c r="G438" s="4" t="n">
        <v>521.36</v>
      </c>
      <c r="H438" s="3" t="n">
        <v>46037</v>
      </c>
      <c r="I438" s="3" t="n">
        <v>46088</v>
      </c>
      <c r="J438" s="2" t="n">
        <v>76</v>
      </c>
      <c r="K438" s="2" t="n">
        <v>19.22</v>
      </c>
      <c r="L438" s="2" t="n">
        <v>0.76</v>
      </c>
      <c r="M438" s="4" t="n">
        <v>3.96</v>
      </c>
      <c r="N438" s="4" t="n">
        <v>21.15</v>
      </c>
      <c r="O438" s="2" t="n">
        <v>30</v>
      </c>
      <c r="P438" s="4" t="n">
        <v>1.02</v>
      </c>
      <c r="Q438" s="4" t="n">
        <v>6.07</v>
      </c>
      <c r="R438" s="4">
        <f>G438*(L438/100)*(O438/100)</f>
        <v/>
      </c>
      <c r="S438" s="4">
        <f>G438*(K438/360/100)*J438*(O438/100)</f>
        <v/>
      </c>
      <c r="T438" s="4">
        <f>P438-R438+Q438-S438</f>
        <v/>
      </c>
    </row>
    <row r="439">
      <c r="A439" s="2" t="inlineStr">
        <is>
          <t>Oro</t>
        </is>
      </c>
      <c r="B439" s="2" t="inlineStr">
        <is>
          <t>Blanco</t>
        </is>
      </c>
      <c r="C439" s="3" t="n">
        <v>46053</v>
      </c>
      <c r="D439" s="2" t="inlineStr">
        <is>
          <t>B16656758</t>
        </is>
      </c>
      <c r="E439" s="2" t="inlineStr">
        <is>
          <t>Acumulado…</t>
        </is>
      </c>
      <c r="F439" s="2" t="n">
        <v>3574662</v>
      </c>
      <c r="G439" s="4" t="n">
        <v>640.04</v>
      </c>
      <c r="H439" s="3" t="n">
        <v>46037</v>
      </c>
      <c r="I439" s="3" t="n">
        <v>46076</v>
      </c>
      <c r="J439" s="2" t="n">
        <v>77</v>
      </c>
      <c r="K439" s="2" t="n">
        <v>22</v>
      </c>
      <c r="L439" s="2" t="n">
        <v>1.26</v>
      </c>
      <c r="M439" s="4" t="n">
        <v>8.06</v>
      </c>
      <c r="N439" s="4" t="n">
        <v>30.12</v>
      </c>
      <c r="O439" s="2" t="n">
        <v>20</v>
      </c>
      <c r="P439" s="4" t="n">
        <v>1.74</v>
      </c>
      <c r="Q439" s="4" t="n">
        <v>5.96</v>
      </c>
      <c r="R439" s="4">
        <f>G439*(L439/100)*(O439/100)</f>
        <v/>
      </c>
      <c r="S439" s="4">
        <f>G439*(K439/360/100)*J439*(O439/100)</f>
        <v/>
      </c>
      <c r="T439" s="4">
        <f>P439-R439+Q439-S439</f>
        <v/>
      </c>
    </row>
    <row r="440">
      <c r="A440" s="2" t="inlineStr">
        <is>
          <t>Oro</t>
        </is>
      </c>
      <c r="B440" s="2" t="inlineStr">
        <is>
          <t>Blanco</t>
        </is>
      </c>
      <c r="C440" s="3" t="n">
        <v>46053</v>
      </c>
      <c r="D440" s="2" t="inlineStr">
        <is>
          <t>A91945379</t>
        </is>
      </c>
      <c r="E440" s="2" t="inlineStr">
        <is>
          <t>Grafitos Gl…</t>
        </is>
      </c>
      <c r="F440" s="2" t="n">
        <v>1884570</v>
      </c>
      <c r="G440" s="4" t="n">
        <v>350.2</v>
      </c>
      <c r="H440" s="3" t="n">
        <v>46025</v>
      </c>
      <c r="I440" s="3" t="n">
        <v>46139</v>
      </c>
      <c r="J440" s="2" t="n">
        <v>32</v>
      </c>
      <c r="K440" s="2" t="n">
        <v>47.03</v>
      </c>
      <c r="L440" s="2" t="n">
        <v>2.66</v>
      </c>
      <c r="M440" s="4" t="n">
        <v>9.32</v>
      </c>
      <c r="N440" s="4" t="n">
        <v>14.64</v>
      </c>
      <c r="O440" s="2" t="n">
        <v>30</v>
      </c>
      <c r="P440" s="4" t="n">
        <v>2.61</v>
      </c>
      <c r="Q440" s="4" t="n">
        <v>4.17</v>
      </c>
      <c r="R440" s="4">
        <f>G440*(L440/100)*(O440/100)</f>
        <v/>
      </c>
      <c r="S440" s="4">
        <f>G440*(K440/360/100)*J440*(O440/100)</f>
        <v/>
      </c>
      <c r="T440" s="4">
        <f>P440-R440+Q440-S440</f>
        <v/>
      </c>
    </row>
    <row r="441">
      <c r="A441" s="2" t="inlineStr">
        <is>
          <t>Oro</t>
        </is>
      </c>
      <c r="B441" s="2" t="inlineStr">
        <is>
          <t>Blanco</t>
        </is>
      </c>
      <c r="C441" s="3" t="n">
        <v>46053</v>
      </c>
      <c r="D441" s="2" t="inlineStr">
        <is>
          <t>A71156127</t>
        </is>
      </c>
      <c r="E441" s="2" t="inlineStr">
        <is>
          <t>Terminales…</t>
        </is>
      </c>
      <c r="F441" s="2" t="n">
        <v>1650601</v>
      </c>
      <c r="G441" s="4" t="n">
        <v>4320.94</v>
      </c>
      <c r="H441" s="3" t="n">
        <v>46032</v>
      </c>
      <c r="I441" s="3" t="n">
        <v>46119</v>
      </c>
      <c r="J441" s="2" t="n">
        <v>69</v>
      </c>
      <c r="K441" s="2" t="n">
        <v>18</v>
      </c>
      <c r="L441" s="2" t="n">
        <v>2.21</v>
      </c>
      <c r="M441" s="4" t="n">
        <v>95.48999999999999</v>
      </c>
      <c r="N441" s="4" t="n">
        <v>149.07</v>
      </c>
      <c r="O441" s="2" t="n">
        <v>30</v>
      </c>
      <c r="P441" s="4" t="n">
        <v>28.63</v>
      </c>
      <c r="Q441" s="4" t="n">
        <v>44.84</v>
      </c>
      <c r="R441" s="4">
        <f>G441*(L441/100)*(O441/100)</f>
        <v/>
      </c>
      <c r="S441" s="4">
        <f>G441*(K441/360/100)*J441*(O441/100)</f>
        <v/>
      </c>
      <c r="T441" s="4">
        <f>P441-R441+Q441-S441</f>
        <v/>
      </c>
    </row>
    <row r="442">
      <c r="A442" s="2" t="inlineStr">
        <is>
          <t>Oro</t>
        </is>
      </c>
      <c r="B442" s="2" t="inlineStr">
        <is>
          <t>Blanco</t>
        </is>
      </c>
      <c r="C442" s="3" t="n">
        <v>46053</v>
      </c>
      <c r="D442" s="2" t="inlineStr">
        <is>
          <t>B59741128</t>
        </is>
      </c>
      <c r="E442" s="2" t="inlineStr">
        <is>
          <t>Embalajes…</t>
        </is>
      </c>
      <c r="F442" s="2" t="n">
        <v>3345784</v>
      </c>
      <c r="G442" s="4" t="n">
        <v>100.95</v>
      </c>
      <c r="H442" s="3" t="n">
        <v>46036</v>
      </c>
      <c r="I442" s="3" t="n">
        <v>46055</v>
      </c>
      <c r="J442" s="2" t="n">
        <v>61</v>
      </c>
      <c r="K442" s="2" t="n">
        <v>38.52</v>
      </c>
      <c r="L442" s="2" t="n">
        <v>1.15</v>
      </c>
      <c r="M442" s="4" t="n">
        <v>1.16</v>
      </c>
      <c r="N442" s="4" t="n">
        <v>6.59</v>
      </c>
      <c r="O442" s="2" t="n">
        <v>70</v>
      </c>
      <c r="P442" s="4" t="n">
        <v>0.61</v>
      </c>
      <c r="Q442" s="4" t="n">
        <v>4.84</v>
      </c>
      <c r="R442" s="4">
        <f>G442*(L442/100)*(O442/100)</f>
        <v/>
      </c>
      <c r="S442" s="4">
        <f>G442*(K442/360/100)*J442*(O442/100)</f>
        <v/>
      </c>
      <c r="T442" s="4">
        <f>P442-R442+Q442-S442</f>
        <v/>
      </c>
    </row>
    <row r="443">
      <c r="A443" s="2" t="inlineStr">
        <is>
          <t>Oro</t>
        </is>
      </c>
      <c r="B443" s="2" t="inlineStr">
        <is>
          <t>Blanco</t>
        </is>
      </c>
      <c r="C443" s="3" t="n">
        <v>46053</v>
      </c>
      <c r="D443" s="2" t="inlineStr">
        <is>
          <t>A89085019</t>
        </is>
      </c>
      <c r="E443" s="2" t="inlineStr">
        <is>
          <t>Silicatos Ar…</t>
        </is>
      </c>
      <c r="F443" s="2" t="n">
        <v>1768729</v>
      </c>
      <c r="G443" s="4" t="n">
        <v>941.41</v>
      </c>
      <c r="H443" s="3" t="n">
        <v>46027</v>
      </c>
      <c r="I443" s="3" t="n">
        <v>46065</v>
      </c>
      <c r="J443" s="2" t="n">
        <v>60</v>
      </c>
      <c r="K443" s="2" t="n">
        <v>45.45</v>
      </c>
      <c r="L443" s="2" t="n">
        <v>0.59</v>
      </c>
      <c r="M443" s="4" t="n">
        <v>5.55</v>
      </c>
      <c r="N443" s="4" t="n">
        <v>71.31</v>
      </c>
      <c r="O443" s="2" t="n">
        <v>70</v>
      </c>
      <c r="P443" s="4" t="n">
        <v>3.84</v>
      </c>
      <c r="Q443" s="4" t="n">
        <v>49.67</v>
      </c>
      <c r="R443" s="4">
        <f>G443*(L443/100)*(O443/100)</f>
        <v/>
      </c>
      <c r="S443" s="4">
        <f>G443*(K443/360/100)*J443*(O443/100)</f>
        <v/>
      </c>
      <c r="T443" s="4">
        <f>P443-R443+Q443-S443</f>
        <v/>
      </c>
    </row>
    <row r="444">
      <c r="A444" s="2" t="inlineStr">
        <is>
          <t>Oro</t>
        </is>
      </c>
      <c r="B444" s="2" t="inlineStr">
        <is>
          <t>Blanco</t>
        </is>
      </c>
      <c r="C444" s="3" t="n">
        <v>46053</v>
      </c>
      <c r="D444" s="2" t="inlineStr">
        <is>
          <t>A42022168</t>
        </is>
      </c>
      <c r="E444" s="2" t="inlineStr">
        <is>
          <t>Etiquetas A…</t>
        </is>
      </c>
      <c r="F444" s="2" t="n">
        <v>4754202</v>
      </c>
      <c r="G444" s="4" t="n">
        <v>568.86</v>
      </c>
      <c r="H444" s="3" t="n">
        <v>46036</v>
      </c>
      <c r="I444" s="3" t="n">
        <v>46132</v>
      </c>
      <c r="J444" s="2" t="n">
        <v>34</v>
      </c>
      <c r="K444" s="2" t="n">
        <v>25.22</v>
      </c>
      <c r="L444" s="2" t="n">
        <v>2</v>
      </c>
      <c r="M444" s="4" t="n">
        <v>11.38</v>
      </c>
      <c r="N444" s="4" t="n">
        <v>13.55</v>
      </c>
      <c r="O444" s="2" t="n">
        <v>30</v>
      </c>
      <c r="P444" s="4" t="n">
        <v>3.25</v>
      </c>
      <c r="Q444" s="4" t="n">
        <v>4.36</v>
      </c>
      <c r="R444" s="4">
        <f>G444*(L444/100)*(O444/100)</f>
        <v/>
      </c>
      <c r="S444" s="4">
        <f>G444*(K444/360/100)*J444*(O444/100)</f>
        <v/>
      </c>
      <c r="T444" s="4">
        <f>P444-R444+Q444-S444</f>
        <v/>
      </c>
    </row>
    <row r="445">
      <c r="A445" s="2" t="inlineStr">
        <is>
          <t>Oro</t>
        </is>
      </c>
      <c r="B445" s="2" t="inlineStr">
        <is>
          <t>Blanco</t>
        </is>
      </c>
      <c r="C445" s="3" t="n">
        <v>46053</v>
      </c>
      <c r="D445" s="2" t="inlineStr">
        <is>
          <t>A54080045</t>
        </is>
      </c>
      <c r="E445" s="2" t="inlineStr">
        <is>
          <t>Vigas Antib…</t>
        </is>
      </c>
      <c r="F445" s="2" t="n">
        <v>1633363</v>
      </c>
      <c r="G445" s="4" t="n">
        <v>9692.629999999999</v>
      </c>
      <c r="H445" s="3" t="n">
        <v>46031</v>
      </c>
      <c r="I445" s="3" t="n">
        <v>46194</v>
      </c>
      <c r="J445" s="2" t="n">
        <v>35</v>
      </c>
      <c r="K445" s="2" t="n">
        <v>16.84</v>
      </c>
      <c r="L445" s="2" t="n">
        <v>2.6</v>
      </c>
      <c r="M445" s="4" t="n">
        <v>252.01</v>
      </c>
      <c r="N445" s="4" t="n">
        <v>158.69</v>
      </c>
      <c r="O445" s="2" t="n">
        <v>50</v>
      </c>
      <c r="P445" s="4" t="n">
        <v>125.77</v>
      </c>
      <c r="Q445" s="4" t="n">
        <v>79.05</v>
      </c>
      <c r="R445" s="4">
        <f>G445*(L445/100)*(O445/100)</f>
        <v/>
      </c>
      <c r="S445" s="4">
        <f>G445*(K445/360/100)*J445*(O445/100)</f>
        <v/>
      </c>
      <c r="T445" s="4">
        <f>P445-R445+Q445-S445</f>
        <v/>
      </c>
    </row>
    <row r="446">
      <c r="A446" s="2" t="inlineStr">
        <is>
          <t>Oro</t>
        </is>
      </c>
      <c r="B446" s="2" t="inlineStr">
        <is>
          <t>Blanco</t>
        </is>
      </c>
      <c r="C446" s="3" t="n">
        <v>46053</v>
      </c>
      <c r="D446" s="2" t="inlineStr">
        <is>
          <t>A11123351</t>
        </is>
      </c>
      <c r="E446" s="2" t="inlineStr">
        <is>
          <t>Harinas Ce…</t>
        </is>
      </c>
      <c r="F446" s="2" t="n">
        <v>3428463</v>
      </c>
      <c r="G446" s="4" t="n">
        <v>8464.58</v>
      </c>
      <c r="H446" s="3" t="n">
        <v>46042</v>
      </c>
      <c r="I446" s="3" t="n">
        <v>46118</v>
      </c>
      <c r="J446" s="2" t="n">
        <v>66</v>
      </c>
      <c r="K446" s="2" t="n">
        <v>21.07</v>
      </c>
      <c r="L446" s="2" t="n">
        <v>1.06</v>
      </c>
      <c r="M446" s="4" t="n">
        <v>89.72</v>
      </c>
      <c r="N446" s="4" t="n">
        <v>326.97</v>
      </c>
      <c r="O446" s="2" t="n">
        <v>30</v>
      </c>
      <c r="P446" s="4" t="n">
        <v>26.8</v>
      </c>
      <c r="Q446" s="4" t="n">
        <v>98.31999999999999</v>
      </c>
      <c r="R446" s="4">
        <f>G446*(L446/100)*(O446/100)</f>
        <v/>
      </c>
      <c r="S446" s="4">
        <f>G446*(K446/360/100)*J446*(O446/100)</f>
        <v/>
      </c>
      <c r="T446" s="4">
        <f>P446-R446+Q446-S446</f>
        <v/>
      </c>
    </row>
    <row r="447">
      <c r="A447" s="2" t="inlineStr">
        <is>
          <t>Oro</t>
        </is>
      </c>
      <c r="B447" s="2" t="inlineStr">
        <is>
          <t>Blanco</t>
        </is>
      </c>
      <c r="C447" s="3" t="n">
        <v>46053</v>
      </c>
      <c r="D447" s="2" t="inlineStr">
        <is>
          <t>A12729333</t>
        </is>
      </c>
      <c r="E447" s="2" t="inlineStr">
        <is>
          <t>Cementos…</t>
        </is>
      </c>
      <c r="F447" s="2" t="n">
        <v>1901792</v>
      </c>
      <c r="G447" s="4" t="n">
        <v>225.15</v>
      </c>
      <c r="H447" s="3" t="n">
        <v>46042</v>
      </c>
      <c r="I447" s="3" t="n">
        <v>46107</v>
      </c>
      <c r="J447" s="2" t="n">
        <v>18</v>
      </c>
      <c r="K447" s="2" t="n">
        <v>44.2</v>
      </c>
      <c r="L447" s="2" t="n">
        <v>1.94</v>
      </c>
      <c r="M447" s="4" t="n">
        <v>4.37</v>
      </c>
      <c r="N447" s="4" t="n">
        <v>4.98</v>
      </c>
      <c r="O447" s="2" t="n">
        <v>20</v>
      </c>
      <c r="P447" s="4" t="n">
        <v>0.8</v>
      </c>
      <c r="Q447" s="4" t="n">
        <v>1.06</v>
      </c>
      <c r="R447" s="4">
        <f>G447*(L447/100)*(O447/100)</f>
        <v/>
      </c>
      <c r="S447" s="4">
        <f>G447*(K447/360/100)*J447*(O447/100)</f>
        <v/>
      </c>
      <c r="T447" s="4">
        <f>P447-R447+Q447-S447</f>
        <v/>
      </c>
    </row>
    <row r="448">
      <c r="A448" s="2" t="inlineStr">
        <is>
          <t>Oro</t>
        </is>
      </c>
      <c r="B448" s="2" t="inlineStr">
        <is>
          <t>Blanco</t>
        </is>
      </c>
      <c r="C448" s="3" t="n">
        <v>46053</v>
      </c>
      <c r="D448" s="2" t="inlineStr">
        <is>
          <t>B01119043</t>
        </is>
      </c>
      <c r="E448" s="2" t="inlineStr">
        <is>
          <t>Filamentos…</t>
        </is>
      </c>
      <c r="F448" s="2" t="n">
        <v>1955634</v>
      </c>
      <c r="G448" s="4" t="n">
        <v>347.15</v>
      </c>
      <c r="H448" s="3" t="n">
        <v>46031</v>
      </c>
      <c r="I448" s="3" t="n">
        <v>46135</v>
      </c>
      <c r="J448" s="2" t="n">
        <v>14</v>
      </c>
      <c r="K448" s="2" t="n">
        <v>38.09</v>
      </c>
      <c r="L448" s="2" t="n">
        <v>2.99</v>
      </c>
      <c r="M448" s="4" t="n">
        <v>10.38</v>
      </c>
      <c r="N448" s="4" t="n">
        <v>5.14</v>
      </c>
      <c r="O448" s="2" t="n">
        <v>70</v>
      </c>
      <c r="P448" s="4" t="n">
        <v>7.49</v>
      </c>
      <c r="Q448" s="4" t="n">
        <v>3.51</v>
      </c>
      <c r="R448" s="4">
        <f>G448*(L448/100)*(O448/100)</f>
        <v/>
      </c>
      <c r="S448" s="4">
        <f>G448*(K448/360/100)*J448*(O448/100)</f>
        <v/>
      </c>
      <c r="T448" s="4">
        <f>P448-R448+Q448-S448</f>
        <v/>
      </c>
    </row>
    <row r="449">
      <c r="A449" s="2" t="inlineStr">
        <is>
          <t>Oro</t>
        </is>
      </c>
      <c r="B449" s="2" t="inlineStr">
        <is>
          <t>Blanco</t>
        </is>
      </c>
      <c r="C449" s="3" t="n">
        <v>46053</v>
      </c>
      <c r="D449" s="2" t="inlineStr">
        <is>
          <t>A00142489</t>
        </is>
      </c>
      <c r="E449" s="2" t="inlineStr">
        <is>
          <t>Colas Mon…</t>
        </is>
      </c>
      <c r="F449" s="2" t="n">
        <v>2819585</v>
      </c>
      <c r="G449" s="4" t="n">
        <v>137.99</v>
      </c>
      <c r="H449" s="3" t="n">
        <v>46036</v>
      </c>
      <c r="I449" s="3" t="n">
        <v>46056</v>
      </c>
      <c r="J449" s="2" t="n">
        <v>26</v>
      </c>
      <c r="K449" s="2" t="n">
        <v>36.04</v>
      </c>
      <c r="L449" s="2" t="n">
        <v>0.9399999999999999</v>
      </c>
      <c r="M449" s="4" t="n">
        <v>1.3</v>
      </c>
      <c r="N449" s="4" t="n">
        <v>3.59</v>
      </c>
      <c r="O449" s="2" t="n">
        <v>40</v>
      </c>
      <c r="P449" s="4" t="n">
        <v>0.39</v>
      </c>
      <c r="Q449" s="4" t="n">
        <v>1.47</v>
      </c>
      <c r="R449" s="4">
        <f>G449*(L449/100)*(O449/100)</f>
        <v/>
      </c>
      <c r="S449" s="4">
        <f>G449*(K449/360/100)*J449*(O449/100)</f>
        <v/>
      </c>
      <c r="T449" s="4">
        <f>P449-R449+Q449-S449</f>
        <v/>
      </c>
    </row>
    <row r="450">
      <c r="A450" s="2" t="inlineStr">
        <is>
          <t>Oro</t>
        </is>
      </c>
      <c r="B450" s="2" t="inlineStr">
        <is>
          <t>Blanco</t>
        </is>
      </c>
      <c r="C450" s="3" t="n">
        <v>46053</v>
      </c>
      <c r="D450" s="2" t="inlineStr">
        <is>
          <t>A55284133</t>
        </is>
      </c>
      <c r="E450" s="2" t="inlineStr">
        <is>
          <t>Disolventes…</t>
        </is>
      </c>
      <c r="F450" s="2" t="n">
        <v>1833739</v>
      </c>
      <c r="G450" s="4" t="n">
        <v>303.04</v>
      </c>
      <c r="H450" s="3" t="n">
        <v>46040</v>
      </c>
      <c r="I450" s="3" t="n">
        <v>46060</v>
      </c>
      <c r="J450" s="2" t="n">
        <v>90</v>
      </c>
      <c r="K450" s="2" t="n">
        <v>28.32</v>
      </c>
      <c r="L450" s="2" t="n">
        <v>1.46</v>
      </c>
      <c r="M450" s="4" t="n">
        <v>4.42</v>
      </c>
      <c r="N450" s="4" t="n">
        <v>21.46</v>
      </c>
      <c r="O450" s="2" t="n">
        <v>30</v>
      </c>
      <c r="P450" s="4" t="n">
        <v>1.62</v>
      </c>
      <c r="Q450" s="4" t="n">
        <v>6.57</v>
      </c>
      <c r="R450" s="4">
        <f>G450*(L450/100)*(O450/100)</f>
        <v/>
      </c>
      <c r="S450" s="4">
        <f>G450*(K450/360/100)*J450*(O450/100)</f>
        <v/>
      </c>
      <c r="T450" s="4">
        <f>P450-R450+Q450-S450</f>
        <v/>
      </c>
    </row>
    <row r="451">
      <c r="A451" s="2" t="inlineStr">
        <is>
          <t>Oro</t>
        </is>
      </c>
      <c r="B451" s="2" t="inlineStr">
        <is>
          <t>Blanco</t>
        </is>
      </c>
      <c r="C451" s="3" t="n">
        <v>46053</v>
      </c>
      <c r="D451" s="2" t="inlineStr">
        <is>
          <t>A06129247</t>
        </is>
      </c>
      <c r="E451" s="2" t="inlineStr">
        <is>
          <t>Tuberías E…</t>
        </is>
      </c>
      <c r="F451" s="2" t="n">
        <v>1051754</v>
      </c>
      <c r="G451" s="4" t="n">
        <v>9437.67</v>
      </c>
      <c r="H451" s="3" t="n">
        <v>46039</v>
      </c>
      <c r="I451" s="3" t="n">
        <v>46098</v>
      </c>
      <c r="J451" s="2" t="n">
        <v>71</v>
      </c>
      <c r="K451" s="2" t="n">
        <v>15.67</v>
      </c>
      <c r="L451" s="2" t="n">
        <v>0.5600000000000001</v>
      </c>
      <c r="M451" s="4" t="n">
        <v>52.85</v>
      </c>
      <c r="N451" s="4" t="n">
        <v>291.67</v>
      </c>
      <c r="O451" s="2" t="n">
        <v>30</v>
      </c>
      <c r="P451" s="4" t="n">
        <v>16</v>
      </c>
      <c r="Q451" s="4" t="n">
        <v>87.34999999999999</v>
      </c>
      <c r="R451" s="4">
        <f>G451*(L451/100)*(O451/100)</f>
        <v/>
      </c>
      <c r="S451" s="4">
        <f>G451*(K451/360/100)*J451*(O451/100)</f>
        <v/>
      </c>
      <c r="T451" s="4">
        <f>P451-R451+Q451-S451</f>
        <v/>
      </c>
    </row>
    <row r="452">
      <c r="A452" s="2" t="inlineStr">
        <is>
          <t>Oro</t>
        </is>
      </c>
      <c r="B452" s="2" t="inlineStr">
        <is>
          <t>Blanco</t>
        </is>
      </c>
      <c r="C452" s="3" t="n">
        <v>46053</v>
      </c>
      <c r="D452" s="2" t="inlineStr">
        <is>
          <t>B29890451</t>
        </is>
      </c>
      <c r="E452" s="2" t="inlineStr">
        <is>
          <t>Normativas…</t>
        </is>
      </c>
      <c r="F452" s="2" t="n">
        <v>4294022</v>
      </c>
      <c r="G452" s="4" t="n">
        <v>856.22</v>
      </c>
      <c r="H452" s="3" t="n">
        <v>46044</v>
      </c>
      <c r="I452" s="3" t="n">
        <v>46188</v>
      </c>
      <c r="J452" s="2" t="n">
        <v>28</v>
      </c>
      <c r="K452" s="2" t="n">
        <v>16.6</v>
      </c>
      <c r="L452" s="2" t="n">
        <v>1.16</v>
      </c>
      <c r="M452" s="4" t="n">
        <v>9.93</v>
      </c>
      <c r="N452" s="4" t="n">
        <v>11.05</v>
      </c>
      <c r="O452" s="2" t="n">
        <v>40</v>
      </c>
      <c r="P452" s="4" t="n">
        <v>4.19</v>
      </c>
      <c r="Q452" s="4" t="n">
        <v>4.27</v>
      </c>
      <c r="R452" s="4">
        <f>G452*(L452/100)*(O452/100)</f>
        <v/>
      </c>
      <c r="S452" s="4">
        <f>G452*(K452/360/100)*J452*(O452/100)</f>
        <v/>
      </c>
      <c r="T452" s="4">
        <f>P452-R452+Q452-S452</f>
        <v/>
      </c>
    </row>
    <row r="453">
      <c r="A453" s="2" t="inlineStr">
        <is>
          <t>Oro</t>
        </is>
      </c>
      <c r="B453" s="2" t="inlineStr">
        <is>
          <t>Blanco</t>
        </is>
      </c>
      <c r="C453" s="3" t="n">
        <v>46053</v>
      </c>
      <c r="D453" s="2" t="inlineStr">
        <is>
          <t>A14295487</t>
        </is>
      </c>
      <c r="E453" s="2" t="inlineStr">
        <is>
          <t>Poliésteres…</t>
        </is>
      </c>
      <c r="F453" s="2" t="n">
        <v>2379939</v>
      </c>
      <c r="G453" s="4" t="n">
        <v>886.35</v>
      </c>
      <c r="H453" s="3" t="n">
        <v>46049</v>
      </c>
      <c r="I453" s="3" t="n">
        <v>46196</v>
      </c>
      <c r="J453" s="2" t="n">
        <v>70</v>
      </c>
      <c r="K453" s="2" t="n">
        <v>19.91</v>
      </c>
      <c r="L453" s="2" t="n">
        <v>1.24</v>
      </c>
      <c r="M453" s="4" t="n">
        <v>10.99</v>
      </c>
      <c r="N453" s="4" t="n">
        <v>34.31</v>
      </c>
      <c r="O453" s="2" t="n">
        <v>50</v>
      </c>
      <c r="P453" s="4" t="n">
        <v>5.35</v>
      </c>
      <c r="Q453" s="4" t="n">
        <v>16.96</v>
      </c>
      <c r="R453" s="4">
        <f>G453*(L453/100)*(O453/100)</f>
        <v/>
      </c>
      <c r="S453" s="4">
        <f>G453*(K453/360/100)*J453*(O453/100)</f>
        <v/>
      </c>
      <c r="T453" s="4">
        <f>P453-R453+Q453-S453</f>
        <v/>
      </c>
    </row>
    <row r="454">
      <c r="A454" s="2" t="inlineStr">
        <is>
          <t>Oro</t>
        </is>
      </c>
      <c r="B454" s="2" t="inlineStr">
        <is>
          <t>Blanco</t>
        </is>
      </c>
      <c r="C454" s="3" t="n">
        <v>46053</v>
      </c>
      <c r="D454" s="2" t="inlineStr">
        <is>
          <t>A20493835</t>
        </is>
      </c>
      <c r="E454" s="2" t="inlineStr">
        <is>
          <t>Controles…</t>
        </is>
      </c>
      <c r="F454" s="2" t="n">
        <v>3576677</v>
      </c>
      <c r="G454" s="4" t="n">
        <v>879.03</v>
      </c>
      <c r="H454" s="3" t="n">
        <v>46034</v>
      </c>
      <c r="I454" s="3" t="n">
        <v>46121</v>
      </c>
      <c r="J454" s="2" t="n">
        <v>42</v>
      </c>
      <c r="K454" s="2" t="n">
        <v>45.82</v>
      </c>
      <c r="L454" s="2" t="n">
        <v>2.98</v>
      </c>
      <c r="M454" s="4" t="n">
        <v>26.2</v>
      </c>
      <c r="N454" s="4" t="n">
        <v>46.99</v>
      </c>
      <c r="O454" s="2" t="n">
        <v>40</v>
      </c>
      <c r="P454" s="4" t="n">
        <v>10.3</v>
      </c>
      <c r="Q454" s="4" t="n">
        <v>18.54</v>
      </c>
      <c r="R454" s="4">
        <f>G454*(L454/100)*(O454/100)</f>
        <v/>
      </c>
      <c r="S454" s="4">
        <f>G454*(K454/360/100)*J454*(O454/100)</f>
        <v/>
      </c>
      <c r="T454" s="4">
        <f>P454-R454+Q454-S454</f>
        <v/>
      </c>
    </row>
    <row r="455">
      <c r="A455" s="2" t="inlineStr">
        <is>
          <t>Oro</t>
        </is>
      </c>
      <c r="B455" s="2" t="inlineStr">
        <is>
          <t>Blanco</t>
        </is>
      </c>
      <c r="C455" s="3" t="n">
        <v>46053</v>
      </c>
      <c r="D455" s="2" t="inlineStr">
        <is>
          <t>A53673252</t>
        </is>
      </c>
      <c r="E455" s="2" t="inlineStr">
        <is>
          <t>Geles Calc…</t>
        </is>
      </c>
      <c r="F455" s="2" t="n">
        <v>3134484</v>
      </c>
      <c r="G455" s="4" t="n">
        <v>8515.67</v>
      </c>
      <c r="H455" s="3" t="n">
        <v>46050</v>
      </c>
      <c r="I455" s="3" t="n">
        <v>46109</v>
      </c>
      <c r="J455" s="2" t="n">
        <v>44</v>
      </c>
      <c r="K455" s="2" t="n">
        <v>40.34</v>
      </c>
      <c r="L455" s="2" t="n">
        <v>1.23</v>
      </c>
      <c r="M455" s="4" t="n">
        <v>104.74</v>
      </c>
      <c r="N455" s="4" t="n">
        <v>419.86</v>
      </c>
      <c r="O455" s="2" t="n">
        <v>60</v>
      </c>
      <c r="P455" s="4" t="n">
        <v>63.06</v>
      </c>
      <c r="Q455" s="4" t="n">
        <v>251.85</v>
      </c>
      <c r="R455" s="4">
        <f>G455*(L455/100)*(O455/100)</f>
        <v/>
      </c>
      <c r="S455" s="4">
        <f>G455*(K455/360/100)*J455*(O455/100)</f>
        <v/>
      </c>
      <c r="T455" s="4">
        <f>P455-R455+Q455-S455</f>
        <v/>
      </c>
    </row>
    <row r="456">
      <c r="A456" s="2" t="inlineStr">
        <is>
          <t>Oro</t>
        </is>
      </c>
      <c r="B456" s="2" t="inlineStr">
        <is>
          <t>Blanco</t>
        </is>
      </c>
      <c r="C456" s="3" t="n">
        <v>46053</v>
      </c>
      <c r="D456" s="2" t="inlineStr">
        <is>
          <t>B48716368</t>
        </is>
      </c>
      <c r="E456" s="2" t="inlineStr">
        <is>
          <t>Papeles Cr…</t>
        </is>
      </c>
      <c r="F456" s="2" t="n">
        <v>1175950</v>
      </c>
      <c r="G456" s="4" t="n">
        <v>790.73</v>
      </c>
      <c r="H456" s="3" t="n">
        <v>46049</v>
      </c>
      <c r="I456" s="3" t="n">
        <v>46065</v>
      </c>
      <c r="J456" s="2" t="n">
        <v>70</v>
      </c>
      <c r="K456" s="2" t="n">
        <v>24.58</v>
      </c>
      <c r="L456" s="2" t="n">
        <v>1.88</v>
      </c>
      <c r="M456" s="4" t="n">
        <v>14.87</v>
      </c>
      <c r="N456" s="4" t="n">
        <v>37.79</v>
      </c>
      <c r="O456" s="2" t="n">
        <v>60</v>
      </c>
      <c r="P456" s="4" t="n">
        <v>9.119999999999999</v>
      </c>
      <c r="Q456" s="4" t="n">
        <v>22.54</v>
      </c>
      <c r="R456" s="4">
        <f>G456*(L456/100)*(O456/100)</f>
        <v/>
      </c>
      <c r="S456" s="4">
        <f>G456*(K456/360/100)*J456*(O456/100)</f>
        <v/>
      </c>
      <c r="T456" s="4">
        <f>P456-R456+Q456-S456</f>
        <v/>
      </c>
    </row>
    <row r="457">
      <c r="A457" s="2" t="inlineStr">
        <is>
          <t>Oro</t>
        </is>
      </c>
      <c r="B457" s="2" t="inlineStr">
        <is>
          <t>Blanco</t>
        </is>
      </c>
      <c r="C457" s="3" t="n">
        <v>46053</v>
      </c>
      <c r="D457" s="2" t="inlineStr">
        <is>
          <t>A83320138</t>
        </is>
      </c>
      <c r="E457" s="2" t="inlineStr">
        <is>
          <t>Cápsulas S…</t>
        </is>
      </c>
      <c r="F457" s="2" t="n">
        <v>2114189</v>
      </c>
      <c r="G457" s="4" t="n">
        <v>908.67</v>
      </c>
      <c r="H457" s="3" t="n">
        <v>46035</v>
      </c>
      <c r="I457" s="3" t="n">
        <v>46056</v>
      </c>
      <c r="J457" s="2" t="n">
        <v>70</v>
      </c>
      <c r="K457" s="2" t="n">
        <v>18.15</v>
      </c>
      <c r="L457" s="2" t="n">
        <v>1.71</v>
      </c>
      <c r="M457" s="4" t="n">
        <v>15.54</v>
      </c>
      <c r="N457" s="4" t="n">
        <v>32.07</v>
      </c>
      <c r="O457" s="2" t="n">
        <v>20</v>
      </c>
      <c r="P457" s="4" t="n">
        <v>3.24</v>
      </c>
      <c r="Q457" s="4" t="n">
        <v>6.33</v>
      </c>
      <c r="R457" s="4">
        <f>G457*(L457/100)*(O457/100)</f>
        <v/>
      </c>
      <c r="S457" s="4">
        <f>G457*(K457/360/100)*J457*(O457/100)</f>
        <v/>
      </c>
      <c r="T457" s="4">
        <f>P457-R457+Q457-S457</f>
        <v/>
      </c>
    </row>
    <row r="458">
      <c r="A458" s="2" t="inlineStr">
        <is>
          <t>Oro</t>
        </is>
      </c>
      <c r="B458" s="2" t="inlineStr">
        <is>
          <t>Blanco</t>
        </is>
      </c>
      <c r="C458" s="3" t="n">
        <v>46053</v>
      </c>
      <c r="D458" s="2" t="inlineStr">
        <is>
          <t>B24639776</t>
        </is>
      </c>
      <c r="E458" s="2" t="inlineStr">
        <is>
          <t>Colas Reci…</t>
        </is>
      </c>
      <c r="F458" s="2" t="n">
        <v>2127950</v>
      </c>
      <c r="G458" s="4" t="n">
        <v>666.85</v>
      </c>
      <c r="H458" s="3" t="n">
        <v>46038</v>
      </c>
      <c r="I458" s="3" t="n">
        <v>46136</v>
      </c>
      <c r="J458" s="2" t="n">
        <v>26</v>
      </c>
      <c r="K458" s="2" t="n">
        <v>20.32</v>
      </c>
      <c r="L458" s="2" t="n">
        <v>2.99</v>
      </c>
      <c r="M458" s="4" t="n">
        <v>19.94</v>
      </c>
      <c r="N458" s="4" t="n">
        <v>9.789999999999999</v>
      </c>
      <c r="O458" s="2" t="n">
        <v>50</v>
      </c>
      <c r="P458" s="4" t="n">
        <v>10.11</v>
      </c>
      <c r="Q458" s="4" t="n">
        <v>4.76</v>
      </c>
      <c r="R458" s="4">
        <f>G458*(L458/100)*(O458/100)</f>
        <v/>
      </c>
      <c r="S458" s="4">
        <f>G458*(K458/360/100)*J458*(O458/100)</f>
        <v/>
      </c>
      <c r="T458" s="4">
        <f>P458-R458+Q458-S458</f>
        <v/>
      </c>
    </row>
    <row r="459">
      <c r="A459" s="2" t="inlineStr">
        <is>
          <t>Oro</t>
        </is>
      </c>
      <c r="B459" s="2" t="inlineStr">
        <is>
          <t>Blanco</t>
        </is>
      </c>
      <c r="C459" s="3" t="n">
        <v>46053</v>
      </c>
      <c r="D459" s="2" t="inlineStr">
        <is>
          <t>A76453834</t>
        </is>
      </c>
      <c r="E459" s="2" t="inlineStr">
        <is>
          <t>Vellones S…</t>
        </is>
      </c>
      <c r="F459" s="2" t="n">
        <v>4271404</v>
      </c>
      <c r="G459" s="4" t="n">
        <v>458.18</v>
      </c>
      <c r="H459" s="3" t="n">
        <v>46041</v>
      </c>
      <c r="I459" s="3" t="n">
        <v>46068</v>
      </c>
      <c r="J459" s="2" t="n">
        <v>32</v>
      </c>
      <c r="K459" s="2" t="n">
        <v>44.66</v>
      </c>
      <c r="L459" s="2" t="n">
        <v>2.61</v>
      </c>
      <c r="M459" s="4" t="n">
        <v>11.96</v>
      </c>
      <c r="N459" s="4" t="n">
        <v>18.19</v>
      </c>
      <c r="O459" s="2" t="n">
        <v>60</v>
      </c>
      <c r="P459" s="4" t="n">
        <v>6.88</v>
      </c>
      <c r="Q459" s="4" t="n">
        <v>10.75</v>
      </c>
      <c r="R459" s="4">
        <f>G459*(L459/100)*(O459/100)</f>
        <v/>
      </c>
      <c r="S459" s="4">
        <f>G459*(K459/360/100)*J459*(O459/100)</f>
        <v/>
      </c>
      <c r="T459" s="4">
        <f>P459-R459+Q459-S459</f>
        <v/>
      </c>
    </row>
    <row r="460">
      <c r="A460" s="2" t="inlineStr">
        <is>
          <t>Oro</t>
        </is>
      </c>
      <c r="B460" s="2" t="inlineStr">
        <is>
          <t>Blanco</t>
        </is>
      </c>
      <c r="C460" s="3" t="n">
        <v>46053</v>
      </c>
      <c r="D460" s="2" t="inlineStr">
        <is>
          <t>B20491298</t>
        </is>
      </c>
      <c r="E460" s="2" t="inlineStr">
        <is>
          <t>Perfiles Ibé…</t>
        </is>
      </c>
      <c r="F460" s="2" t="n">
        <v>1101297</v>
      </c>
      <c r="G460" s="4" t="n">
        <v>884.15</v>
      </c>
      <c r="H460" s="3" t="n">
        <v>46042</v>
      </c>
      <c r="I460" s="3" t="n">
        <v>46054</v>
      </c>
      <c r="J460" s="2" t="n">
        <v>50</v>
      </c>
      <c r="K460" s="2" t="n">
        <v>39.64</v>
      </c>
      <c r="L460" s="2" t="n">
        <v>2.53</v>
      </c>
      <c r="M460" s="4" t="n">
        <v>22.37</v>
      </c>
      <c r="N460" s="4" t="n">
        <v>48.68</v>
      </c>
      <c r="O460" s="2" t="n">
        <v>40</v>
      </c>
      <c r="P460" s="4" t="n">
        <v>8.93</v>
      </c>
      <c r="Q460" s="4" t="n">
        <v>19.36</v>
      </c>
      <c r="R460" s="4">
        <f>G460*(L460/100)*(O460/100)</f>
        <v/>
      </c>
      <c r="S460" s="4">
        <f>G460*(K460/360/100)*J460*(O460/100)</f>
        <v/>
      </c>
      <c r="T460" s="4">
        <f>P460-R460+Q460-S460</f>
        <v/>
      </c>
    </row>
    <row r="461">
      <c r="A461" s="2" t="inlineStr">
        <is>
          <t>Oro</t>
        </is>
      </c>
      <c r="B461" s="2" t="inlineStr">
        <is>
          <t>Blanco</t>
        </is>
      </c>
      <c r="C461" s="3" t="n">
        <v>46053</v>
      </c>
      <c r="D461" s="2" t="inlineStr">
        <is>
          <t>A94663659</t>
        </is>
      </c>
      <c r="E461" s="2" t="inlineStr">
        <is>
          <t>Adoquines…</t>
        </is>
      </c>
      <c r="F461" s="2" t="n">
        <v>2384376</v>
      </c>
      <c r="G461" s="4" t="n">
        <v>751.22</v>
      </c>
      <c r="H461" s="3" t="n">
        <v>46040</v>
      </c>
      <c r="I461" s="3" t="n">
        <v>46162</v>
      </c>
      <c r="J461" s="2" t="n">
        <v>63</v>
      </c>
      <c r="K461" s="2" t="n">
        <v>12.45</v>
      </c>
      <c r="L461" s="2" t="n">
        <v>0.8</v>
      </c>
      <c r="M461" s="4" t="n">
        <v>6.01</v>
      </c>
      <c r="N461" s="4" t="n">
        <v>16.37</v>
      </c>
      <c r="O461" s="2" t="n">
        <v>70</v>
      </c>
      <c r="P461" s="4" t="n">
        <v>4.05</v>
      </c>
      <c r="Q461" s="4" t="n">
        <v>11.41</v>
      </c>
      <c r="R461" s="4">
        <f>G461*(L461/100)*(O461/100)</f>
        <v/>
      </c>
      <c r="S461" s="4">
        <f>G461*(K461/360/100)*J461*(O461/100)</f>
        <v/>
      </c>
      <c r="T461" s="4">
        <f>P461-R461+Q461-S461</f>
        <v/>
      </c>
    </row>
    <row r="462">
      <c r="A462" s="2" t="inlineStr">
        <is>
          <t>Oro</t>
        </is>
      </c>
      <c r="B462" s="2" t="inlineStr">
        <is>
          <t>Blanco</t>
        </is>
      </c>
      <c r="C462" s="3" t="n">
        <v>46053</v>
      </c>
      <c r="D462" s="2" t="inlineStr">
        <is>
          <t>B34437896</t>
        </is>
      </c>
      <c r="E462" s="2" t="inlineStr">
        <is>
          <t>Volquetes…</t>
        </is>
      </c>
      <c r="F462" s="2" t="n">
        <v>4992853</v>
      </c>
      <c r="G462" s="4" t="n">
        <v>689.87</v>
      </c>
      <c r="H462" s="3" t="n">
        <v>46025</v>
      </c>
      <c r="I462" s="3" t="n">
        <v>46091</v>
      </c>
      <c r="J462" s="2" t="n">
        <v>57</v>
      </c>
      <c r="K462" s="2" t="n">
        <v>38.18</v>
      </c>
      <c r="L462" s="2" t="n">
        <v>1.68</v>
      </c>
      <c r="M462" s="4" t="n">
        <v>11.59</v>
      </c>
      <c r="N462" s="4" t="n">
        <v>41.7</v>
      </c>
      <c r="O462" s="2" t="n">
        <v>30</v>
      </c>
      <c r="P462" s="4" t="n">
        <v>3.72</v>
      </c>
      <c r="Q462" s="4" t="n">
        <v>12.74</v>
      </c>
      <c r="R462" s="4">
        <f>G462*(L462/100)*(O462/100)</f>
        <v/>
      </c>
      <c r="S462" s="4">
        <f>G462*(K462/360/100)*J462*(O462/100)</f>
        <v/>
      </c>
      <c r="T462" s="4">
        <f>P462-R462+Q462-S462</f>
        <v/>
      </c>
    </row>
    <row r="463">
      <c r="A463" s="2" t="inlineStr">
        <is>
          <t>Oro</t>
        </is>
      </c>
      <c r="B463" s="2" t="inlineStr">
        <is>
          <t>Blanco</t>
        </is>
      </c>
      <c r="C463" s="3" t="n">
        <v>46053</v>
      </c>
      <c r="D463" s="2" t="inlineStr">
        <is>
          <t>A85619710</t>
        </is>
      </c>
      <c r="E463" s="2" t="inlineStr">
        <is>
          <t>Volquetes…</t>
        </is>
      </c>
      <c r="F463" s="2" t="n">
        <v>3821398</v>
      </c>
      <c r="G463" s="4" t="n">
        <v>1652.84</v>
      </c>
      <c r="H463" s="3" t="n">
        <v>46046</v>
      </c>
      <c r="I463" s="3" t="n">
        <v>46201</v>
      </c>
      <c r="J463" s="2" t="n">
        <v>72</v>
      </c>
      <c r="K463" s="2" t="n">
        <v>45.83</v>
      </c>
      <c r="L463" s="2" t="n">
        <v>2.05</v>
      </c>
      <c r="M463" s="4" t="n">
        <v>33.88</v>
      </c>
      <c r="N463" s="4" t="n">
        <v>151.5</v>
      </c>
      <c r="O463" s="2" t="n">
        <v>50</v>
      </c>
      <c r="P463" s="4" t="n">
        <v>17.09</v>
      </c>
      <c r="Q463" s="4" t="n">
        <v>75.61</v>
      </c>
      <c r="R463" s="4">
        <f>G463*(L463/100)*(O463/100)</f>
        <v/>
      </c>
      <c r="S463" s="4">
        <f>G463*(K463/360/100)*J463*(O463/100)</f>
        <v/>
      </c>
      <c r="T463" s="4">
        <f>P463-R463+Q463-S463</f>
        <v/>
      </c>
    </row>
    <row r="464">
      <c r="A464" s="2" t="inlineStr">
        <is>
          <t>Oro</t>
        </is>
      </c>
      <c r="B464" s="2" t="inlineStr">
        <is>
          <t>Blanco</t>
        </is>
      </c>
      <c r="C464" s="3" t="n">
        <v>46053</v>
      </c>
      <c r="D464" s="2" t="inlineStr">
        <is>
          <t>B53134368</t>
        </is>
      </c>
      <c r="E464" s="2" t="inlineStr">
        <is>
          <t>Cárnicos S…</t>
        </is>
      </c>
      <c r="F464" s="2" t="n">
        <v>2149047</v>
      </c>
      <c r="G464" s="4" t="n">
        <v>432.19</v>
      </c>
      <c r="H464" s="3" t="n">
        <v>46033</v>
      </c>
      <c r="I464" s="3" t="n">
        <v>46126</v>
      </c>
      <c r="J464" s="2" t="n">
        <v>43</v>
      </c>
      <c r="K464" s="2" t="n">
        <v>39.07</v>
      </c>
      <c r="L464" s="2" t="n">
        <v>0.88</v>
      </c>
      <c r="M464" s="4" t="n">
        <v>3.8</v>
      </c>
      <c r="N464" s="4" t="n">
        <v>20.17</v>
      </c>
      <c r="O464" s="2" t="n">
        <v>70</v>
      </c>
      <c r="P464" s="4" t="n">
        <v>2.75</v>
      </c>
      <c r="Q464" s="4" t="n">
        <v>14.08</v>
      </c>
      <c r="R464" s="4">
        <f>G464*(L464/100)*(O464/100)</f>
        <v/>
      </c>
      <c r="S464" s="4">
        <f>G464*(K464/360/100)*J464*(O464/100)</f>
        <v/>
      </c>
      <c r="T464" s="4">
        <f>P464-R464+Q464-S464</f>
        <v/>
      </c>
    </row>
    <row r="465">
      <c r="A465" s="2" t="inlineStr">
        <is>
          <t>Oro</t>
        </is>
      </c>
      <c r="B465" s="2" t="inlineStr">
        <is>
          <t>Blanco</t>
        </is>
      </c>
      <c r="C465" s="3" t="n">
        <v>46053</v>
      </c>
      <c r="D465" s="2" t="inlineStr">
        <is>
          <t>B64401496</t>
        </is>
      </c>
      <c r="E465" s="2" t="inlineStr">
        <is>
          <t>Microchips…</t>
        </is>
      </c>
      <c r="F465" s="2" t="n">
        <v>3846229</v>
      </c>
      <c r="G465" s="4" t="n">
        <v>400.2</v>
      </c>
      <c r="H465" s="3" t="n">
        <v>46034</v>
      </c>
      <c r="I465" s="3" t="n">
        <v>46081</v>
      </c>
      <c r="J465" s="2" t="n">
        <v>83</v>
      </c>
      <c r="K465" s="2" t="n">
        <v>28.33</v>
      </c>
      <c r="L465" s="2" t="n">
        <v>2.02</v>
      </c>
      <c r="M465" s="4" t="n">
        <v>8.08</v>
      </c>
      <c r="N465" s="4" t="n">
        <v>26.14</v>
      </c>
      <c r="O465" s="2" t="n">
        <v>60</v>
      </c>
      <c r="P465" s="4" t="n">
        <v>4.81</v>
      </c>
      <c r="Q465" s="4" t="n">
        <v>15.66</v>
      </c>
      <c r="R465" s="4">
        <f>G465*(L465/100)*(O465/100)</f>
        <v/>
      </c>
      <c r="S465" s="4">
        <f>G465*(K465/360/100)*J465*(O465/100)</f>
        <v/>
      </c>
      <c r="T465" s="4">
        <f>P465-R465+Q465-S465</f>
        <v/>
      </c>
    </row>
    <row r="466">
      <c r="A466" s="2" t="inlineStr">
        <is>
          <t>Oro</t>
        </is>
      </c>
      <c r="B466" s="2" t="inlineStr">
        <is>
          <t>Blanco</t>
        </is>
      </c>
      <c r="C466" s="3" t="n">
        <v>46053</v>
      </c>
      <c r="D466" s="2" t="inlineStr">
        <is>
          <t>A75127506</t>
        </is>
      </c>
      <c r="E466" s="2" t="inlineStr">
        <is>
          <t>Certificacio…</t>
        </is>
      </c>
      <c r="F466" s="2" t="n">
        <v>1395454</v>
      </c>
      <c r="G466" s="4" t="n">
        <v>924.1</v>
      </c>
      <c r="H466" s="3" t="n">
        <v>46031</v>
      </c>
      <c r="I466" s="3" t="n">
        <v>46073</v>
      </c>
      <c r="J466" s="2" t="n">
        <v>80</v>
      </c>
      <c r="K466" s="2" t="n">
        <v>24.16</v>
      </c>
      <c r="L466" s="2" t="n">
        <v>1.58</v>
      </c>
      <c r="M466" s="4" t="n">
        <v>14.6</v>
      </c>
      <c r="N466" s="4" t="n">
        <v>49.61</v>
      </c>
      <c r="O466" s="2" t="n">
        <v>30</v>
      </c>
      <c r="P466" s="4" t="n">
        <v>4.33</v>
      </c>
      <c r="Q466" s="4" t="n">
        <v>15.03</v>
      </c>
      <c r="R466" s="4">
        <f>G466*(L466/100)*(O466/100)</f>
        <v/>
      </c>
      <c r="S466" s="4">
        <f>G466*(K466/360/100)*J466*(O466/100)</f>
        <v/>
      </c>
      <c r="T466" s="4">
        <f>P466-R466+Q466-S466</f>
        <v/>
      </c>
    </row>
    <row r="467">
      <c r="A467" s="2" t="inlineStr">
        <is>
          <t>Oro</t>
        </is>
      </c>
      <c r="B467" s="2" t="inlineStr">
        <is>
          <t>Blanco</t>
        </is>
      </c>
      <c r="C467" s="3" t="n">
        <v>46053</v>
      </c>
      <c r="D467" s="2" t="inlineStr">
        <is>
          <t>B61626010</t>
        </is>
      </c>
      <c r="E467" s="2" t="inlineStr">
        <is>
          <t>Informes D…</t>
        </is>
      </c>
      <c r="F467" s="2" t="n">
        <v>4985652</v>
      </c>
      <c r="G467" s="4" t="n">
        <v>506.53</v>
      </c>
      <c r="H467" s="3" t="n">
        <v>46035</v>
      </c>
      <c r="I467" s="3" t="n">
        <v>46067</v>
      </c>
      <c r="J467" s="2" t="n">
        <v>75</v>
      </c>
      <c r="K467" s="2" t="n">
        <v>37.15</v>
      </c>
      <c r="L467" s="2" t="n">
        <v>2.34</v>
      </c>
      <c r="M467" s="4" t="n">
        <v>11.85</v>
      </c>
      <c r="N467" s="4" t="n">
        <v>39.2</v>
      </c>
      <c r="O467" s="2" t="n">
        <v>60</v>
      </c>
      <c r="P467" s="4" t="n">
        <v>7.3</v>
      </c>
      <c r="Q467" s="4" t="n">
        <v>23.57</v>
      </c>
      <c r="R467" s="4">
        <f>G467*(L467/100)*(O467/100)</f>
        <v/>
      </c>
      <c r="S467" s="4">
        <f>G467*(K467/360/100)*J467*(O467/100)</f>
        <v/>
      </c>
      <c r="T467" s="4">
        <f>P467-R467+Q467-S467</f>
        <v/>
      </c>
    </row>
    <row r="468">
      <c r="A468" s="2" t="inlineStr">
        <is>
          <t>Oro</t>
        </is>
      </c>
      <c r="B468" s="2" t="inlineStr">
        <is>
          <t>Blanco</t>
        </is>
      </c>
      <c r="C468" s="3" t="n">
        <v>46053</v>
      </c>
      <c r="D468" s="2" t="inlineStr">
        <is>
          <t>B11019877</t>
        </is>
      </c>
      <c r="E468" s="2" t="inlineStr">
        <is>
          <t>Redes Estr…</t>
        </is>
      </c>
      <c r="F468" s="2" t="n">
        <v>1760324</v>
      </c>
      <c r="G468" s="4" t="n">
        <v>9477.370000000001</v>
      </c>
      <c r="H468" s="3" t="n">
        <v>46048</v>
      </c>
      <c r="I468" s="3" t="n">
        <v>46120</v>
      </c>
      <c r="J468" s="2" t="n">
        <v>32</v>
      </c>
      <c r="K468" s="2" t="n">
        <v>32.98</v>
      </c>
      <c r="L468" s="2" t="n">
        <v>2.47</v>
      </c>
      <c r="M468" s="4" t="n">
        <v>234.09</v>
      </c>
      <c r="N468" s="4" t="n">
        <v>277.83</v>
      </c>
      <c r="O468" s="2" t="n">
        <v>30</v>
      </c>
      <c r="P468" s="4" t="n">
        <v>70.52</v>
      </c>
      <c r="Q468" s="4" t="n">
        <v>83.23999999999999</v>
      </c>
      <c r="R468" s="4">
        <f>G468*(L468/100)*(O468/100)</f>
        <v/>
      </c>
      <c r="S468" s="4">
        <f>G468*(K468/360/100)*J468*(O468/100)</f>
        <v/>
      </c>
      <c r="T468" s="4">
        <f>P468-R468+Q468-S468</f>
        <v/>
      </c>
    </row>
    <row r="469">
      <c r="A469" s="2" t="inlineStr">
        <is>
          <t>Oro</t>
        </is>
      </c>
      <c r="B469" s="2" t="inlineStr">
        <is>
          <t>Blanco</t>
        </is>
      </c>
      <c r="C469" s="3" t="n">
        <v>46053</v>
      </c>
      <c r="D469" s="2" t="inlineStr">
        <is>
          <t>B30554060</t>
        </is>
      </c>
      <c r="E469" s="2" t="inlineStr">
        <is>
          <t>Hidrógenos…</t>
        </is>
      </c>
      <c r="F469" s="2" t="n">
        <v>4147335</v>
      </c>
      <c r="G469" s="4" t="n">
        <v>390.2</v>
      </c>
      <c r="H469" s="3" t="n">
        <v>46043</v>
      </c>
      <c r="I469" s="3" t="n">
        <v>46078</v>
      </c>
      <c r="J469" s="2" t="n">
        <v>45</v>
      </c>
      <c r="K469" s="2" t="n">
        <v>16.37</v>
      </c>
      <c r="L469" s="2" t="n">
        <v>1.97</v>
      </c>
      <c r="M469" s="4" t="n">
        <v>7.69</v>
      </c>
      <c r="N469" s="4" t="n">
        <v>7.98</v>
      </c>
      <c r="O469" s="2" t="n">
        <v>40</v>
      </c>
      <c r="P469" s="4" t="n">
        <v>2.81</v>
      </c>
      <c r="Q469" s="4" t="n">
        <v>2.98</v>
      </c>
      <c r="R469" s="4">
        <f>G469*(L469/100)*(O469/100)</f>
        <v/>
      </c>
      <c r="S469" s="4">
        <f>G469*(K469/360/100)*J469*(O469/100)</f>
        <v/>
      </c>
      <c r="T469" s="4">
        <f>P469-R469+Q469-S469</f>
        <v/>
      </c>
    </row>
    <row r="470">
      <c r="A470" s="2" t="inlineStr">
        <is>
          <t>Oro</t>
        </is>
      </c>
      <c r="B470" s="2" t="inlineStr">
        <is>
          <t>Blanco</t>
        </is>
      </c>
      <c r="C470" s="3" t="n">
        <v>46053</v>
      </c>
      <c r="D470" s="2" t="inlineStr">
        <is>
          <t>A28958222</t>
        </is>
      </c>
      <c r="E470" s="2" t="inlineStr">
        <is>
          <t>Tinturas Eq…</t>
        </is>
      </c>
      <c r="F470" s="2" t="n">
        <v>1502707</v>
      </c>
      <c r="G470" s="4" t="n">
        <v>238.5</v>
      </c>
      <c r="H470" s="3" t="n">
        <v>46034</v>
      </c>
      <c r="I470" s="3" t="n">
        <v>46229</v>
      </c>
      <c r="J470" s="2" t="n">
        <v>74</v>
      </c>
      <c r="K470" s="2" t="n">
        <v>48.3</v>
      </c>
      <c r="L470" s="2" t="n">
        <v>2.75</v>
      </c>
      <c r="M470" s="4" t="n">
        <v>6.56</v>
      </c>
      <c r="N470" s="4" t="n">
        <v>23.68</v>
      </c>
      <c r="O470" s="2" t="n">
        <v>20</v>
      </c>
      <c r="P470" s="4" t="n">
        <v>1.54</v>
      </c>
      <c r="Q470" s="4" t="n">
        <v>4.69</v>
      </c>
      <c r="R470" s="4">
        <f>G470*(L470/100)*(O470/100)</f>
        <v/>
      </c>
      <c r="S470" s="4">
        <f>G470*(K470/360/100)*J470*(O470/100)</f>
        <v/>
      </c>
      <c r="T470" s="4">
        <f>P470-R470+Q470-S470</f>
        <v/>
      </c>
    </row>
    <row r="471">
      <c r="A471" s="2" t="inlineStr">
        <is>
          <t>Oro</t>
        </is>
      </c>
      <c r="B471" s="2" t="inlineStr">
        <is>
          <t>Blanco</t>
        </is>
      </c>
      <c r="C471" s="3" t="n">
        <v>46053</v>
      </c>
      <c r="D471" s="2" t="inlineStr">
        <is>
          <t>A77546539</t>
        </is>
      </c>
      <c r="E471" s="2" t="inlineStr">
        <is>
          <t>Bombas Eq…</t>
        </is>
      </c>
      <c r="F471" s="2" t="n">
        <v>1541628</v>
      </c>
      <c r="G471" s="4" t="n">
        <v>906.12</v>
      </c>
      <c r="H471" s="3" t="n">
        <v>46023</v>
      </c>
      <c r="I471" s="3" t="n">
        <v>46055</v>
      </c>
      <c r="J471" s="2" t="n">
        <v>49</v>
      </c>
      <c r="K471" s="2" t="n">
        <v>17.41</v>
      </c>
      <c r="L471" s="2" t="n">
        <v>1.86</v>
      </c>
      <c r="M471" s="4" t="n">
        <v>16.85</v>
      </c>
      <c r="N471" s="4" t="n">
        <v>21.47</v>
      </c>
      <c r="O471" s="2" t="n">
        <v>40</v>
      </c>
      <c r="P471" s="4" t="n">
        <v>6.51</v>
      </c>
      <c r="Q471" s="4" t="n">
        <v>8.369999999999999</v>
      </c>
      <c r="R471" s="4">
        <f>G471*(L471/100)*(O471/100)</f>
        <v/>
      </c>
      <c r="S471" s="4">
        <f>G471*(K471/360/100)*J471*(O471/100)</f>
        <v/>
      </c>
      <c r="T471" s="4">
        <f>P471-R471+Q471-S471</f>
        <v/>
      </c>
    </row>
    <row r="472">
      <c r="A472" s="2" t="inlineStr">
        <is>
          <t>Oro</t>
        </is>
      </c>
      <c r="B472" s="2" t="inlineStr">
        <is>
          <t>Blanco</t>
        </is>
      </c>
      <c r="C472" s="3" t="n">
        <v>46053</v>
      </c>
      <c r="D472" s="2" t="inlineStr">
        <is>
          <t>A33610335</t>
        </is>
      </c>
      <c r="E472" s="2" t="inlineStr">
        <is>
          <t>Manipulaci…</t>
        </is>
      </c>
      <c r="F472" s="2" t="n">
        <v>1296725</v>
      </c>
      <c r="G472" s="4" t="n">
        <v>759.65</v>
      </c>
      <c r="H472" s="3" t="n">
        <v>46030</v>
      </c>
      <c r="I472" s="3" t="n">
        <v>46154</v>
      </c>
      <c r="J472" s="2" t="n">
        <v>84</v>
      </c>
      <c r="K472" s="2" t="n">
        <v>28.58</v>
      </c>
      <c r="L472" s="2" t="n">
        <v>1.37</v>
      </c>
      <c r="M472" s="4" t="n">
        <v>10.41</v>
      </c>
      <c r="N472" s="4" t="n">
        <v>50.66</v>
      </c>
      <c r="O472" s="2" t="n">
        <v>70</v>
      </c>
      <c r="P472" s="4" t="n">
        <v>6.99</v>
      </c>
      <c r="Q472" s="4" t="n">
        <v>35.4</v>
      </c>
      <c r="R472" s="4">
        <f>G472*(L472/100)*(O472/100)</f>
        <v/>
      </c>
      <c r="S472" s="4">
        <f>G472*(K472/360/100)*J472*(O472/100)</f>
        <v/>
      </c>
      <c r="T472" s="4">
        <f>P472-R472+Q472-S472</f>
        <v/>
      </c>
    </row>
    <row r="473">
      <c r="A473" s="2" t="inlineStr">
        <is>
          <t>Oro</t>
        </is>
      </c>
      <c r="B473" s="2" t="inlineStr">
        <is>
          <t>Blanco</t>
        </is>
      </c>
      <c r="C473" s="3" t="n">
        <v>46053</v>
      </c>
      <c r="D473" s="2" t="inlineStr">
        <is>
          <t>A91563398</t>
        </is>
      </c>
      <c r="E473" s="2" t="inlineStr">
        <is>
          <t>Relés Cro…</t>
        </is>
      </c>
      <c r="F473" s="2" t="n">
        <v>1565344</v>
      </c>
      <c r="G473" s="4" t="n">
        <v>853.04</v>
      </c>
      <c r="H473" s="3" t="n">
        <v>46038</v>
      </c>
      <c r="I473" s="3" t="n">
        <v>46158</v>
      </c>
      <c r="J473" s="2" t="n">
        <v>57</v>
      </c>
      <c r="K473" s="2" t="n">
        <v>38.47</v>
      </c>
      <c r="L473" s="2" t="n">
        <v>1.53</v>
      </c>
      <c r="M473" s="4" t="n">
        <v>13.05</v>
      </c>
      <c r="N473" s="4" t="n">
        <v>51.96</v>
      </c>
      <c r="O473" s="2" t="n">
        <v>20</v>
      </c>
      <c r="P473" s="4" t="n">
        <v>2.37</v>
      </c>
      <c r="Q473" s="4" t="n">
        <v>10.61</v>
      </c>
      <c r="R473" s="4">
        <f>G473*(L473/100)*(O473/100)</f>
        <v/>
      </c>
      <c r="S473" s="4">
        <f>G473*(K473/360/100)*J473*(O473/100)</f>
        <v/>
      </c>
      <c r="T473" s="4">
        <f>P473-R473+Q473-S473</f>
        <v/>
      </c>
    </row>
    <row r="474">
      <c r="A474" s="2" t="inlineStr">
        <is>
          <t>Oro</t>
        </is>
      </c>
      <c r="B474" s="2" t="inlineStr">
        <is>
          <t>Blanco</t>
        </is>
      </c>
      <c r="C474" s="3" t="n">
        <v>46053</v>
      </c>
      <c r="D474" s="2" t="inlineStr">
        <is>
          <t>B11505994</t>
        </is>
      </c>
      <c r="E474" s="2" t="inlineStr">
        <is>
          <t>Residuos C…</t>
        </is>
      </c>
      <c r="F474" s="2" t="n">
        <v>1428350</v>
      </c>
      <c r="G474" s="4" t="n">
        <v>420.71</v>
      </c>
      <c r="H474" s="3" t="n">
        <v>46041</v>
      </c>
      <c r="I474" s="3" t="n">
        <v>46215</v>
      </c>
      <c r="J474" s="2" t="n">
        <v>14</v>
      </c>
      <c r="K474" s="2" t="n">
        <v>17.82</v>
      </c>
      <c r="L474" s="2" t="n">
        <v>2.57</v>
      </c>
      <c r="M474" s="4" t="n">
        <v>10.81</v>
      </c>
      <c r="N474" s="4" t="n">
        <v>2.92</v>
      </c>
      <c r="O474" s="2" t="n">
        <v>50</v>
      </c>
      <c r="P474" s="4" t="n">
        <v>5.63</v>
      </c>
      <c r="Q474" s="4" t="n">
        <v>1.24</v>
      </c>
      <c r="R474" s="4">
        <f>G474*(L474/100)*(O474/100)</f>
        <v/>
      </c>
      <c r="S474" s="4">
        <f>G474*(K474/360/100)*J474*(O474/100)</f>
        <v/>
      </c>
      <c r="T474" s="4">
        <f>P474-R474+Q474-S474</f>
        <v/>
      </c>
    </row>
    <row r="475">
      <c r="A475" s="2" t="inlineStr">
        <is>
          <t>Oro</t>
        </is>
      </c>
      <c r="B475" s="2" t="inlineStr">
        <is>
          <t>Blanco</t>
        </is>
      </c>
      <c r="C475" s="3" t="n">
        <v>46053</v>
      </c>
      <c r="D475" s="2" t="inlineStr">
        <is>
          <t>A82223757</t>
        </is>
      </c>
      <c r="E475" s="2" t="inlineStr">
        <is>
          <t>Compostaj…</t>
        </is>
      </c>
      <c r="F475" s="2" t="n">
        <v>4079648</v>
      </c>
      <c r="G475" s="4" t="n">
        <v>9275.82</v>
      </c>
      <c r="H475" s="3" t="n">
        <v>46026</v>
      </c>
      <c r="I475" s="3" t="n">
        <v>46067</v>
      </c>
      <c r="J475" s="2" t="n">
        <v>84</v>
      </c>
      <c r="K475" s="2" t="n">
        <v>15.76</v>
      </c>
      <c r="L475" s="2" t="n">
        <v>0.64</v>
      </c>
      <c r="M475" s="4" t="n">
        <v>59.37</v>
      </c>
      <c r="N475" s="4" t="n">
        <v>341.1</v>
      </c>
      <c r="O475" s="2" t="n">
        <v>40</v>
      </c>
      <c r="P475" s="4" t="n">
        <v>23.95</v>
      </c>
      <c r="Q475" s="4" t="n">
        <v>136.51</v>
      </c>
      <c r="R475" s="4">
        <f>G475*(L475/100)*(O475/100)</f>
        <v/>
      </c>
      <c r="S475" s="4">
        <f>G475*(K475/360/100)*J475*(O475/100)</f>
        <v/>
      </c>
      <c r="T475" s="4">
        <f>P475-R475+Q475-S475</f>
        <v/>
      </c>
    </row>
    <row r="476">
      <c r="A476" s="2" t="inlineStr">
        <is>
          <t>Oro</t>
        </is>
      </c>
      <c r="B476" s="2" t="inlineStr">
        <is>
          <t>Blanco</t>
        </is>
      </c>
      <c r="C476" s="3" t="n">
        <v>46053</v>
      </c>
      <c r="D476" s="2" t="inlineStr">
        <is>
          <t>B81360692</t>
        </is>
      </c>
      <c r="E476" s="2" t="inlineStr">
        <is>
          <t>Registros C…</t>
        </is>
      </c>
      <c r="F476" s="2" t="n">
        <v>4660095</v>
      </c>
      <c r="G476" s="4" t="n">
        <v>724.09</v>
      </c>
      <c r="H476" s="3" t="n">
        <v>46048</v>
      </c>
      <c r="I476" s="3" t="n">
        <v>46145</v>
      </c>
      <c r="J476" s="2" t="n">
        <v>19</v>
      </c>
      <c r="K476" s="2" t="n">
        <v>39.38</v>
      </c>
      <c r="L476" s="2" t="n">
        <v>2.48</v>
      </c>
      <c r="M476" s="4" t="n">
        <v>17.96</v>
      </c>
      <c r="N476" s="4" t="n">
        <v>15.05</v>
      </c>
      <c r="O476" s="2" t="n">
        <v>60</v>
      </c>
      <c r="P476" s="4" t="n">
        <v>10.76</v>
      </c>
      <c r="Q476" s="4" t="n">
        <v>8.98</v>
      </c>
      <c r="R476" s="4">
        <f>G476*(L476/100)*(O476/100)</f>
        <v/>
      </c>
      <c r="S476" s="4">
        <f>G476*(K476/360/100)*J476*(O476/100)</f>
        <v/>
      </c>
      <c r="T476" s="4">
        <f>P476-R476+Q476-S476</f>
        <v/>
      </c>
    </row>
    <row r="477">
      <c r="A477" s="2" t="inlineStr">
        <is>
          <t>Oro</t>
        </is>
      </c>
      <c r="B477" s="2" t="inlineStr">
        <is>
          <t>Blanco</t>
        </is>
      </c>
      <c r="C477" s="3" t="n">
        <v>46053</v>
      </c>
      <c r="D477" s="2" t="inlineStr">
        <is>
          <t>A38996666</t>
        </is>
      </c>
      <c r="E477" s="2" t="inlineStr">
        <is>
          <t>Residuos P…</t>
        </is>
      </c>
      <c r="F477" s="2" t="n">
        <v>3448363</v>
      </c>
      <c r="G477" s="4" t="n">
        <v>957.28</v>
      </c>
      <c r="H477" s="3" t="n">
        <v>46038</v>
      </c>
      <c r="I477" s="3" t="n">
        <v>46162</v>
      </c>
      <c r="J477" s="2" t="n">
        <v>34</v>
      </c>
      <c r="K477" s="2" t="n">
        <v>29.44</v>
      </c>
      <c r="L477" s="2" t="n">
        <v>2.69</v>
      </c>
      <c r="M477" s="4" t="n">
        <v>25.75</v>
      </c>
      <c r="N477" s="4" t="n">
        <v>26.62</v>
      </c>
      <c r="O477" s="2" t="n">
        <v>30</v>
      </c>
      <c r="P477" s="4" t="n">
        <v>7.84</v>
      </c>
      <c r="Q477" s="4" t="n">
        <v>8.25</v>
      </c>
      <c r="R477" s="4">
        <f>G477*(L477/100)*(O477/100)</f>
        <v/>
      </c>
      <c r="S477" s="4">
        <f>G477*(K477/360/100)*J477*(O477/100)</f>
        <v/>
      </c>
      <c r="T477" s="4">
        <f>P477-R477+Q477-S477</f>
        <v/>
      </c>
    </row>
    <row r="478">
      <c r="A478" s="2" t="inlineStr">
        <is>
          <t>Oro</t>
        </is>
      </c>
      <c r="B478" s="2" t="inlineStr">
        <is>
          <t>Blanco</t>
        </is>
      </c>
      <c r="C478" s="3" t="n">
        <v>46053</v>
      </c>
      <c r="D478" s="2" t="inlineStr">
        <is>
          <t>B84562652</t>
        </is>
      </c>
      <c r="E478" s="2" t="inlineStr">
        <is>
          <t>Telas Mold…</t>
        </is>
      </c>
      <c r="F478" s="2" t="n">
        <v>1004722</v>
      </c>
      <c r="G478" s="4" t="n">
        <v>889.6799999999999</v>
      </c>
      <c r="H478" s="3" t="n">
        <v>46044</v>
      </c>
      <c r="I478" s="3" t="n">
        <v>46086</v>
      </c>
      <c r="J478" s="2" t="n">
        <v>70</v>
      </c>
      <c r="K478" s="2" t="n">
        <v>17.61</v>
      </c>
      <c r="L478" s="2" t="n">
        <v>2.87</v>
      </c>
      <c r="M478" s="4" t="n">
        <v>25.53</v>
      </c>
      <c r="N478" s="4" t="n">
        <v>30.46</v>
      </c>
      <c r="O478" s="2" t="n">
        <v>40</v>
      </c>
      <c r="P478" s="4" t="n">
        <v>10.4</v>
      </c>
      <c r="Q478" s="4" t="n">
        <v>12.11</v>
      </c>
      <c r="R478" s="4">
        <f>G478*(L478/100)*(O478/100)</f>
        <v/>
      </c>
      <c r="S478" s="4">
        <f>G478*(K478/360/100)*J478*(O478/100)</f>
        <v/>
      </c>
      <c r="T478" s="4">
        <f>P478-R478+Q478-S478</f>
        <v/>
      </c>
    </row>
    <row r="479">
      <c r="A479" s="2" t="inlineStr">
        <is>
          <t>Oro</t>
        </is>
      </c>
      <c r="B479" s="2" t="inlineStr">
        <is>
          <t>Blanco</t>
        </is>
      </c>
      <c r="C479" s="3" t="n">
        <v>46053</v>
      </c>
      <c r="D479" s="2" t="inlineStr">
        <is>
          <t>B73998366</t>
        </is>
      </c>
      <c r="E479" s="2" t="inlineStr">
        <is>
          <t>Plásticos E…</t>
        </is>
      </c>
      <c r="F479" s="2" t="n">
        <v>2796908</v>
      </c>
      <c r="G479" s="4" t="n">
        <v>158.04</v>
      </c>
      <c r="H479" s="3" t="n">
        <v>46041</v>
      </c>
      <c r="I479" s="3" t="n">
        <v>46126</v>
      </c>
      <c r="J479" s="2" t="n">
        <v>12</v>
      </c>
      <c r="K479" s="2" t="n">
        <v>46.07</v>
      </c>
      <c r="L479" s="2" t="n">
        <v>0.67</v>
      </c>
      <c r="M479" s="4" t="n">
        <v>1.06</v>
      </c>
      <c r="N479" s="4" t="n">
        <v>2.43</v>
      </c>
      <c r="O479" s="2" t="n">
        <v>40</v>
      </c>
      <c r="P479" s="4" t="n">
        <v>0.33</v>
      </c>
      <c r="Q479" s="4" t="n">
        <v>1.12</v>
      </c>
      <c r="R479" s="4">
        <f>G479*(L479/100)*(O479/100)</f>
        <v/>
      </c>
      <c r="S479" s="4">
        <f>G479*(K479/360/100)*J479*(O479/100)</f>
        <v/>
      </c>
      <c r="T479" s="4">
        <f>P479-R479+Q479-S479</f>
        <v/>
      </c>
    </row>
    <row r="480">
      <c r="A480" s="2" t="inlineStr">
        <is>
          <t>Oro</t>
        </is>
      </c>
      <c r="B480" s="2" t="inlineStr">
        <is>
          <t>Blanco</t>
        </is>
      </c>
      <c r="C480" s="3" t="n">
        <v>46053</v>
      </c>
      <c r="D480" s="2" t="inlineStr">
        <is>
          <t>B57580049</t>
        </is>
      </c>
      <c r="E480" s="2" t="inlineStr">
        <is>
          <t>Ferrosos U…</t>
        </is>
      </c>
      <c r="F480" s="2" t="n">
        <v>3781873</v>
      </c>
      <c r="G480" s="4" t="n">
        <v>112.21</v>
      </c>
      <c r="H480" s="3" t="n">
        <v>46040</v>
      </c>
      <c r="I480" s="3" t="n">
        <v>46218</v>
      </c>
      <c r="J480" s="2" t="n">
        <v>47</v>
      </c>
      <c r="K480" s="2" t="n">
        <v>19.15</v>
      </c>
      <c r="L480" s="2" t="n">
        <v>2.51</v>
      </c>
      <c r="M480" s="4" t="n">
        <v>2.82</v>
      </c>
      <c r="N480" s="4" t="n">
        <v>2.81</v>
      </c>
      <c r="O480" s="2" t="n">
        <v>40</v>
      </c>
      <c r="P480" s="4" t="n">
        <v>1</v>
      </c>
      <c r="Q480" s="4" t="n">
        <v>1.17</v>
      </c>
      <c r="R480" s="4">
        <f>G480*(L480/100)*(O480/100)</f>
        <v/>
      </c>
      <c r="S480" s="4">
        <f>G480*(K480/360/100)*J480*(O480/100)</f>
        <v/>
      </c>
      <c r="T480" s="4">
        <f>P480-R480+Q480-S480</f>
        <v/>
      </c>
    </row>
    <row r="481">
      <c r="A481" s="2" t="inlineStr">
        <is>
          <t>Oro</t>
        </is>
      </c>
      <c r="B481" s="2" t="inlineStr">
        <is>
          <t>Blanco</t>
        </is>
      </c>
      <c r="C481" s="3" t="n">
        <v>46053</v>
      </c>
      <c r="D481" s="2" t="inlineStr">
        <is>
          <t>B82073619</t>
        </is>
      </c>
      <c r="E481" s="2" t="inlineStr">
        <is>
          <t>Colorantes…</t>
        </is>
      </c>
      <c r="F481" s="2" t="n">
        <v>4349242</v>
      </c>
      <c r="G481" s="4" t="n">
        <v>5438.64</v>
      </c>
      <c r="H481" s="3" t="n">
        <v>46037</v>
      </c>
      <c r="I481" s="3" t="n">
        <v>46089</v>
      </c>
      <c r="J481" s="2" t="n">
        <v>67</v>
      </c>
      <c r="K481" s="2" t="n">
        <v>42.65</v>
      </c>
      <c r="L481" s="2" t="n">
        <v>1.1</v>
      </c>
      <c r="M481" s="4" t="n">
        <v>59.83</v>
      </c>
      <c r="N481" s="4" t="n">
        <v>431.7</v>
      </c>
      <c r="O481" s="2" t="n">
        <v>60</v>
      </c>
      <c r="P481" s="4" t="n">
        <v>36.14</v>
      </c>
      <c r="Q481" s="4" t="n">
        <v>258.83</v>
      </c>
      <c r="R481" s="4">
        <f>G481*(L481/100)*(O481/100)</f>
        <v/>
      </c>
      <c r="S481" s="4">
        <f>G481*(K481/360/100)*J481*(O481/100)</f>
        <v/>
      </c>
      <c r="T481" s="4">
        <f>P481-R481+Q481-S481</f>
        <v/>
      </c>
    </row>
    <row r="482">
      <c r="A482" s="5" t="inlineStr">
        <is>
          <t>Total</t>
        </is>
      </c>
      <c r="G482" s="6">
        <f>SUBTOTAL(109,G2:G481)</f>
        <v/>
      </c>
      <c r="M482" s="6">
        <f>SUBTOTAL(109,M2:M481)</f>
        <v/>
      </c>
      <c r="N482" s="6">
        <f>SUBTOTAL(109,N2:N481)</f>
        <v/>
      </c>
      <c r="P482" s="6">
        <f>SUBTOTAL(109,P2:P481)</f>
        <v/>
      </c>
      <c r="Q482" s="6">
        <f>SUBTOTAL(109,Q2:Q481)</f>
        <v/>
      </c>
      <c r="R482" s="6">
        <f>SUBTOTAL(109,R2:R481)</f>
        <v/>
      </c>
      <c r="S482" s="6">
        <f>SUBTOTAL(109,S2:S481)</f>
        <v/>
      </c>
      <c r="T482" s="6">
        <f>SUBTOTAL(109,T2:T481)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8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B20637475</t>
        </is>
      </c>
      <c r="B2" s="4" t="n">
        <v>698.9</v>
      </c>
      <c r="C2" s="3" t="n">
        <v>46035</v>
      </c>
      <c r="D2" s="3" t="n">
        <v>46231</v>
      </c>
      <c r="E2" s="2" t="n">
        <v>37</v>
      </c>
      <c r="F2" s="2" t="n">
        <v>37.57</v>
      </c>
      <c r="G2" s="2" t="n">
        <v>2.4</v>
      </c>
      <c r="H2" s="4" t="n">
        <v>16.77</v>
      </c>
      <c r="I2" s="4" t="n">
        <v>26.99</v>
      </c>
      <c r="J2" s="2" t="n">
        <v>40</v>
      </c>
      <c r="K2" s="4" t="n">
        <v>6.61</v>
      </c>
      <c r="L2" s="4" t="n">
        <v>10.67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B81129641</t>
        </is>
      </c>
      <c r="B3" s="4" t="n">
        <v>634.17</v>
      </c>
      <c r="C3" s="3" t="n">
        <v>46026</v>
      </c>
      <c r="D3" s="3" t="n">
        <v>46183</v>
      </c>
      <c r="E3" s="2" t="n">
        <v>49</v>
      </c>
      <c r="F3" s="2" t="n">
        <v>27.19</v>
      </c>
      <c r="G3" s="2" t="n">
        <v>0.68</v>
      </c>
      <c r="H3" s="4" t="n">
        <v>4.31</v>
      </c>
      <c r="I3" s="4" t="n">
        <v>23.47</v>
      </c>
      <c r="J3" s="2" t="n">
        <v>30</v>
      </c>
      <c r="K3" s="4" t="n">
        <v>1.58</v>
      </c>
      <c r="L3" s="4" t="n">
        <v>6.84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B28853608</t>
        </is>
      </c>
      <c r="B4" s="4" t="n">
        <v>518.9400000000001</v>
      </c>
      <c r="C4" s="3" t="n">
        <v>46049</v>
      </c>
      <c r="D4" s="3" t="n">
        <v>46098</v>
      </c>
      <c r="E4" s="2" t="n">
        <v>29</v>
      </c>
      <c r="F4" s="2" t="n">
        <v>26.8</v>
      </c>
      <c r="G4" s="2" t="n">
        <v>0.71</v>
      </c>
      <c r="H4" s="4" t="n">
        <v>3.68</v>
      </c>
      <c r="I4" s="4" t="n">
        <v>11.2</v>
      </c>
      <c r="J4" s="2" t="n">
        <v>50</v>
      </c>
      <c r="K4" s="4" t="n">
        <v>1.9</v>
      </c>
      <c r="L4" s="4" t="n">
        <v>5.33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A65946859</t>
        </is>
      </c>
      <c r="B5" s="4" t="n">
        <v>356.89</v>
      </c>
      <c r="C5" s="3" t="n">
        <v>46046</v>
      </c>
      <c r="D5" s="3" t="n">
        <v>46124</v>
      </c>
      <c r="E5" s="2" t="n">
        <v>58</v>
      </c>
      <c r="F5" s="2" t="n">
        <v>30.72</v>
      </c>
      <c r="G5" s="2" t="n">
        <v>1.37</v>
      </c>
      <c r="H5" s="4" t="n">
        <v>4.89</v>
      </c>
      <c r="I5" s="4" t="n">
        <v>17.66</v>
      </c>
      <c r="J5" s="2" t="n">
        <v>60</v>
      </c>
      <c r="K5" s="4" t="n">
        <v>2.74</v>
      </c>
      <c r="L5" s="4" t="n">
        <v>10.88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A75878906</t>
        </is>
      </c>
      <c r="B6" s="4" t="n">
        <v>4580.43</v>
      </c>
      <c r="C6" s="3" t="n">
        <v>46030</v>
      </c>
      <c r="D6" s="3" t="n">
        <v>46079</v>
      </c>
      <c r="E6" s="2" t="n">
        <v>65</v>
      </c>
      <c r="F6" s="2" t="n">
        <v>23.62</v>
      </c>
      <c r="G6" s="2" t="n">
        <v>2.82</v>
      </c>
      <c r="H6" s="4" t="n">
        <v>129.17</v>
      </c>
      <c r="I6" s="4" t="n">
        <v>195.34</v>
      </c>
      <c r="J6" s="2" t="n">
        <v>70</v>
      </c>
      <c r="K6" s="4" t="n">
        <v>90.59999999999999</v>
      </c>
      <c r="L6" s="4" t="n">
        <v>136.83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A22952057</t>
        </is>
      </c>
      <c r="B7" s="4" t="n">
        <v>627.9</v>
      </c>
      <c r="C7" s="3" t="n">
        <v>46040</v>
      </c>
      <c r="D7" s="3" t="n">
        <v>46192</v>
      </c>
      <c r="E7" s="2" t="n">
        <v>70</v>
      </c>
      <c r="F7" s="2" t="n">
        <v>32.81</v>
      </c>
      <c r="G7" s="2" t="n">
        <v>1.89</v>
      </c>
      <c r="H7" s="4" t="n">
        <v>11.87</v>
      </c>
      <c r="I7" s="4" t="n">
        <v>40.06</v>
      </c>
      <c r="J7" s="2" t="n">
        <v>70</v>
      </c>
      <c r="K7" s="4" t="n">
        <v>8.42</v>
      </c>
      <c r="L7" s="4" t="n">
        <v>28.34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A36766078</t>
        </is>
      </c>
      <c r="B8" s="4" t="n">
        <v>429.81</v>
      </c>
      <c r="C8" s="3" t="n">
        <v>46039</v>
      </c>
      <c r="D8" s="3" t="n">
        <v>46080</v>
      </c>
      <c r="E8" s="2" t="n">
        <v>30</v>
      </c>
      <c r="F8" s="2" t="n">
        <v>23.91</v>
      </c>
      <c r="G8" s="2" t="n">
        <v>2.69</v>
      </c>
      <c r="H8" s="4" t="n">
        <v>11.56</v>
      </c>
      <c r="I8" s="4" t="n">
        <v>8.56</v>
      </c>
      <c r="J8" s="2" t="n">
        <v>50</v>
      </c>
      <c r="K8" s="4" t="n">
        <v>5.81</v>
      </c>
      <c r="L8" s="4" t="n">
        <v>4.01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A66406114</t>
        </is>
      </c>
      <c r="B9" s="4" t="n">
        <v>989.73</v>
      </c>
      <c r="C9" s="3" t="n">
        <v>46049</v>
      </c>
      <c r="D9" s="3" t="n">
        <v>46062</v>
      </c>
      <c r="E9" s="2" t="n">
        <v>53</v>
      </c>
      <c r="F9" s="2" t="n">
        <v>33</v>
      </c>
      <c r="G9" s="2" t="n">
        <v>1.66</v>
      </c>
      <c r="H9" s="4" t="n">
        <v>16.43</v>
      </c>
      <c r="I9" s="4" t="n">
        <v>48.08</v>
      </c>
      <c r="J9" s="2" t="n">
        <v>50</v>
      </c>
      <c r="K9" s="4" t="n">
        <v>8.09</v>
      </c>
      <c r="L9" s="4" t="n">
        <v>23.99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B45770961</t>
        </is>
      </c>
      <c r="B10" s="4" t="n">
        <v>567.85</v>
      </c>
      <c r="C10" s="3" t="n">
        <v>46029</v>
      </c>
      <c r="D10" s="3" t="n">
        <v>46160</v>
      </c>
      <c r="E10" s="2" t="n">
        <v>66</v>
      </c>
      <c r="F10" s="2" t="n">
        <v>31.76</v>
      </c>
      <c r="G10" s="2" t="n">
        <v>2.8</v>
      </c>
      <c r="H10" s="4" t="n">
        <v>15.9</v>
      </c>
      <c r="I10" s="4" t="n">
        <v>33.06</v>
      </c>
      <c r="J10" s="2" t="n">
        <v>70</v>
      </c>
      <c r="K10" s="4" t="n">
        <v>10.92</v>
      </c>
      <c r="L10" s="4" t="n">
        <v>22.92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A37713776</t>
        </is>
      </c>
      <c r="B11" s="4" t="n">
        <v>269.64</v>
      </c>
      <c r="C11" s="3" t="n">
        <v>46032</v>
      </c>
      <c r="D11" s="3" t="n">
        <v>46102</v>
      </c>
      <c r="E11" s="2" t="n">
        <v>34</v>
      </c>
      <c r="F11" s="2" t="n">
        <v>12.89</v>
      </c>
      <c r="G11" s="2" t="n">
        <v>2.48</v>
      </c>
      <c r="H11" s="4" t="n">
        <v>6.69</v>
      </c>
      <c r="I11" s="4" t="n">
        <v>3.28</v>
      </c>
      <c r="J11" s="2" t="n">
        <v>60</v>
      </c>
      <c r="K11" s="4" t="n">
        <v>3.73</v>
      </c>
      <c r="L11" s="4" t="n">
        <v>2.06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A33813877</t>
        </is>
      </c>
      <c r="B12" s="4" t="n">
        <v>546.5700000000001</v>
      </c>
      <c r="C12" s="3" t="n">
        <v>46047</v>
      </c>
      <c r="D12" s="3" t="n">
        <v>46077</v>
      </c>
      <c r="E12" s="2" t="n">
        <v>27</v>
      </c>
      <c r="F12" s="2" t="n">
        <v>13.98</v>
      </c>
      <c r="G12" s="2" t="n">
        <v>1.29</v>
      </c>
      <c r="H12" s="4" t="n">
        <v>7.05</v>
      </c>
      <c r="I12" s="4" t="n">
        <v>5.73</v>
      </c>
      <c r="J12" s="2" t="n">
        <v>20</v>
      </c>
      <c r="K12" s="4" t="n">
        <v>1.67</v>
      </c>
      <c r="L12" s="4" t="n">
        <v>0.95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B81981442</t>
        </is>
      </c>
      <c r="B13" s="4" t="n">
        <v>979.26</v>
      </c>
      <c r="C13" s="3" t="n">
        <v>46042</v>
      </c>
      <c r="D13" s="3" t="n">
        <v>46106</v>
      </c>
      <c r="E13" s="2" t="n">
        <v>39</v>
      </c>
      <c r="F13" s="2" t="n">
        <v>26.54</v>
      </c>
      <c r="G13" s="2" t="n">
        <v>2.7</v>
      </c>
      <c r="H13" s="4" t="n">
        <v>26.44</v>
      </c>
      <c r="I13" s="4" t="n">
        <v>28.16</v>
      </c>
      <c r="J13" s="2" t="n">
        <v>30</v>
      </c>
      <c r="K13" s="4" t="n">
        <v>7.8</v>
      </c>
      <c r="L13" s="4" t="n">
        <v>8.33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A42105204</t>
        </is>
      </c>
      <c r="B14" s="4" t="n">
        <v>853.72</v>
      </c>
      <c r="C14" s="3" t="n">
        <v>46027</v>
      </c>
      <c r="D14" s="3" t="n">
        <v>46187</v>
      </c>
      <c r="E14" s="2" t="n">
        <v>14</v>
      </c>
      <c r="F14" s="2" t="n">
        <v>48.82</v>
      </c>
      <c r="G14" s="2" t="n">
        <v>1.02</v>
      </c>
      <c r="H14" s="4" t="n">
        <v>8.710000000000001</v>
      </c>
      <c r="I14" s="4" t="n">
        <v>16.21</v>
      </c>
      <c r="J14" s="2" t="n">
        <v>30</v>
      </c>
      <c r="K14" s="4" t="n">
        <v>2.73</v>
      </c>
      <c r="L14" s="4" t="n">
        <v>5.11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A38325722</t>
        </is>
      </c>
      <c r="B15" s="4" t="n">
        <v>8541.68</v>
      </c>
      <c r="C15" s="3" t="n">
        <v>46043</v>
      </c>
      <c r="D15" s="3" t="n">
        <v>46083</v>
      </c>
      <c r="E15" s="2" t="n">
        <v>71</v>
      </c>
      <c r="F15" s="2" t="n">
        <v>38.75</v>
      </c>
      <c r="G15" s="2" t="n">
        <v>1.02</v>
      </c>
      <c r="H15" s="4" t="n">
        <v>87.13</v>
      </c>
      <c r="I15" s="4" t="n">
        <v>652.79</v>
      </c>
      <c r="J15" s="2" t="n">
        <v>60</v>
      </c>
      <c r="K15" s="4" t="n">
        <v>52.03</v>
      </c>
      <c r="L15" s="4" t="n">
        <v>391.94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A97519892</t>
        </is>
      </c>
      <c r="B16" s="4" t="n">
        <v>1409.15</v>
      </c>
      <c r="C16" s="3" t="n">
        <v>46045</v>
      </c>
      <c r="D16" s="3" t="n">
        <v>46077</v>
      </c>
      <c r="E16" s="2" t="n">
        <v>79</v>
      </c>
      <c r="F16" s="2" t="n">
        <v>49.98</v>
      </c>
      <c r="G16" s="2" t="n">
        <v>0.75</v>
      </c>
      <c r="H16" s="4" t="n">
        <v>10.57</v>
      </c>
      <c r="I16" s="4" t="n">
        <v>154.55</v>
      </c>
      <c r="J16" s="2" t="n">
        <v>50</v>
      </c>
      <c r="K16" s="4" t="n">
        <v>5.55</v>
      </c>
      <c r="L16" s="4" t="n">
        <v>77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B73057079</t>
        </is>
      </c>
      <c r="B17" s="4" t="n">
        <v>649.5700000000001</v>
      </c>
      <c r="C17" s="3" t="n">
        <v>46042</v>
      </c>
      <c r="D17" s="3" t="n">
        <v>46151</v>
      </c>
      <c r="E17" s="2" t="n">
        <v>62</v>
      </c>
      <c r="F17" s="2" t="n">
        <v>22.37</v>
      </c>
      <c r="G17" s="2" t="n">
        <v>2.68</v>
      </c>
      <c r="H17" s="4" t="n">
        <v>17.41</v>
      </c>
      <c r="I17" s="4" t="n">
        <v>25.03</v>
      </c>
      <c r="J17" s="2" t="n">
        <v>30</v>
      </c>
      <c r="K17" s="4" t="n">
        <v>5.13</v>
      </c>
      <c r="L17" s="4" t="n">
        <v>7.68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B10393105</t>
        </is>
      </c>
      <c r="B18" s="4" t="n">
        <v>358.47</v>
      </c>
      <c r="C18" s="3" t="n">
        <v>46045</v>
      </c>
      <c r="D18" s="3" t="n">
        <v>46113</v>
      </c>
      <c r="E18" s="2" t="n">
        <v>67</v>
      </c>
      <c r="F18" s="2" t="n">
        <v>27.14</v>
      </c>
      <c r="G18" s="2" t="n">
        <v>1.93</v>
      </c>
      <c r="H18" s="4" t="n">
        <v>6.92</v>
      </c>
      <c r="I18" s="4" t="n">
        <v>18.11</v>
      </c>
      <c r="J18" s="2" t="n">
        <v>20</v>
      </c>
      <c r="K18" s="4" t="n">
        <v>1.43</v>
      </c>
      <c r="L18" s="4" t="n">
        <v>3.66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A83294252</t>
        </is>
      </c>
      <c r="B19" s="4" t="n">
        <v>613.11</v>
      </c>
      <c r="C19" s="3" t="n">
        <v>46023</v>
      </c>
      <c r="D19" s="3" t="n">
        <v>46129</v>
      </c>
      <c r="E19" s="2" t="n">
        <v>31</v>
      </c>
      <c r="F19" s="2" t="n">
        <v>28.91</v>
      </c>
      <c r="G19" s="2" t="n">
        <v>1.48</v>
      </c>
      <c r="H19" s="4" t="n">
        <v>9.07</v>
      </c>
      <c r="I19" s="4" t="n">
        <v>15.26</v>
      </c>
      <c r="J19" s="2" t="n">
        <v>60</v>
      </c>
      <c r="K19" s="4" t="n">
        <v>5.27</v>
      </c>
      <c r="L19" s="4" t="n">
        <v>9.01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A40684521</t>
        </is>
      </c>
      <c r="B20" s="4" t="n">
        <v>113.81</v>
      </c>
      <c r="C20" s="3" t="n">
        <v>46034</v>
      </c>
      <c r="D20" s="3" t="n">
        <v>46057</v>
      </c>
      <c r="E20" s="2" t="n">
        <v>72</v>
      </c>
      <c r="F20" s="2" t="n">
        <v>45.78</v>
      </c>
      <c r="G20" s="2" t="n">
        <v>1.32</v>
      </c>
      <c r="H20" s="4" t="n">
        <v>1.5</v>
      </c>
      <c r="I20" s="4" t="n">
        <v>10.42</v>
      </c>
      <c r="J20" s="2" t="n">
        <v>60</v>
      </c>
      <c r="K20" s="4" t="n">
        <v>1.2</v>
      </c>
      <c r="L20" s="4" t="n">
        <v>6.29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A10265313</t>
        </is>
      </c>
      <c r="B21" s="4" t="n">
        <v>8850.610000000001</v>
      </c>
      <c r="C21" s="3" t="n">
        <v>46025</v>
      </c>
      <c r="D21" s="3" t="n">
        <v>46121</v>
      </c>
      <c r="E21" s="2" t="n">
        <v>35</v>
      </c>
      <c r="F21" s="2" t="n">
        <v>15.73</v>
      </c>
      <c r="G21" s="2" t="n">
        <v>1.62</v>
      </c>
      <c r="H21" s="4" t="n">
        <v>143.38</v>
      </c>
      <c r="I21" s="4" t="n">
        <v>135.35</v>
      </c>
      <c r="J21" s="2" t="n">
        <v>20</v>
      </c>
      <c r="K21" s="4" t="n">
        <v>28.73</v>
      </c>
      <c r="L21" s="4" t="n">
        <v>26.94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B22634073</t>
        </is>
      </c>
      <c r="B22" s="4" t="n">
        <v>7005.5</v>
      </c>
      <c r="C22" s="3" t="n">
        <v>46031</v>
      </c>
      <c r="D22" s="3" t="n">
        <v>46096</v>
      </c>
      <c r="E22" s="2" t="n">
        <v>41</v>
      </c>
      <c r="F22" s="2" t="n">
        <v>11.67</v>
      </c>
      <c r="G22" s="2" t="n">
        <v>2.29</v>
      </c>
      <c r="H22" s="4" t="n">
        <v>160.43</v>
      </c>
      <c r="I22" s="4" t="n">
        <v>93.11</v>
      </c>
      <c r="J22" s="2" t="n">
        <v>50</v>
      </c>
      <c r="K22" s="4" t="n">
        <v>80.45</v>
      </c>
      <c r="L22" s="4" t="n">
        <v>46.74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A53648711</t>
        </is>
      </c>
      <c r="B23" s="4" t="n">
        <v>645.58</v>
      </c>
      <c r="C23" s="3" t="n">
        <v>46046</v>
      </c>
      <c r="D23" s="3" t="n">
        <v>46055</v>
      </c>
      <c r="E23" s="2" t="n">
        <v>18</v>
      </c>
      <c r="F23" s="2" t="n">
        <v>41</v>
      </c>
      <c r="G23" s="2" t="n">
        <v>2.07</v>
      </c>
      <c r="H23" s="4" t="n">
        <v>13.36</v>
      </c>
      <c r="I23" s="4" t="n">
        <v>13.23</v>
      </c>
      <c r="J23" s="2" t="n">
        <v>50</v>
      </c>
      <c r="K23" s="4" t="n">
        <v>6.72</v>
      </c>
      <c r="L23" s="4" t="n">
        <v>6.64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A10654441</t>
        </is>
      </c>
      <c r="B24" s="4" t="n">
        <v>8510</v>
      </c>
      <c r="C24" s="3" t="n">
        <v>46046</v>
      </c>
      <c r="D24" s="3" t="n">
        <v>46070</v>
      </c>
      <c r="E24" s="2" t="n">
        <v>69</v>
      </c>
      <c r="F24" s="2" t="n">
        <v>39.12</v>
      </c>
      <c r="G24" s="2" t="n">
        <v>0.88</v>
      </c>
      <c r="H24" s="4" t="n">
        <v>74.89</v>
      </c>
      <c r="I24" s="4" t="n">
        <v>638.08</v>
      </c>
      <c r="J24" s="2" t="n">
        <v>50</v>
      </c>
      <c r="K24" s="4" t="n">
        <v>37.28</v>
      </c>
      <c r="L24" s="4" t="n">
        <v>318.96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B46599594</t>
        </is>
      </c>
      <c r="B25" s="4" t="n">
        <v>191.91</v>
      </c>
      <c r="C25" s="3" t="n">
        <v>46034</v>
      </c>
      <c r="D25" s="3" t="n">
        <v>46139</v>
      </c>
      <c r="E25" s="2" t="n">
        <v>26</v>
      </c>
      <c r="F25" s="2" t="n">
        <v>17.26</v>
      </c>
      <c r="G25" s="2" t="n">
        <v>1.9</v>
      </c>
      <c r="H25" s="4" t="n">
        <v>3.65</v>
      </c>
      <c r="I25" s="4" t="n">
        <v>2.39</v>
      </c>
      <c r="J25" s="2" t="n">
        <v>60</v>
      </c>
      <c r="K25" s="4" t="n">
        <v>2.28</v>
      </c>
      <c r="L25" s="4" t="n">
        <v>1.24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A15582903</t>
        </is>
      </c>
      <c r="B26" s="4" t="n">
        <v>4014.36</v>
      </c>
      <c r="C26" s="3" t="n">
        <v>46041</v>
      </c>
      <c r="D26" s="3" t="n">
        <v>46215</v>
      </c>
      <c r="E26" s="2" t="n">
        <v>65</v>
      </c>
      <c r="F26" s="2" t="n">
        <v>20.37</v>
      </c>
      <c r="G26" s="2" t="n">
        <v>1.58</v>
      </c>
      <c r="H26" s="4" t="n">
        <v>63.43</v>
      </c>
      <c r="I26" s="4" t="n">
        <v>147.64</v>
      </c>
      <c r="J26" s="2" t="n">
        <v>20</v>
      </c>
      <c r="K26" s="4" t="n">
        <v>12.76</v>
      </c>
      <c r="L26" s="4" t="n">
        <v>29.82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A66652986</t>
        </is>
      </c>
      <c r="B27" s="4" t="n">
        <v>507.31</v>
      </c>
      <c r="C27" s="3" t="n">
        <v>46029</v>
      </c>
      <c r="D27" s="3" t="n">
        <v>46079</v>
      </c>
      <c r="E27" s="2" t="n">
        <v>18</v>
      </c>
      <c r="F27" s="2" t="n">
        <v>18.55</v>
      </c>
      <c r="G27" s="2" t="n">
        <v>1.92</v>
      </c>
      <c r="H27" s="4" t="n">
        <v>9.74</v>
      </c>
      <c r="I27" s="4" t="n">
        <v>4.71</v>
      </c>
      <c r="J27" s="2" t="n">
        <v>60</v>
      </c>
      <c r="K27" s="4" t="n">
        <v>6.12</v>
      </c>
      <c r="L27" s="4" t="n">
        <v>3.04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A38794533</t>
        </is>
      </c>
      <c r="B28" s="4" t="n">
        <v>249.03</v>
      </c>
      <c r="C28" s="3" t="n">
        <v>46036</v>
      </c>
      <c r="D28" s="3" t="n">
        <v>46217</v>
      </c>
      <c r="E28" s="2" t="n">
        <v>82</v>
      </c>
      <c r="F28" s="2" t="n">
        <v>34.38</v>
      </c>
      <c r="G28" s="2" t="n">
        <v>2.73</v>
      </c>
      <c r="H28" s="4" t="n">
        <v>6.8</v>
      </c>
      <c r="I28" s="4" t="n">
        <v>19.5</v>
      </c>
      <c r="J28" s="2" t="n">
        <v>40</v>
      </c>
      <c r="K28" s="4" t="n">
        <v>2.84</v>
      </c>
      <c r="L28" s="4" t="n">
        <v>7.51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B92469407</t>
        </is>
      </c>
      <c r="B29" s="4" t="n">
        <v>1915.01</v>
      </c>
      <c r="C29" s="3" t="n">
        <v>46033</v>
      </c>
      <c r="D29" s="3" t="n">
        <v>46061</v>
      </c>
      <c r="E29" s="2" t="n">
        <v>10</v>
      </c>
      <c r="F29" s="2" t="n">
        <v>22.01</v>
      </c>
      <c r="G29" s="2" t="n">
        <v>0.67</v>
      </c>
      <c r="H29" s="4" t="n">
        <v>12.83</v>
      </c>
      <c r="I29" s="4" t="n">
        <v>11.71</v>
      </c>
      <c r="J29" s="2" t="n">
        <v>60</v>
      </c>
      <c r="K29" s="4" t="n">
        <v>7.75</v>
      </c>
      <c r="L29" s="4" t="n">
        <v>7.1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A89226861</t>
        </is>
      </c>
      <c r="B30" s="4" t="n">
        <v>3832.49</v>
      </c>
      <c r="C30" s="3" t="n">
        <v>46028</v>
      </c>
      <c r="D30" s="3" t="n">
        <v>46078</v>
      </c>
      <c r="E30" s="2" t="n">
        <v>71</v>
      </c>
      <c r="F30" s="2" t="n">
        <v>24.07</v>
      </c>
      <c r="G30" s="2" t="n">
        <v>2.38</v>
      </c>
      <c r="H30" s="4" t="n">
        <v>91.20999999999999</v>
      </c>
      <c r="I30" s="4" t="n">
        <v>181.93</v>
      </c>
      <c r="J30" s="2" t="n">
        <v>40</v>
      </c>
      <c r="K30" s="4" t="n">
        <v>36.23</v>
      </c>
      <c r="L30" s="4" t="n">
        <v>73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B86895555</t>
        </is>
      </c>
      <c r="B31" s="4" t="n">
        <v>7482.53</v>
      </c>
      <c r="C31" s="3" t="n">
        <v>46041</v>
      </c>
      <c r="D31" s="3" t="n">
        <v>46095</v>
      </c>
      <c r="E31" s="2" t="n">
        <v>59</v>
      </c>
      <c r="F31" s="2" t="n">
        <v>38.3</v>
      </c>
      <c r="G31" s="2" t="n">
        <v>2.18</v>
      </c>
      <c r="H31" s="4" t="n">
        <v>163.12</v>
      </c>
      <c r="I31" s="4" t="n">
        <v>469.67</v>
      </c>
      <c r="J31" s="2" t="n">
        <v>70</v>
      </c>
      <c r="K31" s="4" t="n">
        <v>114.33</v>
      </c>
      <c r="L31" s="4" t="n">
        <v>328.65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B27785166</t>
        </is>
      </c>
      <c r="B32" s="4" t="n">
        <v>969.74</v>
      </c>
      <c r="C32" s="3" t="n">
        <v>46049</v>
      </c>
      <c r="D32" s="3" t="n">
        <v>46127</v>
      </c>
      <c r="E32" s="2" t="n">
        <v>69</v>
      </c>
      <c r="F32" s="2" t="n">
        <v>25.48</v>
      </c>
      <c r="G32" s="2" t="n">
        <v>1.29</v>
      </c>
      <c r="H32" s="4" t="n">
        <v>12.51</v>
      </c>
      <c r="I32" s="4" t="n">
        <v>47.36</v>
      </c>
      <c r="J32" s="2" t="n">
        <v>70</v>
      </c>
      <c r="K32" s="4" t="n">
        <v>8.82</v>
      </c>
      <c r="L32" s="4" t="n">
        <v>33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A79826349</t>
        </is>
      </c>
      <c r="B33" s="4" t="n">
        <v>9027.82</v>
      </c>
      <c r="C33" s="3" t="n">
        <v>46038</v>
      </c>
      <c r="D33" s="3" t="n">
        <v>46211</v>
      </c>
      <c r="E33" s="2" t="n">
        <v>44</v>
      </c>
      <c r="F33" s="2" t="n">
        <v>40.88</v>
      </c>
      <c r="G33" s="2" t="n">
        <v>1.52</v>
      </c>
      <c r="H33" s="4" t="n">
        <v>137.22</v>
      </c>
      <c r="I33" s="4" t="n">
        <v>451.07</v>
      </c>
      <c r="J33" s="2" t="n">
        <v>30</v>
      </c>
      <c r="K33" s="4" t="n">
        <v>40.88</v>
      </c>
      <c r="L33" s="4" t="n">
        <v>135.25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A58137369</t>
        </is>
      </c>
      <c r="B34" s="4" t="n">
        <v>9948.68</v>
      </c>
      <c r="C34" s="3" t="n">
        <v>46043</v>
      </c>
      <c r="D34" s="3" t="n">
        <v>46098</v>
      </c>
      <c r="E34" s="2" t="n">
        <v>18</v>
      </c>
      <c r="F34" s="2" t="n">
        <v>19.63</v>
      </c>
      <c r="G34" s="2" t="n">
        <v>1.89</v>
      </c>
      <c r="H34" s="4" t="n">
        <v>188.03</v>
      </c>
      <c r="I34" s="4" t="n">
        <v>97.65000000000001</v>
      </c>
      <c r="J34" s="2" t="n">
        <v>20</v>
      </c>
      <c r="K34" s="4" t="n">
        <v>37.78</v>
      </c>
      <c r="L34" s="4" t="n">
        <v>19.24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A83802131</t>
        </is>
      </c>
      <c r="B35" s="4" t="n">
        <v>336.14</v>
      </c>
      <c r="C35" s="3" t="n">
        <v>46037</v>
      </c>
      <c r="D35" s="3" t="n">
        <v>46157</v>
      </c>
      <c r="E35" s="2" t="n">
        <v>41</v>
      </c>
      <c r="F35" s="2" t="n">
        <v>23.66</v>
      </c>
      <c r="G35" s="2" t="n">
        <v>2.41</v>
      </c>
      <c r="H35" s="4" t="n">
        <v>8.1</v>
      </c>
      <c r="I35" s="4" t="n">
        <v>9.06</v>
      </c>
      <c r="J35" s="2" t="n">
        <v>60</v>
      </c>
      <c r="K35" s="4" t="n">
        <v>5</v>
      </c>
      <c r="L35" s="4" t="n">
        <v>5.58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A55687689</t>
        </is>
      </c>
      <c r="B36" s="4" t="n">
        <v>8285.74</v>
      </c>
      <c r="C36" s="3" t="n">
        <v>46043</v>
      </c>
      <c r="D36" s="3" t="n">
        <v>46097</v>
      </c>
      <c r="E36" s="2" t="n">
        <v>54</v>
      </c>
      <c r="F36" s="2" t="n">
        <v>14.35</v>
      </c>
      <c r="G36" s="2" t="n">
        <v>0.98</v>
      </c>
      <c r="H36" s="4" t="n">
        <v>81.2</v>
      </c>
      <c r="I36" s="4" t="n">
        <v>178.35</v>
      </c>
      <c r="J36" s="2" t="n">
        <v>30</v>
      </c>
      <c r="K36" s="4" t="n">
        <v>24.25</v>
      </c>
      <c r="L36" s="4" t="n">
        <v>53.76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B59014009</t>
        </is>
      </c>
      <c r="B37" s="4" t="n">
        <v>621.49</v>
      </c>
      <c r="C37" s="3" t="n">
        <v>46034</v>
      </c>
      <c r="D37" s="3" t="n">
        <v>46166</v>
      </c>
      <c r="E37" s="2" t="n">
        <v>67</v>
      </c>
      <c r="F37" s="2" t="n">
        <v>35.44</v>
      </c>
      <c r="G37" s="2" t="n">
        <v>1.21</v>
      </c>
      <c r="H37" s="4" t="n">
        <v>7.52</v>
      </c>
      <c r="I37" s="4" t="n">
        <v>40.99</v>
      </c>
      <c r="J37" s="2" t="n">
        <v>30</v>
      </c>
      <c r="K37" s="4" t="n">
        <v>2.24</v>
      </c>
      <c r="L37" s="4" t="n">
        <v>12.55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A55606571</t>
        </is>
      </c>
      <c r="B38" s="4" t="n">
        <v>5026.87</v>
      </c>
      <c r="C38" s="3" t="n">
        <v>46049</v>
      </c>
      <c r="D38" s="3" t="n">
        <v>46108</v>
      </c>
      <c r="E38" s="2" t="n">
        <v>79</v>
      </c>
      <c r="F38" s="2" t="n">
        <v>35.89</v>
      </c>
      <c r="G38" s="2" t="n">
        <v>1.27</v>
      </c>
      <c r="H38" s="4" t="n">
        <v>63.84</v>
      </c>
      <c r="I38" s="4" t="n">
        <v>395.91</v>
      </c>
      <c r="J38" s="2" t="n">
        <v>50</v>
      </c>
      <c r="K38" s="4" t="n">
        <v>31.62</v>
      </c>
      <c r="L38" s="4" t="n">
        <v>197.85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A07044032</t>
        </is>
      </c>
      <c r="B39" s="4" t="n">
        <v>614.75</v>
      </c>
      <c r="C39" s="3" t="n">
        <v>46044</v>
      </c>
      <c r="D39" s="3" t="n">
        <v>46143</v>
      </c>
      <c r="E39" s="2" t="n">
        <v>18</v>
      </c>
      <c r="F39" s="2" t="n">
        <v>12.07</v>
      </c>
      <c r="G39" s="2" t="n">
        <v>0.51</v>
      </c>
      <c r="H39" s="4" t="n">
        <v>3.14</v>
      </c>
      <c r="I39" s="4" t="n">
        <v>3.71</v>
      </c>
      <c r="J39" s="2" t="n">
        <v>60</v>
      </c>
      <c r="K39" s="4" t="n">
        <v>1.9</v>
      </c>
      <c r="L39" s="4" t="n">
        <v>2.46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A89489993</t>
        </is>
      </c>
      <c r="B40" s="4" t="n">
        <v>486.88</v>
      </c>
      <c r="C40" s="3" t="n">
        <v>46028</v>
      </c>
      <c r="D40" s="3" t="n">
        <v>46175</v>
      </c>
      <c r="E40" s="2" t="n">
        <v>84</v>
      </c>
      <c r="F40" s="2" t="n">
        <v>15.77</v>
      </c>
      <c r="G40" s="2" t="n">
        <v>2.4</v>
      </c>
      <c r="H40" s="4" t="n">
        <v>11.69</v>
      </c>
      <c r="I40" s="4" t="n">
        <v>17.92</v>
      </c>
      <c r="J40" s="2" t="n">
        <v>60</v>
      </c>
      <c r="K40" s="4" t="n">
        <v>7.17</v>
      </c>
      <c r="L40" s="4" t="n">
        <v>10.94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A60846028</t>
        </is>
      </c>
      <c r="B41" s="4" t="n">
        <v>999.15</v>
      </c>
      <c r="C41" s="3" t="n">
        <v>46046</v>
      </c>
      <c r="D41" s="3" t="n">
        <v>46101</v>
      </c>
      <c r="E41" s="2" t="n">
        <v>85</v>
      </c>
      <c r="F41" s="2" t="n">
        <v>43.93</v>
      </c>
      <c r="G41" s="2" t="n">
        <v>0.72</v>
      </c>
      <c r="H41" s="4" t="n">
        <v>7.19</v>
      </c>
      <c r="I41" s="4" t="n">
        <v>103.64</v>
      </c>
      <c r="J41" s="2" t="n">
        <v>70</v>
      </c>
      <c r="K41" s="4" t="n">
        <v>5.26</v>
      </c>
      <c r="L41" s="4" t="n">
        <v>72.56999999999999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A35184746</t>
        </is>
      </c>
      <c r="B42" s="4" t="n">
        <v>147.66</v>
      </c>
      <c r="C42" s="3" t="n">
        <v>46043</v>
      </c>
      <c r="D42" s="3" t="n">
        <v>46181</v>
      </c>
      <c r="E42" s="2" t="n">
        <v>12</v>
      </c>
      <c r="F42" s="2" t="n">
        <v>11.14</v>
      </c>
      <c r="G42" s="2" t="n">
        <v>1.86</v>
      </c>
      <c r="H42" s="4" t="n">
        <v>2.75</v>
      </c>
      <c r="I42" s="4" t="n">
        <v>0.55</v>
      </c>
      <c r="J42" s="2" t="n">
        <v>30</v>
      </c>
      <c r="K42" s="4" t="n">
        <v>0.63</v>
      </c>
      <c r="L42" s="4" t="n">
        <v>0.05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A14052331</t>
        </is>
      </c>
      <c r="B43" s="4" t="n">
        <v>846.63</v>
      </c>
      <c r="C43" s="3" t="n">
        <v>46048</v>
      </c>
      <c r="D43" s="3" t="n">
        <v>46167</v>
      </c>
      <c r="E43" s="2" t="n">
        <v>53</v>
      </c>
      <c r="F43" s="2" t="n">
        <v>33.81</v>
      </c>
      <c r="G43" s="2" t="n">
        <v>0.68</v>
      </c>
      <c r="H43" s="4" t="n">
        <v>5.76</v>
      </c>
      <c r="I43" s="4" t="n">
        <v>42.14</v>
      </c>
      <c r="J43" s="2" t="n">
        <v>40</v>
      </c>
      <c r="K43" s="4" t="n">
        <v>2.48</v>
      </c>
      <c r="L43" s="4" t="n">
        <v>16.87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B84691388</t>
        </is>
      </c>
      <c r="B44" s="4" t="n">
        <v>314.86</v>
      </c>
      <c r="C44" s="3" t="n">
        <v>46038</v>
      </c>
      <c r="D44" s="3" t="n">
        <v>46099</v>
      </c>
      <c r="E44" s="2" t="n">
        <v>11</v>
      </c>
      <c r="F44" s="2" t="n">
        <v>36.48</v>
      </c>
      <c r="G44" s="2" t="n">
        <v>2.51</v>
      </c>
      <c r="H44" s="4" t="n">
        <v>7.9</v>
      </c>
      <c r="I44" s="4" t="n">
        <v>3.51</v>
      </c>
      <c r="J44" s="2" t="n">
        <v>40</v>
      </c>
      <c r="K44" s="4" t="n">
        <v>3.34</v>
      </c>
      <c r="L44" s="4" t="n">
        <v>1.58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A04678513</t>
        </is>
      </c>
      <c r="B45" s="4" t="n">
        <v>359.12</v>
      </c>
      <c r="C45" s="3" t="n">
        <v>46034</v>
      </c>
      <c r="D45" s="3" t="n">
        <v>46152</v>
      </c>
      <c r="E45" s="2" t="n">
        <v>15</v>
      </c>
      <c r="F45" s="2" t="n">
        <v>13.41</v>
      </c>
      <c r="G45" s="2" t="n">
        <v>1.58</v>
      </c>
      <c r="H45" s="4" t="n">
        <v>5.67</v>
      </c>
      <c r="I45" s="4" t="n">
        <v>2.01</v>
      </c>
      <c r="J45" s="2" t="n">
        <v>20</v>
      </c>
      <c r="K45" s="4" t="n">
        <v>1.41</v>
      </c>
      <c r="L45" s="4" t="n">
        <v>0.63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A73225557</t>
        </is>
      </c>
      <c r="B46" s="4" t="n">
        <v>3891.18</v>
      </c>
      <c r="C46" s="3" t="n">
        <v>46030</v>
      </c>
      <c r="D46" s="3" t="n">
        <v>46216</v>
      </c>
      <c r="E46" s="2" t="n">
        <v>55</v>
      </c>
      <c r="F46" s="2" t="n">
        <v>13.7</v>
      </c>
      <c r="G46" s="2" t="n">
        <v>1.52</v>
      </c>
      <c r="H46" s="4" t="n">
        <v>59.15</v>
      </c>
      <c r="I46" s="4" t="n">
        <v>81.44</v>
      </c>
      <c r="J46" s="2" t="n">
        <v>60</v>
      </c>
      <c r="K46" s="4" t="n">
        <v>35.21</v>
      </c>
      <c r="L46" s="4" t="n">
        <v>48.61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A81768175</t>
        </is>
      </c>
      <c r="B47" s="4" t="n">
        <v>3128.5</v>
      </c>
      <c r="C47" s="3" t="n">
        <v>46040</v>
      </c>
      <c r="D47" s="3" t="n">
        <v>46178</v>
      </c>
      <c r="E47" s="2" t="n">
        <v>26</v>
      </c>
      <c r="F47" s="2" t="n">
        <v>28.25</v>
      </c>
      <c r="G47" s="2" t="n">
        <v>0.96</v>
      </c>
      <c r="H47" s="4" t="n">
        <v>30.03</v>
      </c>
      <c r="I47" s="4" t="n">
        <v>63.83</v>
      </c>
      <c r="J47" s="2" t="n">
        <v>30</v>
      </c>
      <c r="K47" s="4" t="n">
        <v>8.720000000000001</v>
      </c>
      <c r="L47" s="4" t="n">
        <v>18.9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B23345947</t>
        </is>
      </c>
      <c r="B48" s="4" t="n">
        <v>677.6799999999999</v>
      </c>
      <c r="C48" s="3" t="n">
        <v>46040</v>
      </c>
      <c r="D48" s="3" t="n">
        <v>46066</v>
      </c>
      <c r="E48" s="2" t="n">
        <v>64</v>
      </c>
      <c r="F48" s="2" t="n">
        <v>12.25</v>
      </c>
      <c r="G48" s="2" t="n">
        <v>2.96</v>
      </c>
      <c r="H48" s="4" t="n">
        <v>20.06</v>
      </c>
      <c r="I48" s="4" t="n">
        <v>14.76</v>
      </c>
      <c r="J48" s="2" t="n">
        <v>60</v>
      </c>
      <c r="K48" s="4" t="n">
        <v>12.2</v>
      </c>
      <c r="L48" s="4" t="n">
        <v>8.93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A97986289</t>
        </is>
      </c>
      <c r="B49" s="4" t="n">
        <v>779.3200000000001</v>
      </c>
      <c r="C49" s="3" t="n">
        <v>46041</v>
      </c>
      <c r="D49" s="3" t="n">
        <v>46092</v>
      </c>
      <c r="E49" s="2" t="n">
        <v>22</v>
      </c>
      <c r="F49" s="2" t="n">
        <v>12.47</v>
      </c>
      <c r="G49" s="2" t="n">
        <v>1.37</v>
      </c>
      <c r="H49" s="4" t="n">
        <v>10.68</v>
      </c>
      <c r="I49" s="4" t="n">
        <v>5.94</v>
      </c>
      <c r="J49" s="2" t="n">
        <v>50</v>
      </c>
      <c r="K49" s="4" t="n">
        <v>5.46</v>
      </c>
      <c r="L49" s="4" t="n">
        <v>2.74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B89382373</t>
        </is>
      </c>
      <c r="B50" s="4" t="n">
        <v>2551.25</v>
      </c>
      <c r="C50" s="3" t="n">
        <v>46043</v>
      </c>
      <c r="D50" s="3" t="n">
        <v>46183</v>
      </c>
      <c r="E50" s="2" t="n">
        <v>44</v>
      </c>
      <c r="F50" s="2" t="n">
        <v>39.04</v>
      </c>
      <c r="G50" s="2" t="n">
        <v>1.1</v>
      </c>
      <c r="H50" s="4" t="n">
        <v>28.06</v>
      </c>
      <c r="I50" s="4" t="n">
        <v>121.73</v>
      </c>
      <c r="J50" s="2" t="n">
        <v>60</v>
      </c>
      <c r="K50" s="4" t="n">
        <v>16.89</v>
      </c>
      <c r="L50" s="4" t="n">
        <v>73.09999999999999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B30225175</t>
        </is>
      </c>
      <c r="B51" s="4" t="n">
        <v>507.72</v>
      </c>
      <c r="C51" s="3" t="n">
        <v>46030</v>
      </c>
      <c r="D51" s="3" t="n">
        <v>46131</v>
      </c>
      <c r="E51" s="2" t="n">
        <v>13</v>
      </c>
      <c r="F51" s="2" t="n">
        <v>31.86</v>
      </c>
      <c r="G51" s="2" t="n">
        <v>0.52</v>
      </c>
      <c r="H51" s="4" t="n">
        <v>2.64</v>
      </c>
      <c r="I51" s="4" t="n">
        <v>5.84</v>
      </c>
      <c r="J51" s="2" t="n">
        <v>50</v>
      </c>
      <c r="K51" s="4" t="n">
        <v>1.4</v>
      </c>
      <c r="L51" s="4" t="n">
        <v>2.82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A68843027</t>
        </is>
      </c>
      <c r="B52" s="4" t="n">
        <v>961.99</v>
      </c>
      <c r="C52" s="3" t="n">
        <v>46047</v>
      </c>
      <c r="D52" s="3" t="n">
        <v>46221</v>
      </c>
      <c r="E52" s="2" t="n">
        <v>67</v>
      </c>
      <c r="F52" s="2" t="n">
        <v>12.02</v>
      </c>
      <c r="G52" s="2" t="n">
        <v>1.17</v>
      </c>
      <c r="H52" s="4" t="n">
        <v>11.26</v>
      </c>
      <c r="I52" s="4" t="n">
        <v>21.52</v>
      </c>
      <c r="J52" s="2" t="n">
        <v>30</v>
      </c>
      <c r="K52" s="4" t="n">
        <v>3.23</v>
      </c>
      <c r="L52" s="4" t="n">
        <v>6.31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B65167516</t>
        </is>
      </c>
      <c r="B53" s="4" t="n">
        <v>251.93</v>
      </c>
      <c r="C53" s="3" t="n">
        <v>46037</v>
      </c>
      <c r="D53" s="3" t="n">
        <v>46056</v>
      </c>
      <c r="E53" s="2" t="n">
        <v>60</v>
      </c>
      <c r="F53" s="2" t="n">
        <v>16.95</v>
      </c>
      <c r="G53" s="2" t="n">
        <v>2.36</v>
      </c>
      <c r="H53" s="4" t="n">
        <v>5.95</v>
      </c>
      <c r="I53" s="4" t="n">
        <v>7.12</v>
      </c>
      <c r="J53" s="2" t="n">
        <v>50</v>
      </c>
      <c r="K53" s="4" t="n">
        <v>3.03</v>
      </c>
      <c r="L53" s="4" t="n">
        <v>3.28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B14572724</t>
        </is>
      </c>
      <c r="B54" s="4" t="n">
        <v>9442.879999999999</v>
      </c>
      <c r="C54" s="3" t="n">
        <v>46045</v>
      </c>
      <c r="D54" s="3" t="n">
        <v>46152</v>
      </c>
      <c r="E54" s="2" t="n">
        <v>52</v>
      </c>
      <c r="F54" s="2" t="n">
        <v>27.56</v>
      </c>
      <c r="G54" s="2" t="n">
        <v>0.59</v>
      </c>
      <c r="H54" s="4" t="n">
        <v>55.71</v>
      </c>
      <c r="I54" s="4" t="n">
        <v>375.91</v>
      </c>
      <c r="J54" s="2" t="n">
        <v>40</v>
      </c>
      <c r="K54" s="4" t="n">
        <v>22.19</v>
      </c>
      <c r="L54" s="4" t="n">
        <v>150.6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B95341918</t>
        </is>
      </c>
      <c r="B55" s="4" t="n">
        <v>514.3099999999999</v>
      </c>
      <c r="C55" s="3" t="n">
        <v>46034</v>
      </c>
      <c r="D55" s="3" t="n">
        <v>46158</v>
      </c>
      <c r="E55" s="2" t="n">
        <v>42</v>
      </c>
      <c r="F55" s="2" t="n">
        <v>25.32</v>
      </c>
      <c r="G55" s="2" t="n">
        <v>1.08</v>
      </c>
      <c r="H55" s="4" t="n">
        <v>5.55</v>
      </c>
      <c r="I55" s="4" t="n">
        <v>15.19</v>
      </c>
      <c r="J55" s="2" t="n">
        <v>30</v>
      </c>
      <c r="K55" s="4" t="n">
        <v>1.58</v>
      </c>
      <c r="L55" s="4" t="n">
        <v>4.85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A59318148</t>
        </is>
      </c>
      <c r="B56" s="4" t="n">
        <v>875.35</v>
      </c>
      <c r="C56" s="3" t="n">
        <v>46023</v>
      </c>
      <c r="D56" s="3" t="n">
        <v>46217</v>
      </c>
      <c r="E56" s="2" t="n">
        <v>13</v>
      </c>
      <c r="F56" s="2" t="n">
        <v>21.98</v>
      </c>
      <c r="G56" s="2" t="n">
        <v>1.34</v>
      </c>
      <c r="H56" s="4" t="n">
        <v>11.73</v>
      </c>
      <c r="I56" s="4" t="n">
        <v>6.95</v>
      </c>
      <c r="J56" s="2" t="n">
        <v>20</v>
      </c>
      <c r="K56" s="4" t="n">
        <v>2.05</v>
      </c>
      <c r="L56" s="4" t="n">
        <v>1.14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A67519105</t>
        </is>
      </c>
      <c r="B57" s="4" t="n">
        <v>711.6900000000001</v>
      </c>
      <c r="C57" s="3" t="n">
        <v>46034</v>
      </c>
      <c r="D57" s="3" t="n">
        <v>46175</v>
      </c>
      <c r="E57" s="2" t="n">
        <v>36</v>
      </c>
      <c r="F57" s="2" t="n">
        <v>15.81</v>
      </c>
      <c r="G57" s="2" t="n">
        <v>2.76</v>
      </c>
      <c r="H57" s="4" t="n">
        <v>19.64</v>
      </c>
      <c r="I57" s="4" t="n">
        <v>11.25</v>
      </c>
      <c r="J57" s="2" t="n">
        <v>70</v>
      </c>
      <c r="K57" s="4" t="n">
        <v>13.9</v>
      </c>
      <c r="L57" s="4" t="n">
        <v>7.97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B11019877</t>
        </is>
      </c>
      <c r="B58" s="4" t="n">
        <v>2773.13</v>
      </c>
      <c r="C58" s="3" t="n">
        <v>46047</v>
      </c>
      <c r="D58" s="3" t="n">
        <v>46177</v>
      </c>
      <c r="E58" s="2" t="n">
        <v>60</v>
      </c>
      <c r="F58" s="2" t="n">
        <v>38.39</v>
      </c>
      <c r="G58" s="2" t="n">
        <v>2.43</v>
      </c>
      <c r="H58" s="4" t="n">
        <v>67.39</v>
      </c>
      <c r="I58" s="4" t="n">
        <v>177.43</v>
      </c>
      <c r="J58" s="2" t="n">
        <v>40</v>
      </c>
      <c r="K58" s="4" t="n">
        <v>27</v>
      </c>
      <c r="L58" s="4" t="n">
        <v>71.03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B66857232</t>
        </is>
      </c>
      <c r="B59" s="4" t="n">
        <v>8193.48</v>
      </c>
      <c r="C59" s="3" t="n">
        <v>46034</v>
      </c>
      <c r="D59" s="3" t="n">
        <v>46131</v>
      </c>
      <c r="E59" s="2" t="n">
        <v>55</v>
      </c>
      <c r="F59" s="2" t="n">
        <v>10.02</v>
      </c>
      <c r="G59" s="2" t="n">
        <v>2.94</v>
      </c>
      <c r="H59" s="4" t="n">
        <v>240.89</v>
      </c>
      <c r="I59" s="4" t="n">
        <v>125.43</v>
      </c>
      <c r="J59" s="2" t="n">
        <v>60</v>
      </c>
      <c r="K59" s="4" t="n">
        <v>144.28</v>
      </c>
      <c r="L59" s="4" t="n">
        <v>75.12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B92762376</t>
        </is>
      </c>
      <c r="B60" s="4" t="n">
        <v>721.96</v>
      </c>
      <c r="C60" s="3" t="n">
        <v>46043</v>
      </c>
      <c r="D60" s="3" t="n">
        <v>46206</v>
      </c>
      <c r="E60" s="2" t="n">
        <v>22</v>
      </c>
      <c r="F60" s="2" t="n">
        <v>39.86</v>
      </c>
      <c r="G60" s="2" t="n">
        <v>1.66</v>
      </c>
      <c r="H60" s="4" t="n">
        <v>11.98</v>
      </c>
      <c r="I60" s="4" t="n">
        <v>17.59</v>
      </c>
      <c r="J60" s="2" t="n">
        <v>70</v>
      </c>
      <c r="K60" s="4" t="n">
        <v>8.609999999999999</v>
      </c>
      <c r="L60" s="4" t="n">
        <v>12.08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A47886485</t>
        </is>
      </c>
      <c r="B61" s="4" t="n">
        <v>102.75</v>
      </c>
      <c r="C61" s="3" t="n">
        <v>46035</v>
      </c>
      <c r="D61" s="3" t="n">
        <v>46115</v>
      </c>
      <c r="E61" s="2" t="n">
        <v>70</v>
      </c>
      <c r="F61" s="2" t="n">
        <v>26.52</v>
      </c>
      <c r="G61" s="2" t="n">
        <v>1.8</v>
      </c>
      <c r="H61" s="4" t="n">
        <v>1.85</v>
      </c>
      <c r="I61" s="4" t="n">
        <v>5.3</v>
      </c>
      <c r="J61" s="2" t="n">
        <v>40</v>
      </c>
      <c r="K61" s="4" t="n">
        <v>0.9</v>
      </c>
      <c r="L61" s="4" t="n">
        <v>2.24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B04771216</t>
        </is>
      </c>
      <c r="B62" s="4" t="n">
        <v>620.71</v>
      </c>
      <c r="C62" s="3" t="n">
        <v>46023</v>
      </c>
      <c r="D62" s="3" t="n">
        <v>46080</v>
      </c>
      <c r="E62" s="2" t="n">
        <v>75</v>
      </c>
      <c r="F62" s="2" t="n">
        <v>11.84</v>
      </c>
      <c r="G62" s="2" t="n">
        <v>0.84</v>
      </c>
      <c r="H62" s="4" t="n">
        <v>5.21</v>
      </c>
      <c r="I62" s="4" t="n">
        <v>15.31</v>
      </c>
      <c r="J62" s="2" t="n">
        <v>40</v>
      </c>
      <c r="K62" s="4" t="n">
        <v>2.32</v>
      </c>
      <c r="L62" s="4" t="n">
        <v>5.98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A32591255</t>
        </is>
      </c>
      <c r="B63" s="4" t="n">
        <v>570.97</v>
      </c>
      <c r="C63" s="3" t="n">
        <v>46030</v>
      </c>
      <c r="D63" s="3" t="n">
        <v>46115</v>
      </c>
      <c r="E63" s="2" t="n">
        <v>39</v>
      </c>
      <c r="F63" s="2" t="n">
        <v>48.42</v>
      </c>
      <c r="G63" s="2" t="n">
        <v>0.99</v>
      </c>
      <c r="H63" s="4" t="n">
        <v>5.65</v>
      </c>
      <c r="I63" s="4" t="n">
        <v>29.95</v>
      </c>
      <c r="J63" s="2" t="n">
        <v>50</v>
      </c>
      <c r="K63" s="4" t="n">
        <v>2.69</v>
      </c>
      <c r="L63" s="4" t="n">
        <v>15.07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B92844237</t>
        </is>
      </c>
      <c r="B64" s="4" t="n">
        <v>636.46</v>
      </c>
      <c r="C64" s="3" t="n">
        <v>46049</v>
      </c>
      <c r="D64" s="3" t="n">
        <v>46147</v>
      </c>
      <c r="E64" s="2" t="n">
        <v>25</v>
      </c>
      <c r="F64" s="2" t="n">
        <v>46.5</v>
      </c>
      <c r="G64" s="2" t="n">
        <v>0.67</v>
      </c>
      <c r="H64" s="4" t="n">
        <v>4.26</v>
      </c>
      <c r="I64" s="4" t="n">
        <v>20.55</v>
      </c>
      <c r="J64" s="2" t="n">
        <v>60</v>
      </c>
      <c r="K64" s="4" t="n">
        <v>2.77</v>
      </c>
      <c r="L64" s="4" t="n">
        <v>12.26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B05094639</t>
        </is>
      </c>
      <c r="B65" s="4" t="n">
        <v>868.0599999999999</v>
      </c>
      <c r="C65" s="3" t="n">
        <v>46030</v>
      </c>
      <c r="D65" s="3" t="n">
        <v>46114</v>
      </c>
      <c r="E65" s="2" t="n">
        <v>63</v>
      </c>
      <c r="F65" s="2" t="n">
        <v>41</v>
      </c>
      <c r="G65" s="2" t="n">
        <v>0.96</v>
      </c>
      <c r="H65" s="4" t="n">
        <v>8.33</v>
      </c>
      <c r="I65" s="4" t="n">
        <v>62.28</v>
      </c>
      <c r="J65" s="2" t="n">
        <v>50</v>
      </c>
      <c r="K65" s="4" t="n">
        <v>4.24</v>
      </c>
      <c r="L65" s="4" t="n">
        <v>31.07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B50149591</t>
        </is>
      </c>
      <c r="B66" s="4" t="n">
        <v>142.9</v>
      </c>
      <c r="C66" s="3" t="n">
        <v>46037</v>
      </c>
      <c r="D66" s="3" t="n">
        <v>46077</v>
      </c>
      <c r="E66" s="2" t="n">
        <v>88</v>
      </c>
      <c r="F66" s="2" t="n">
        <v>40.29</v>
      </c>
      <c r="G66" s="2" t="n">
        <v>0.67</v>
      </c>
      <c r="H66" s="4" t="n">
        <v>0.96</v>
      </c>
      <c r="I66" s="4" t="n">
        <v>14.07</v>
      </c>
      <c r="J66" s="2" t="n">
        <v>20</v>
      </c>
      <c r="K66" s="4" t="n">
        <v>-0.07000000000000001</v>
      </c>
      <c r="L66" s="4" t="n">
        <v>2.74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B73409919</t>
        </is>
      </c>
      <c r="B67" s="4" t="n">
        <v>604.3200000000001</v>
      </c>
      <c r="C67" s="3" t="n">
        <v>46024</v>
      </c>
      <c r="D67" s="3" t="n">
        <v>46081</v>
      </c>
      <c r="E67" s="2" t="n">
        <v>90</v>
      </c>
      <c r="F67" s="2" t="n">
        <v>29.66</v>
      </c>
      <c r="G67" s="2" t="n">
        <v>2.76</v>
      </c>
      <c r="H67" s="4" t="n">
        <v>16.68</v>
      </c>
      <c r="I67" s="4" t="n">
        <v>44.81</v>
      </c>
      <c r="J67" s="2" t="n">
        <v>50</v>
      </c>
      <c r="K67" s="4" t="n">
        <v>8.25</v>
      </c>
      <c r="L67" s="4" t="n">
        <v>22.3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B71207632</t>
        </is>
      </c>
      <c r="B68" s="4" t="n">
        <v>630.52</v>
      </c>
      <c r="C68" s="3" t="n">
        <v>46043</v>
      </c>
      <c r="D68" s="3" t="n">
        <v>46119</v>
      </c>
      <c r="E68" s="2" t="n">
        <v>51</v>
      </c>
      <c r="F68" s="2" t="n">
        <v>11.72</v>
      </c>
      <c r="G68" s="2" t="n">
        <v>1.84</v>
      </c>
      <c r="H68" s="4" t="n">
        <v>11.6</v>
      </c>
      <c r="I68" s="4" t="n">
        <v>10.47</v>
      </c>
      <c r="J68" s="2" t="n">
        <v>60</v>
      </c>
      <c r="K68" s="4" t="n">
        <v>6.9</v>
      </c>
      <c r="L68" s="4" t="n">
        <v>6.58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B53134368</t>
        </is>
      </c>
      <c r="B69" s="4" t="n">
        <v>4794.96</v>
      </c>
      <c r="C69" s="3" t="n">
        <v>46029</v>
      </c>
      <c r="D69" s="3" t="n">
        <v>46087</v>
      </c>
      <c r="E69" s="2" t="n">
        <v>43</v>
      </c>
      <c r="F69" s="2" t="n">
        <v>41.36</v>
      </c>
      <c r="G69" s="2" t="n">
        <v>2.59</v>
      </c>
      <c r="H69" s="4" t="n">
        <v>124.19</v>
      </c>
      <c r="I69" s="4" t="n">
        <v>236.88</v>
      </c>
      <c r="J69" s="2" t="n">
        <v>20</v>
      </c>
      <c r="K69" s="4" t="n">
        <v>25.05</v>
      </c>
      <c r="L69" s="4" t="n">
        <v>47.24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A87658642</t>
        </is>
      </c>
      <c r="B70" s="4" t="n">
        <v>4999.3</v>
      </c>
      <c r="C70" s="3" t="n">
        <v>46047</v>
      </c>
      <c r="D70" s="3" t="n">
        <v>46155</v>
      </c>
      <c r="E70" s="2" t="n">
        <v>17</v>
      </c>
      <c r="F70" s="2" t="n">
        <v>12.01</v>
      </c>
      <c r="G70" s="2" t="n">
        <v>1.18</v>
      </c>
      <c r="H70" s="4" t="n">
        <v>58.99</v>
      </c>
      <c r="I70" s="4" t="n">
        <v>28.35</v>
      </c>
      <c r="J70" s="2" t="n">
        <v>70</v>
      </c>
      <c r="K70" s="4" t="n">
        <v>41.35</v>
      </c>
      <c r="L70" s="4" t="n">
        <v>19.57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A42680146</t>
        </is>
      </c>
      <c r="B71" s="4" t="n">
        <v>332.27</v>
      </c>
      <c r="C71" s="3" t="n">
        <v>46048</v>
      </c>
      <c r="D71" s="3" t="n">
        <v>46072</v>
      </c>
      <c r="E71" s="2" t="n">
        <v>41</v>
      </c>
      <c r="F71" s="2" t="n">
        <v>40.84</v>
      </c>
      <c r="G71" s="2" t="n">
        <v>2.61</v>
      </c>
      <c r="H71" s="4" t="n">
        <v>8.67</v>
      </c>
      <c r="I71" s="4" t="n">
        <v>15.45</v>
      </c>
      <c r="J71" s="2" t="n">
        <v>30</v>
      </c>
      <c r="K71" s="4" t="n">
        <v>2.75</v>
      </c>
      <c r="L71" s="4" t="n">
        <v>4.47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A66652986</t>
        </is>
      </c>
      <c r="B72" s="4" t="n">
        <v>217.83</v>
      </c>
      <c r="C72" s="3" t="n">
        <v>46025</v>
      </c>
      <c r="D72" s="3" t="n">
        <v>46069</v>
      </c>
      <c r="E72" s="2" t="n">
        <v>79</v>
      </c>
      <c r="F72" s="2" t="n">
        <v>23.96</v>
      </c>
      <c r="G72" s="2" t="n">
        <v>2.6</v>
      </c>
      <c r="H72" s="4" t="n">
        <v>5.66</v>
      </c>
      <c r="I72" s="4" t="n">
        <v>11.45</v>
      </c>
      <c r="J72" s="2" t="n">
        <v>40</v>
      </c>
      <c r="K72" s="4" t="n">
        <v>2.56</v>
      </c>
      <c r="L72" s="4" t="n">
        <v>4.35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B67859772</t>
        </is>
      </c>
      <c r="B73" s="4" t="n">
        <v>1981.78</v>
      </c>
      <c r="C73" s="3" t="n">
        <v>46024</v>
      </c>
      <c r="D73" s="3" t="n">
        <v>46162</v>
      </c>
      <c r="E73" s="2" t="n">
        <v>84</v>
      </c>
      <c r="F73" s="2" t="n">
        <v>35.93</v>
      </c>
      <c r="G73" s="2" t="n">
        <v>2.54</v>
      </c>
      <c r="H73" s="4" t="n">
        <v>50.34</v>
      </c>
      <c r="I73" s="4" t="n">
        <v>166.15</v>
      </c>
      <c r="J73" s="2" t="n">
        <v>30</v>
      </c>
      <c r="K73" s="4" t="n">
        <v>14.87</v>
      </c>
      <c r="L73" s="4" t="n">
        <v>50.13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B58303778</t>
        </is>
      </c>
      <c r="B74" s="4" t="n">
        <v>899.2</v>
      </c>
      <c r="C74" s="3" t="n">
        <v>46032</v>
      </c>
      <c r="D74" s="3" t="n">
        <v>46064</v>
      </c>
      <c r="E74" s="2" t="n">
        <v>28</v>
      </c>
      <c r="F74" s="2" t="n">
        <v>28.89</v>
      </c>
      <c r="G74" s="2" t="n">
        <v>1.02</v>
      </c>
      <c r="H74" s="4" t="n">
        <v>9.17</v>
      </c>
      <c r="I74" s="4" t="n">
        <v>20.21</v>
      </c>
      <c r="J74" s="2" t="n">
        <v>70</v>
      </c>
      <c r="K74" s="4" t="n">
        <v>6.17</v>
      </c>
      <c r="L74" s="4" t="n">
        <v>13.88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A07310343</t>
        </is>
      </c>
      <c r="B75" s="4" t="n">
        <v>234.26</v>
      </c>
      <c r="C75" s="3" t="n">
        <v>46023</v>
      </c>
      <c r="D75" s="3" t="n">
        <v>46132</v>
      </c>
      <c r="E75" s="2" t="n">
        <v>64</v>
      </c>
      <c r="F75" s="2" t="n">
        <v>37.37</v>
      </c>
      <c r="G75" s="2" t="n">
        <v>2.99</v>
      </c>
      <c r="H75" s="4" t="n">
        <v>7</v>
      </c>
      <c r="I75" s="4" t="n">
        <v>15.56</v>
      </c>
      <c r="J75" s="2" t="n">
        <v>50</v>
      </c>
      <c r="K75" s="4" t="n">
        <v>3.4</v>
      </c>
      <c r="L75" s="4" t="n">
        <v>7.91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A83977236</t>
        </is>
      </c>
      <c r="B76" s="4" t="n">
        <v>440.09</v>
      </c>
      <c r="C76" s="3" t="n">
        <v>46031</v>
      </c>
      <c r="D76" s="3" t="n">
        <v>46135</v>
      </c>
      <c r="E76" s="2" t="n">
        <v>65</v>
      </c>
      <c r="F76" s="2" t="n">
        <v>14.52</v>
      </c>
      <c r="G76" s="2" t="n">
        <v>2.15</v>
      </c>
      <c r="H76" s="4" t="n">
        <v>9.460000000000001</v>
      </c>
      <c r="I76" s="4" t="n">
        <v>11.54</v>
      </c>
      <c r="J76" s="2" t="n">
        <v>40</v>
      </c>
      <c r="K76" s="4" t="n">
        <v>3.57</v>
      </c>
      <c r="L76" s="4" t="n">
        <v>4.55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A61795318</t>
        </is>
      </c>
      <c r="B77" s="4" t="n">
        <v>6285.88</v>
      </c>
      <c r="C77" s="3" t="n">
        <v>46050</v>
      </c>
      <c r="D77" s="3" t="n">
        <v>46231</v>
      </c>
      <c r="E77" s="2" t="n">
        <v>77</v>
      </c>
      <c r="F77" s="2" t="n">
        <v>28.18</v>
      </c>
      <c r="G77" s="2" t="n">
        <v>1.89</v>
      </c>
      <c r="H77" s="4" t="n">
        <v>118.8</v>
      </c>
      <c r="I77" s="4" t="n">
        <v>378.87</v>
      </c>
      <c r="J77" s="2" t="n">
        <v>70</v>
      </c>
      <c r="K77" s="4" t="n">
        <v>83.29000000000001</v>
      </c>
      <c r="L77" s="4" t="n">
        <v>264.92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A26824603</t>
        </is>
      </c>
      <c r="B78" s="4" t="n">
        <v>843.62</v>
      </c>
      <c r="C78" s="3" t="n">
        <v>46047</v>
      </c>
      <c r="D78" s="3" t="n">
        <v>46071</v>
      </c>
      <c r="E78" s="2" t="n">
        <v>83</v>
      </c>
      <c r="F78" s="2" t="n">
        <v>10.96</v>
      </c>
      <c r="G78" s="2" t="n">
        <v>2.95</v>
      </c>
      <c r="H78" s="4" t="n">
        <v>24.89</v>
      </c>
      <c r="I78" s="4" t="n">
        <v>21.32</v>
      </c>
      <c r="J78" s="2" t="n">
        <v>50</v>
      </c>
      <c r="K78" s="4" t="n">
        <v>12.35</v>
      </c>
      <c r="L78" s="4" t="n">
        <v>10.36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B70553437</t>
        </is>
      </c>
      <c r="B79" s="4" t="n">
        <v>424.42</v>
      </c>
      <c r="C79" s="3" t="n">
        <v>46036</v>
      </c>
      <c r="D79" s="3" t="n">
        <v>46117</v>
      </c>
      <c r="E79" s="2" t="n">
        <v>26</v>
      </c>
      <c r="F79" s="2" t="n">
        <v>18.53</v>
      </c>
      <c r="G79" s="2" t="n">
        <v>2.85</v>
      </c>
      <c r="H79" s="4" t="n">
        <v>12.1</v>
      </c>
      <c r="I79" s="4" t="n">
        <v>5.68</v>
      </c>
      <c r="J79" s="2" t="n">
        <v>20</v>
      </c>
      <c r="K79" s="4" t="n">
        <v>2.61</v>
      </c>
      <c r="L79" s="4" t="n">
        <v>0.93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B05094639</t>
        </is>
      </c>
      <c r="B80" s="4" t="n">
        <v>799.33</v>
      </c>
      <c r="C80" s="3" t="n">
        <v>46039</v>
      </c>
      <c r="D80" s="3" t="n">
        <v>46092</v>
      </c>
      <c r="E80" s="2" t="n">
        <v>15</v>
      </c>
      <c r="F80" s="2" t="n">
        <v>18.65</v>
      </c>
      <c r="G80" s="2" t="n">
        <v>2.29</v>
      </c>
      <c r="H80" s="4" t="n">
        <v>18.3</v>
      </c>
      <c r="I80" s="4" t="n">
        <v>6.21</v>
      </c>
      <c r="J80" s="2" t="n">
        <v>40</v>
      </c>
      <c r="K80" s="4" t="n">
        <v>7.15</v>
      </c>
      <c r="L80" s="4" t="n">
        <v>2.2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B50149591</t>
        </is>
      </c>
      <c r="B81" s="4" t="n">
        <v>241.7</v>
      </c>
      <c r="C81" s="3" t="n">
        <v>46035</v>
      </c>
      <c r="D81" s="3" t="n">
        <v>46081</v>
      </c>
      <c r="E81" s="2" t="n">
        <v>15</v>
      </c>
      <c r="F81" s="2" t="n">
        <v>38.78</v>
      </c>
      <c r="G81" s="2" t="n">
        <v>2.16</v>
      </c>
      <c r="H81" s="4" t="n">
        <v>5.22</v>
      </c>
      <c r="I81" s="4" t="n">
        <v>3.91</v>
      </c>
      <c r="J81" s="2" t="n">
        <v>50</v>
      </c>
      <c r="K81" s="4" t="n">
        <v>2.9</v>
      </c>
      <c r="L81" s="4" t="n">
        <v>2.17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A00748575</t>
        </is>
      </c>
      <c r="B82" s="4" t="n">
        <v>310.13</v>
      </c>
      <c r="C82" s="3" t="n">
        <v>46037</v>
      </c>
      <c r="D82" s="3" t="n">
        <v>46059</v>
      </c>
      <c r="E82" s="2" t="n">
        <v>78</v>
      </c>
      <c r="F82" s="2" t="n">
        <v>24.14</v>
      </c>
      <c r="G82" s="2" t="n">
        <v>2.84</v>
      </c>
      <c r="H82" s="4" t="n">
        <v>8.81</v>
      </c>
      <c r="I82" s="4" t="n">
        <v>16.22</v>
      </c>
      <c r="J82" s="2" t="n">
        <v>30</v>
      </c>
      <c r="K82" s="4" t="n">
        <v>2.79</v>
      </c>
      <c r="L82" s="4" t="n">
        <v>4.78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B33010261</t>
        </is>
      </c>
      <c r="B83" s="4" t="n">
        <v>208.05</v>
      </c>
      <c r="C83" s="3" t="n">
        <v>46032</v>
      </c>
      <c r="D83" s="3" t="n">
        <v>46185</v>
      </c>
      <c r="E83" s="2" t="n">
        <v>41</v>
      </c>
      <c r="F83" s="2" t="n">
        <v>27.28</v>
      </c>
      <c r="G83" s="2" t="n">
        <v>2.22</v>
      </c>
      <c r="H83" s="4" t="n">
        <v>4.62</v>
      </c>
      <c r="I83" s="4" t="n">
        <v>6.46</v>
      </c>
      <c r="J83" s="2" t="n">
        <v>60</v>
      </c>
      <c r="K83" s="4" t="n">
        <v>2.92</v>
      </c>
      <c r="L83" s="4" t="n">
        <v>4.07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A00142489</t>
        </is>
      </c>
      <c r="B84" s="4" t="n">
        <v>911.66</v>
      </c>
      <c r="C84" s="3" t="n">
        <v>46050</v>
      </c>
      <c r="D84" s="3" t="n">
        <v>46157</v>
      </c>
      <c r="E84" s="2" t="n">
        <v>65</v>
      </c>
      <c r="F84" s="2" t="n">
        <v>12.06</v>
      </c>
      <c r="G84" s="2" t="n">
        <v>0.58</v>
      </c>
      <c r="H84" s="4" t="n">
        <v>5.29</v>
      </c>
      <c r="I84" s="4" t="n">
        <v>19.85</v>
      </c>
      <c r="J84" s="2" t="n">
        <v>20</v>
      </c>
      <c r="K84" s="4" t="n">
        <v>0.97</v>
      </c>
      <c r="L84" s="4" t="n">
        <v>4.15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B07110495</t>
        </is>
      </c>
      <c r="B85" s="4" t="n">
        <v>335.93</v>
      </c>
      <c r="C85" s="3" t="n">
        <v>46029</v>
      </c>
      <c r="D85" s="3" t="n">
        <v>46126</v>
      </c>
      <c r="E85" s="2" t="n">
        <v>78</v>
      </c>
      <c r="F85" s="2" t="n">
        <v>49.28</v>
      </c>
      <c r="G85" s="2" t="n">
        <v>1.89</v>
      </c>
      <c r="H85" s="4" t="n">
        <v>6.35</v>
      </c>
      <c r="I85" s="4" t="n">
        <v>35.87</v>
      </c>
      <c r="J85" s="2" t="n">
        <v>50</v>
      </c>
      <c r="K85" s="4" t="n">
        <v>3.35</v>
      </c>
      <c r="L85" s="4" t="n">
        <v>17.8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A68208702</t>
        </is>
      </c>
      <c r="B86" s="4" t="n">
        <v>455.27</v>
      </c>
      <c r="C86" s="3" t="n">
        <v>46026</v>
      </c>
      <c r="D86" s="3" t="n">
        <v>46146</v>
      </c>
      <c r="E86" s="2" t="n">
        <v>38</v>
      </c>
      <c r="F86" s="2" t="n">
        <v>15.71</v>
      </c>
      <c r="G86" s="2" t="n">
        <v>2.04</v>
      </c>
      <c r="H86" s="4" t="n">
        <v>9.289999999999999</v>
      </c>
      <c r="I86" s="4" t="n">
        <v>7.55</v>
      </c>
      <c r="J86" s="2" t="n">
        <v>50</v>
      </c>
      <c r="K86" s="4" t="n">
        <v>4.6</v>
      </c>
      <c r="L86" s="4" t="n">
        <v>3.79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A78701777</t>
        </is>
      </c>
      <c r="B87" s="4" t="n">
        <v>7226.99</v>
      </c>
      <c r="C87" s="3" t="n">
        <v>46040</v>
      </c>
      <c r="D87" s="3" t="n">
        <v>46162</v>
      </c>
      <c r="E87" s="2" t="n">
        <v>63</v>
      </c>
      <c r="F87" s="2" t="n">
        <v>47.86</v>
      </c>
      <c r="G87" s="2" t="n">
        <v>1</v>
      </c>
      <c r="H87" s="4" t="n">
        <v>72.27</v>
      </c>
      <c r="I87" s="4" t="n">
        <v>605.3</v>
      </c>
      <c r="J87" s="2" t="n">
        <v>70</v>
      </c>
      <c r="K87" s="4" t="n">
        <v>50.64</v>
      </c>
      <c r="L87" s="4" t="n">
        <v>423.99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B73902506</t>
        </is>
      </c>
      <c r="B88" s="4" t="n">
        <v>5371.28</v>
      </c>
      <c r="C88" s="3" t="n">
        <v>46041</v>
      </c>
      <c r="D88" s="3" t="n">
        <v>46156</v>
      </c>
      <c r="E88" s="2" t="n">
        <v>74</v>
      </c>
      <c r="F88" s="2" t="n">
        <v>35.51</v>
      </c>
      <c r="G88" s="2" t="n">
        <v>1.58</v>
      </c>
      <c r="H88" s="4" t="n">
        <v>84.87</v>
      </c>
      <c r="I88" s="4" t="n">
        <v>392.06</v>
      </c>
      <c r="J88" s="2" t="n">
        <v>60</v>
      </c>
      <c r="K88" s="4" t="n">
        <v>51.19</v>
      </c>
      <c r="L88" s="4" t="n">
        <v>235.12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A61568053</t>
        </is>
      </c>
      <c r="B89" s="4" t="n">
        <v>5849.71</v>
      </c>
      <c r="C89" s="3" t="n">
        <v>46046</v>
      </c>
      <c r="D89" s="3" t="n">
        <v>46088</v>
      </c>
      <c r="E89" s="2" t="n">
        <v>44</v>
      </c>
      <c r="F89" s="2" t="n">
        <v>37.45</v>
      </c>
      <c r="G89" s="2" t="n">
        <v>2.42</v>
      </c>
      <c r="H89" s="4" t="n">
        <v>141.56</v>
      </c>
      <c r="I89" s="4" t="n">
        <v>267.75</v>
      </c>
      <c r="J89" s="2" t="n">
        <v>40</v>
      </c>
      <c r="K89" s="4" t="n">
        <v>56.92</v>
      </c>
      <c r="L89" s="4" t="n">
        <v>107.01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A75308037</t>
        </is>
      </c>
      <c r="B90" s="4" t="n">
        <v>942.16</v>
      </c>
      <c r="C90" s="3" t="n">
        <v>46027</v>
      </c>
      <c r="D90" s="3" t="n">
        <v>46105</v>
      </c>
      <c r="E90" s="2" t="n">
        <v>21</v>
      </c>
      <c r="F90" s="2" t="n">
        <v>35.59</v>
      </c>
      <c r="G90" s="2" t="n">
        <v>1.89</v>
      </c>
      <c r="H90" s="4" t="n">
        <v>17.81</v>
      </c>
      <c r="I90" s="4" t="n">
        <v>19.56</v>
      </c>
      <c r="J90" s="2" t="n">
        <v>50</v>
      </c>
      <c r="K90" s="4" t="n">
        <v>8.81</v>
      </c>
      <c r="L90" s="4" t="n">
        <v>9.77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A79321555</t>
        </is>
      </c>
      <c r="B91" s="4" t="n">
        <v>5822.91</v>
      </c>
      <c r="C91" s="3" t="n">
        <v>46044</v>
      </c>
      <c r="D91" s="3" t="n">
        <v>46200</v>
      </c>
      <c r="E91" s="2" t="n">
        <v>13</v>
      </c>
      <c r="F91" s="2" t="n">
        <v>35.41</v>
      </c>
      <c r="G91" s="2" t="n">
        <v>2.23</v>
      </c>
      <c r="H91" s="4" t="n">
        <v>129.85</v>
      </c>
      <c r="I91" s="4" t="n">
        <v>74.45999999999999</v>
      </c>
      <c r="J91" s="2" t="n">
        <v>20</v>
      </c>
      <c r="K91" s="4" t="n">
        <v>25.82</v>
      </c>
      <c r="L91" s="4" t="n">
        <v>14.65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B78819727</t>
        </is>
      </c>
      <c r="B92" s="4" t="n">
        <v>123.54</v>
      </c>
      <c r="C92" s="3" t="n">
        <v>46024</v>
      </c>
      <c r="D92" s="3" t="n">
        <v>46109</v>
      </c>
      <c r="E92" s="2" t="n">
        <v>41</v>
      </c>
      <c r="F92" s="2" t="n">
        <v>23.36</v>
      </c>
      <c r="G92" s="2" t="n">
        <v>0.85</v>
      </c>
      <c r="H92" s="4" t="n">
        <v>1.05</v>
      </c>
      <c r="I92" s="4" t="n">
        <v>3.29</v>
      </c>
      <c r="J92" s="2" t="n">
        <v>30</v>
      </c>
      <c r="K92" s="4" t="n">
        <v>0.54</v>
      </c>
      <c r="L92" s="4" t="n">
        <v>0.9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B44709467</t>
        </is>
      </c>
      <c r="B93" s="4" t="n">
        <v>7703.89</v>
      </c>
      <c r="C93" s="3" t="n">
        <v>46040</v>
      </c>
      <c r="D93" s="3" t="n">
        <v>46094</v>
      </c>
      <c r="E93" s="2" t="n">
        <v>53</v>
      </c>
      <c r="F93" s="2" t="n">
        <v>11.69</v>
      </c>
      <c r="G93" s="2" t="n">
        <v>0.79</v>
      </c>
      <c r="H93" s="4" t="n">
        <v>60.86</v>
      </c>
      <c r="I93" s="4" t="n">
        <v>132.59</v>
      </c>
      <c r="J93" s="2" t="n">
        <v>30</v>
      </c>
      <c r="K93" s="4" t="n">
        <v>18.14</v>
      </c>
      <c r="L93" s="4" t="n">
        <v>39.52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B86649621</t>
        </is>
      </c>
      <c r="B94" s="4" t="n">
        <v>549.3</v>
      </c>
      <c r="C94" s="3" t="n">
        <v>46034</v>
      </c>
      <c r="D94" s="3" t="n">
        <v>46195</v>
      </c>
      <c r="E94" s="2" t="n">
        <v>67</v>
      </c>
      <c r="F94" s="2" t="n">
        <v>27.12</v>
      </c>
      <c r="G94" s="2" t="n">
        <v>0.65</v>
      </c>
      <c r="H94" s="4" t="n">
        <v>3.57</v>
      </c>
      <c r="I94" s="4" t="n">
        <v>27.73</v>
      </c>
      <c r="J94" s="2" t="n">
        <v>40</v>
      </c>
      <c r="K94" s="4" t="n">
        <v>1.14</v>
      </c>
      <c r="L94" s="4" t="n">
        <v>11.12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B86647848</t>
        </is>
      </c>
      <c r="B95" s="4" t="n">
        <v>316.99</v>
      </c>
      <c r="C95" s="3" t="n">
        <v>46038</v>
      </c>
      <c r="D95" s="3" t="n">
        <v>46180</v>
      </c>
      <c r="E95" s="2" t="n">
        <v>64</v>
      </c>
      <c r="F95" s="2" t="n">
        <v>11.18</v>
      </c>
      <c r="G95" s="2" t="n">
        <v>1.78</v>
      </c>
      <c r="H95" s="4" t="n">
        <v>5.64</v>
      </c>
      <c r="I95" s="4" t="n">
        <v>6.3</v>
      </c>
      <c r="J95" s="2" t="n">
        <v>40</v>
      </c>
      <c r="K95" s="4" t="n">
        <v>1.99</v>
      </c>
      <c r="L95" s="4" t="n">
        <v>2.63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B07110495</t>
        </is>
      </c>
      <c r="B96" s="4" t="n">
        <v>9506.219999999999</v>
      </c>
      <c r="C96" s="3" t="n">
        <v>46043</v>
      </c>
      <c r="D96" s="3" t="n">
        <v>46224</v>
      </c>
      <c r="E96" s="2" t="n">
        <v>80</v>
      </c>
      <c r="F96" s="2" t="n">
        <v>30.71</v>
      </c>
      <c r="G96" s="2" t="n">
        <v>1.09</v>
      </c>
      <c r="H96" s="4" t="n">
        <v>103.62</v>
      </c>
      <c r="I96" s="4" t="n">
        <v>648.75</v>
      </c>
      <c r="J96" s="2" t="n">
        <v>40</v>
      </c>
      <c r="K96" s="4" t="n">
        <v>41.52</v>
      </c>
      <c r="L96" s="4" t="n">
        <v>259.34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B08185527</t>
        </is>
      </c>
      <c r="B97" s="4" t="n">
        <v>848.09</v>
      </c>
      <c r="C97" s="3" t="n">
        <v>46038</v>
      </c>
      <c r="D97" s="3" t="n">
        <v>46149</v>
      </c>
      <c r="E97" s="2" t="n">
        <v>25</v>
      </c>
      <c r="F97" s="2" t="n">
        <v>38.62</v>
      </c>
      <c r="G97" s="2" t="n">
        <v>0.9399999999999999</v>
      </c>
      <c r="H97" s="4" t="n">
        <v>7.97</v>
      </c>
      <c r="I97" s="4" t="n">
        <v>22.75</v>
      </c>
      <c r="J97" s="2" t="n">
        <v>60</v>
      </c>
      <c r="K97" s="4" t="n">
        <v>4.89</v>
      </c>
      <c r="L97" s="4" t="n">
        <v>13.7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A31637699</t>
        </is>
      </c>
      <c r="B98" s="4" t="n">
        <v>758.92</v>
      </c>
      <c r="C98" s="3" t="n">
        <v>46032</v>
      </c>
      <c r="D98" s="3" t="n">
        <v>46128</v>
      </c>
      <c r="E98" s="2" t="n">
        <v>68</v>
      </c>
      <c r="F98" s="2" t="n">
        <v>44.45</v>
      </c>
      <c r="G98" s="2" t="n">
        <v>0.8</v>
      </c>
      <c r="H98" s="4" t="n">
        <v>6.07</v>
      </c>
      <c r="I98" s="4" t="n">
        <v>63.72</v>
      </c>
      <c r="J98" s="2" t="n">
        <v>30</v>
      </c>
      <c r="K98" s="4" t="n">
        <v>2.04</v>
      </c>
      <c r="L98" s="4" t="n">
        <v>19.01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A82804660</t>
        </is>
      </c>
      <c r="B99" s="4" t="n">
        <v>658.23</v>
      </c>
      <c r="C99" s="3" t="n">
        <v>46050</v>
      </c>
      <c r="D99" s="3" t="n">
        <v>46214</v>
      </c>
      <c r="E99" s="2" t="n">
        <v>59</v>
      </c>
      <c r="F99" s="2" t="n">
        <v>22.53</v>
      </c>
      <c r="G99" s="2" t="n">
        <v>2.73</v>
      </c>
      <c r="H99" s="4" t="n">
        <v>17.97</v>
      </c>
      <c r="I99" s="4" t="n">
        <v>24.3</v>
      </c>
      <c r="J99" s="2" t="n">
        <v>30</v>
      </c>
      <c r="K99" s="4" t="n">
        <v>5.17</v>
      </c>
      <c r="L99" s="4" t="n">
        <v>7.04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B81778269</t>
        </is>
      </c>
      <c r="B100" s="4" t="n">
        <v>7794.29</v>
      </c>
      <c r="C100" s="3" t="n">
        <v>46040</v>
      </c>
      <c r="D100" s="3" t="n">
        <v>46136</v>
      </c>
      <c r="E100" s="2" t="n">
        <v>66</v>
      </c>
      <c r="F100" s="2" t="n">
        <v>20.19</v>
      </c>
      <c r="G100" s="2" t="n">
        <v>1.81</v>
      </c>
      <c r="H100" s="4" t="n">
        <v>141.08</v>
      </c>
      <c r="I100" s="4" t="n">
        <v>288.51</v>
      </c>
      <c r="J100" s="2" t="n">
        <v>20</v>
      </c>
      <c r="K100" s="4" t="n">
        <v>27.99</v>
      </c>
      <c r="L100" s="4" t="n">
        <v>57.53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B22712566</t>
        </is>
      </c>
      <c r="B101" s="4" t="n">
        <v>626.1799999999999</v>
      </c>
      <c r="C101" s="3" t="n">
        <v>46041</v>
      </c>
      <c r="D101" s="3" t="n">
        <v>46072</v>
      </c>
      <c r="E101" s="2" t="n">
        <v>58</v>
      </c>
      <c r="F101" s="2" t="n">
        <v>43.72</v>
      </c>
      <c r="G101" s="2" t="n">
        <v>1.6</v>
      </c>
      <c r="H101" s="4" t="n">
        <v>10.02</v>
      </c>
      <c r="I101" s="4" t="n">
        <v>44.11</v>
      </c>
      <c r="J101" s="2" t="n">
        <v>20</v>
      </c>
      <c r="K101" s="4" t="n">
        <v>1.75</v>
      </c>
      <c r="L101" s="4" t="n">
        <v>9.07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A26123274</t>
        </is>
      </c>
      <c r="B102" s="4" t="n">
        <v>9938.07</v>
      </c>
      <c r="C102" s="3" t="n">
        <v>46033</v>
      </c>
      <c r="D102" s="3" t="n">
        <v>46186</v>
      </c>
      <c r="E102" s="2" t="n">
        <v>45</v>
      </c>
      <c r="F102" s="2" t="n">
        <v>48.72</v>
      </c>
      <c r="G102" s="2" t="n">
        <v>2.06</v>
      </c>
      <c r="H102" s="4" t="n">
        <v>204.72</v>
      </c>
      <c r="I102" s="4" t="n">
        <v>605.23</v>
      </c>
      <c r="J102" s="2" t="n">
        <v>50</v>
      </c>
      <c r="K102" s="4" t="n">
        <v>102.18</v>
      </c>
      <c r="L102" s="4" t="n">
        <v>302.84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B60803962</t>
        </is>
      </c>
      <c r="B103" s="4" t="n">
        <v>775.3</v>
      </c>
      <c r="C103" s="3" t="n">
        <v>46043</v>
      </c>
      <c r="D103" s="3" t="n">
        <v>46229</v>
      </c>
      <c r="E103" s="2" t="n">
        <v>36</v>
      </c>
      <c r="F103" s="2" t="n">
        <v>18.85</v>
      </c>
      <c r="G103" s="2" t="n">
        <v>1.58</v>
      </c>
      <c r="H103" s="4" t="n">
        <v>12.25</v>
      </c>
      <c r="I103" s="4" t="n">
        <v>14.61</v>
      </c>
      <c r="J103" s="2" t="n">
        <v>20</v>
      </c>
      <c r="K103" s="4" t="n">
        <v>2.55</v>
      </c>
      <c r="L103" s="4" t="n">
        <v>3.11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B05772234</t>
        </is>
      </c>
      <c r="B104" s="4" t="n">
        <v>1460.75</v>
      </c>
      <c r="C104" s="3" t="n">
        <v>46048</v>
      </c>
      <c r="D104" s="3" t="n">
        <v>46213</v>
      </c>
      <c r="E104" s="2" t="n">
        <v>80</v>
      </c>
      <c r="F104" s="2" t="n">
        <v>39.1</v>
      </c>
      <c r="G104" s="2" t="n">
        <v>0.79</v>
      </c>
      <c r="H104" s="4" t="n">
        <v>11.54</v>
      </c>
      <c r="I104" s="4" t="n">
        <v>126.92</v>
      </c>
      <c r="J104" s="2" t="n">
        <v>70</v>
      </c>
      <c r="K104" s="4" t="n">
        <v>8.300000000000001</v>
      </c>
      <c r="L104" s="4" t="n">
        <v>89.14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A38674534</t>
        </is>
      </c>
      <c r="B105" s="4" t="n">
        <v>761.52</v>
      </c>
      <c r="C105" s="3" t="n">
        <v>46029</v>
      </c>
      <c r="D105" s="3" t="n">
        <v>46168</v>
      </c>
      <c r="E105" s="2" t="n">
        <v>77</v>
      </c>
      <c r="F105" s="2" t="n">
        <v>35.08</v>
      </c>
      <c r="G105" s="2" t="n">
        <v>1.97</v>
      </c>
      <c r="H105" s="4" t="n">
        <v>15</v>
      </c>
      <c r="I105" s="4" t="n">
        <v>57.14</v>
      </c>
      <c r="J105" s="2" t="n">
        <v>20</v>
      </c>
      <c r="K105" s="4" t="n">
        <v>3.21</v>
      </c>
      <c r="L105" s="4" t="n">
        <v>11.62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B68459952</t>
        </is>
      </c>
      <c r="B106" s="4" t="n">
        <v>9287.129999999999</v>
      </c>
      <c r="C106" s="3" t="n">
        <v>46038</v>
      </c>
      <c r="D106" s="3" t="n">
        <v>46230</v>
      </c>
      <c r="E106" s="2" t="n">
        <v>37</v>
      </c>
      <c r="F106" s="2" t="n">
        <v>39.1</v>
      </c>
      <c r="G106" s="2" t="n">
        <v>1.44</v>
      </c>
      <c r="H106" s="4" t="n">
        <v>133.73</v>
      </c>
      <c r="I106" s="4" t="n">
        <v>373.21</v>
      </c>
      <c r="J106" s="2" t="n">
        <v>30</v>
      </c>
      <c r="K106" s="4" t="n">
        <v>40.42</v>
      </c>
      <c r="L106" s="4" t="n">
        <v>111.68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A06074465</t>
        </is>
      </c>
      <c r="B107" s="4" t="n">
        <v>5165.81</v>
      </c>
      <c r="C107" s="3" t="n">
        <v>46047</v>
      </c>
      <c r="D107" s="3" t="n">
        <v>46149</v>
      </c>
      <c r="E107" s="2" t="n">
        <v>32</v>
      </c>
      <c r="F107" s="2" t="n">
        <v>12.98</v>
      </c>
      <c r="G107" s="2" t="n">
        <v>2.16</v>
      </c>
      <c r="H107" s="4" t="n">
        <v>111.58</v>
      </c>
      <c r="I107" s="4" t="n">
        <v>59.6</v>
      </c>
      <c r="J107" s="2" t="n">
        <v>50</v>
      </c>
      <c r="K107" s="4" t="n">
        <v>55.74</v>
      </c>
      <c r="L107" s="4" t="n">
        <v>30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B31671697</t>
        </is>
      </c>
      <c r="B108" s="4" t="n">
        <v>524.1</v>
      </c>
      <c r="C108" s="3" t="n">
        <v>46029</v>
      </c>
      <c r="D108" s="3" t="n">
        <v>46069</v>
      </c>
      <c r="E108" s="2" t="n">
        <v>12</v>
      </c>
      <c r="F108" s="2" t="n">
        <v>48.09</v>
      </c>
      <c r="G108" s="2" t="n">
        <v>1.09</v>
      </c>
      <c r="H108" s="4" t="n">
        <v>5.71</v>
      </c>
      <c r="I108" s="4" t="n">
        <v>8.4</v>
      </c>
      <c r="J108" s="2" t="n">
        <v>70</v>
      </c>
      <c r="K108" s="4" t="n">
        <v>3.82</v>
      </c>
      <c r="L108" s="4" t="n">
        <v>5.87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A39063221</t>
        </is>
      </c>
      <c r="B109" s="4" t="n">
        <v>816.47</v>
      </c>
      <c r="C109" s="3" t="n">
        <v>46026</v>
      </c>
      <c r="D109" s="3" t="n">
        <v>46085</v>
      </c>
      <c r="E109" s="2" t="n">
        <v>51</v>
      </c>
      <c r="F109" s="2" t="n">
        <v>26.43</v>
      </c>
      <c r="G109" s="2" t="n">
        <v>2.89</v>
      </c>
      <c r="H109" s="4" t="n">
        <v>23.6</v>
      </c>
      <c r="I109" s="4" t="n">
        <v>30.57</v>
      </c>
      <c r="J109" s="2" t="n">
        <v>20</v>
      </c>
      <c r="K109" s="4" t="n">
        <v>4.93</v>
      </c>
      <c r="L109" s="4" t="n">
        <v>6.15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B25150721</t>
        </is>
      </c>
      <c r="B110" s="4" t="n">
        <v>705.9400000000001</v>
      </c>
      <c r="C110" s="3" t="n">
        <v>46032</v>
      </c>
      <c r="D110" s="3" t="n">
        <v>46186</v>
      </c>
      <c r="E110" s="2" t="n">
        <v>86</v>
      </c>
      <c r="F110" s="2" t="n">
        <v>45.1</v>
      </c>
      <c r="G110" s="2" t="n">
        <v>1.74</v>
      </c>
      <c r="H110" s="4" t="n">
        <v>12.28</v>
      </c>
      <c r="I110" s="4" t="n">
        <v>76.06</v>
      </c>
      <c r="J110" s="2" t="n">
        <v>50</v>
      </c>
      <c r="K110" s="4" t="n">
        <v>5.98</v>
      </c>
      <c r="L110" s="4" t="n">
        <v>37.95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A29596985</t>
        </is>
      </c>
      <c r="B111" s="4" t="n">
        <v>906.9</v>
      </c>
      <c r="C111" s="3" t="n">
        <v>46026</v>
      </c>
      <c r="D111" s="3" t="n">
        <v>46185</v>
      </c>
      <c r="E111" s="2" t="n">
        <v>36</v>
      </c>
      <c r="F111" s="2" t="n">
        <v>30.98</v>
      </c>
      <c r="G111" s="2" t="n">
        <v>2.58</v>
      </c>
      <c r="H111" s="4" t="n">
        <v>23.4</v>
      </c>
      <c r="I111" s="4" t="n">
        <v>28.1</v>
      </c>
      <c r="J111" s="2" t="n">
        <v>40</v>
      </c>
      <c r="K111" s="4" t="n">
        <v>9.49</v>
      </c>
      <c r="L111" s="4" t="n">
        <v>11.12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A00748575</t>
        </is>
      </c>
      <c r="B112" s="4" t="n">
        <v>936.17</v>
      </c>
      <c r="C112" s="3" t="n">
        <v>46037</v>
      </c>
      <c r="D112" s="3" t="n">
        <v>46128</v>
      </c>
      <c r="E112" s="2" t="n">
        <v>81</v>
      </c>
      <c r="F112" s="2" t="n">
        <v>24.22</v>
      </c>
      <c r="G112" s="2" t="n">
        <v>0.63</v>
      </c>
      <c r="H112" s="4" t="n">
        <v>5.9</v>
      </c>
      <c r="I112" s="4" t="n">
        <v>51.02</v>
      </c>
      <c r="J112" s="2" t="n">
        <v>60</v>
      </c>
      <c r="K112" s="4" t="n">
        <v>3.5</v>
      </c>
      <c r="L112" s="4" t="n">
        <v>30.81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B53439160</t>
        </is>
      </c>
      <c r="B113" s="4" t="n">
        <v>890.3200000000001</v>
      </c>
      <c r="C113" s="3" t="n">
        <v>46023</v>
      </c>
      <c r="D113" s="3" t="n">
        <v>46145</v>
      </c>
      <c r="E113" s="2" t="n">
        <v>16</v>
      </c>
      <c r="F113" s="2" t="n">
        <v>36.27</v>
      </c>
      <c r="G113" s="2" t="n">
        <v>0.86</v>
      </c>
      <c r="H113" s="4" t="n">
        <v>7.66</v>
      </c>
      <c r="I113" s="4" t="n">
        <v>14.35</v>
      </c>
      <c r="J113" s="2" t="n">
        <v>70</v>
      </c>
      <c r="K113" s="4" t="n">
        <v>5.08</v>
      </c>
      <c r="L113" s="4" t="n">
        <v>9.859999999999999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A84327401</t>
        </is>
      </c>
      <c r="B114" s="4" t="n">
        <v>8097.29</v>
      </c>
      <c r="C114" s="3" t="n">
        <v>46037</v>
      </c>
      <c r="D114" s="3" t="n">
        <v>46075</v>
      </c>
      <c r="E114" s="2" t="n">
        <v>12</v>
      </c>
      <c r="F114" s="2" t="n">
        <v>34.64</v>
      </c>
      <c r="G114" s="2" t="n">
        <v>1.01</v>
      </c>
      <c r="H114" s="4" t="n">
        <v>81.78</v>
      </c>
      <c r="I114" s="4" t="n">
        <v>93.5</v>
      </c>
      <c r="J114" s="2" t="n">
        <v>50</v>
      </c>
      <c r="K114" s="4" t="n">
        <v>40.59</v>
      </c>
      <c r="L114" s="4" t="n">
        <v>46.97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A32805421</t>
        </is>
      </c>
      <c r="B115" s="4" t="n">
        <v>786.4299999999999</v>
      </c>
      <c r="C115" s="3" t="n">
        <v>46035</v>
      </c>
      <c r="D115" s="3" t="n">
        <v>46201</v>
      </c>
      <c r="E115" s="2" t="n">
        <v>71</v>
      </c>
      <c r="F115" s="2" t="n">
        <v>40.03</v>
      </c>
      <c r="G115" s="2" t="n">
        <v>2.34</v>
      </c>
      <c r="H115" s="4" t="n">
        <v>18.4</v>
      </c>
      <c r="I115" s="4" t="n">
        <v>62.09</v>
      </c>
      <c r="J115" s="2" t="n">
        <v>20</v>
      </c>
      <c r="K115" s="4" t="n">
        <v>3.41</v>
      </c>
      <c r="L115" s="4" t="n">
        <v>12.37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A15943154</t>
        </is>
      </c>
      <c r="B116" s="4" t="n">
        <v>738.5</v>
      </c>
      <c r="C116" s="3" t="n">
        <v>46038</v>
      </c>
      <c r="D116" s="3" t="n">
        <v>46074</v>
      </c>
      <c r="E116" s="2" t="n">
        <v>21</v>
      </c>
      <c r="F116" s="2" t="n">
        <v>11.11</v>
      </c>
      <c r="G116" s="2" t="n">
        <v>0.8100000000000001</v>
      </c>
      <c r="H116" s="4" t="n">
        <v>5.98</v>
      </c>
      <c r="I116" s="4" t="n">
        <v>4.79</v>
      </c>
      <c r="J116" s="2" t="n">
        <v>30</v>
      </c>
      <c r="K116" s="4" t="n">
        <v>1.94</v>
      </c>
      <c r="L116" s="4" t="n">
        <v>1.73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B06548308</t>
        </is>
      </c>
      <c r="B117" s="4" t="n">
        <v>380.67</v>
      </c>
      <c r="C117" s="3" t="n">
        <v>46023</v>
      </c>
      <c r="D117" s="3" t="n">
        <v>46216</v>
      </c>
      <c r="E117" s="2" t="n">
        <v>14</v>
      </c>
      <c r="F117" s="2" t="n">
        <v>36.42</v>
      </c>
      <c r="G117" s="2" t="n">
        <v>2.7</v>
      </c>
      <c r="H117" s="4" t="n">
        <v>10.28</v>
      </c>
      <c r="I117" s="4" t="n">
        <v>5.39</v>
      </c>
      <c r="J117" s="2" t="n">
        <v>40</v>
      </c>
      <c r="K117" s="4" t="n">
        <v>4.2</v>
      </c>
      <c r="L117" s="4" t="n">
        <v>2.21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A78687274</t>
        </is>
      </c>
      <c r="B118" s="4" t="n">
        <v>142.8</v>
      </c>
      <c r="C118" s="3" t="n">
        <v>46041</v>
      </c>
      <c r="D118" s="3" t="n">
        <v>46138</v>
      </c>
      <c r="E118" s="2" t="n">
        <v>33</v>
      </c>
      <c r="F118" s="2" t="n">
        <v>15.85</v>
      </c>
      <c r="G118" s="2" t="n">
        <v>0.6</v>
      </c>
      <c r="H118" s="4" t="n">
        <v>0.86</v>
      </c>
      <c r="I118" s="4" t="n">
        <v>2.07</v>
      </c>
      <c r="J118" s="2" t="n">
        <v>60</v>
      </c>
      <c r="K118" s="4" t="n">
        <v>0.31</v>
      </c>
      <c r="L118" s="4" t="n">
        <v>1.2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A09361757</t>
        </is>
      </c>
      <c r="B119" s="4" t="n">
        <v>302.16</v>
      </c>
      <c r="C119" s="3" t="n">
        <v>46037</v>
      </c>
      <c r="D119" s="3" t="n">
        <v>46166</v>
      </c>
      <c r="E119" s="2" t="n">
        <v>26</v>
      </c>
      <c r="F119" s="2" t="n">
        <v>14.85</v>
      </c>
      <c r="G119" s="2" t="n">
        <v>2.39</v>
      </c>
      <c r="H119" s="4" t="n">
        <v>7.22</v>
      </c>
      <c r="I119" s="4" t="n">
        <v>3.24</v>
      </c>
      <c r="J119" s="2" t="n">
        <v>30</v>
      </c>
      <c r="K119" s="4" t="n">
        <v>2.35</v>
      </c>
      <c r="L119" s="4" t="n">
        <v>0.91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B10372782</t>
        </is>
      </c>
      <c r="B120" s="4" t="n">
        <v>197.42</v>
      </c>
      <c r="C120" s="3" t="n">
        <v>46046</v>
      </c>
      <c r="D120" s="3" t="n">
        <v>46137</v>
      </c>
      <c r="E120" s="2" t="n">
        <v>54</v>
      </c>
      <c r="F120" s="2" t="n">
        <v>32.19</v>
      </c>
      <c r="G120" s="2" t="n">
        <v>2.76</v>
      </c>
      <c r="H120" s="4" t="n">
        <v>5.45</v>
      </c>
      <c r="I120" s="4" t="n">
        <v>9.529999999999999</v>
      </c>
      <c r="J120" s="2" t="n">
        <v>50</v>
      </c>
      <c r="K120" s="4" t="n">
        <v>2.61</v>
      </c>
      <c r="L120" s="4" t="n">
        <v>4.65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A73709218</t>
        </is>
      </c>
      <c r="B121" s="4" t="n">
        <v>851.4</v>
      </c>
      <c r="C121" s="3" t="n">
        <v>46039</v>
      </c>
      <c r="D121" s="3" t="n">
        <v>46060</v>
      </c>
      <c r="E121" s="2" t="n">
        <v>68</v>
      </c>
      <c r="F121" s="2" t="n">
        <v>37.28</v>
      </c>
      <c r="G121" s="2" t="n">
        <v>1.11</v>
      </c>
      <c r="H121" s="4" t="n">
        <v>9.449999999999999</v>
      </c>
      <c r="I121" s="4" t="n">
        <v>59.95</v>
      </c>
      <c r="J121" s="2" t="n">
        <v>20</v>
      </c>
      <c r="K121" s="4" t="n">
        <v>1.72</v>
      </c>
      <c r="L121" s="4" t="n">
        <v>11.95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A22924416</t>
        </is>
      </c>
      <c r="B122" s="4" t="n">
        <v>1269.81</v>
      </c>
      <c r="C122" s="3" t="n">
        <v>46038</v>
      </c>
      <c r="D122" s="3" t="n">
        <v>46055</v>
      </c>
      <c r="E122" s="2" t="n">
        <v>25</v>
      </c>
      <c r="F122" s="2" t="n">
        <v>42.89</v>
      </c>
      <c r="G122" s="2" t="n">
        <v>1.12</v>
      </c>
      <c r="H122" s="4" t="n">
        <v>14.22</v>
      </c>
      <c r="I122" s="4" t="n">
        <v>37.82</v>
      </c>
      <c r="J122" s="2" t="n">
        <v>40</v>
      </c>
      <c r="K122" s="4" t="n">
        <v>5.65</v>
      </c>
      <c r="L122" s="4" t="n">
        <v>14.91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A83802131</t>
        </is>
      </c>
      <c r="B123" s="4" t="n">
        <v>4963.49</v>
      </c>
      <c r="C123" s="3" t="n">
        <v>46026</v>
      </c>
      <c r="D123" s="3" t="n">
        <v>46187</v>
      </c>
      <c r="E123" s="2" t="n">
        <v>51</v>
      </c>
      <c r="F123" s="2" t="n">
        <v>29.5</v>
      </c>
      <c r="G123" s="2" t="n">
        <v>0.61</v>
      </c>
      <c r="H123" s="4" t="n">
        <v>30.28</v>
      </c>
      <c r="I123" s="4" t="n">
        <v>207.43</v>
      </c>
      <c r="J123" s="2" t="n">
        <v>60</v>
      </c>
      <c r="K123" s="4" t="n">
        <v>18.09</v>
      </c>
      <c r="L123" s="4" t="n">
        <v>124.18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B87357031</t>
        </is>
      </c>
      <c r="B124" s="4" t="n">
        <v>568.15</v>
      </c>
      <c r="C124" s="3" t="n">
        <v>46023</v>
      </c>
      <c r="D124" s="3" t="n">
        <v>46120</v>
      </c>
      <c r="E124" s="2" t="n">
        <v>48</v>
      </c>
      <c r="F124" s="2" t="n">
        <v>45.52</v>
      </c>
      <c r="G124" s="2" t="n">
        <v>2.51</v>
      </c>
      <c r="H124" s="4" t="n">
        <v>14.26</v>
      </c>
      <c r="I124" s="4" t="n">
        <v>34.48</v>
      </c>
      <c r="J124" s="2" t="n">
        <v>40</v>
      </c>
      <c r="K124" s="4" t="n">
        <v>5.53</v>
      </c>
      <c r="L124" s="4" t="n">
        <v>13.62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A55687689</t>
        </is>
      </c>
      <c r="B125" s="4" t="n">
        <v>350.19</v>
      </c>
      <c r="C125" s="3" t="n">
        <v>46028</v>
      </c>
      <c r="D125" s="3" t="n">
        <v>46189</v>
      </c>
      <c r="E125" s="2" t="n">
        <v>90</v>
      </c>
      <c r="F125" s="2" t="n">
        <v>12.54</v>
      </c>
      <c r="G125" s="2" t="n">
        <v>1.93</v>
      </c>
      <c r="H125" s="4" t="n">
        <v>6.76</v>
      </c>
      <c r="I125" s="4" t="n">
        <v>10.98</v>
      </c>
      <c r="J125" s="2" t="n">
        <v>50</v>
      </c>
      <c r="K125" s="4" t="n">
        <v>3.31</v>
      </c>
      <c r="L125" s="4" t="n">
        <v>5.35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A77287566</t>
        </is>
      </c>
      <c r="B126" s="4" t="n">
        <v>954.5700000000001</v>
      </c>
      <c r="C126" s="3" t="n">
        <v>46024</v>
      </c>
      <c r="D126" s="3" t="n">
        <v>46213</v>
      </c>
      <c r="E126" s="2" t="n">
        <v>18</v>
      </c>
      <c r="F126" s="2" t="n">
        <v>26.23</v>
      </c>
      <c r="G126" s="2" t="n">
        <v>2.18</v>
      </c>
      <c r="H126" s="4" t="n">
        <v>20.81</v>
      </c>
      <c r="I126" s="4" t="n">
        <v>12.52</v>
      </c>
      <c r="J126" s="2" t="n">
        <v>70</v>
      </c>
      <c r="K126" s="4" t="n">
        <v>14.42</v>
      </c>
      <c r="L126" s="4" t="n">
        <v>8.83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B45408846</t>
        </is>
      </c>
      <c r="B127" s="4" t="n">
        <v>6879.98</v>
      </c>
      <c r="C127" s="3" t="n">
        <v>46029</v>
      </c>
      <c r="D127" s="3" t="n">
        <v>46168</v>
      </c>
      <c r="E127" s="2" t="n">
        <v>40</v>
      </c>
      <c r="F127" s="2" t="n">
        <v>37.65</v>
      </c>
      <c r="G127" s="2" t="n">
        <v>2.64</v>
      </c>
      <c r="H127" s="4" t="n">
        <v>181.63</v>
      </c>
      <c r="I127" s="4" t="n">
        <v>287.81</v>
      </c>
      <c r="J127" s="2" t="n">
        <v>60</v>
      </c>
      <c r="K127" s="4" t="n">
        <v>108.85</v>
      </c>
      <c r="L127" s="4" t="n">
        <v>172.78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B42104691</t>
        </is>
      </c>
      <c r="B128" s="4" t="n">
        <v>304.53</v>
      </c>
      <c r="C128" s="3" t="n">
        <v>46039</v>
      </c>
      <c r="D128" s="3" t="n">
        <v>46230</v>
      </c>
      <c r="E128" s="2" t="n">
        <v>90</v>
      </c>
      <c r="F128" s="2" t="n">
        <v>44.13</v>
      </c>
      <c r="G128" s="2" t="n">
        <v>1.26</v>
      </c>
      <c r="H128" s="4" t="n">
        <v>3.84</v>
      </c>
      <c r="I128" s="4" t="n">
        <v>33.6</v>
      </c>
      <c r="J128" s="2" t="n">
        <v>60</v>
      </c>
      <c r="K128" s="4" t="n">
        <v>2.59</v>
      </c>
      <c r="L128" s="4" t="n">
        <v>20.13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A11647340</t>
        </is>
      </c>
      <c r="B129" s="4" t="n">
        <v>8175.31</v>
      </c>
      <c r="C129" s="3" t="n">
        <v>46040</v>
      </c>
      <c r="D129" s="3" t="n">
        <v>46143</v>
      </c>
      <c r="E129" s="2" t="n">
        <v>72</v>
      </c>
      <c r="F129" s="2" t="n">
        <v>10.94</v>
      </c>
      <c r="G129" s="2" t="n">
        <v>1.83</v>
      </c>
      <c r="H129" s="4" t="n">
        <v>149.61</v>
      </c>
      <c r="I129" s="4" t="n">
        <v>178.88</v>
      </c>
      <c r="J129" s="2" t="n">
        <v>40</v>
      </c>
      <c r="K129" s="4" t="n">
        <v>59.7</v>
      </c>
      <c r="L129" s="4" t="n">
        <v>71.67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B04980286</t>
        </is>
      </c>
      <c r="B130" s="4" t="n">
        <v>718.02</v>
      </c>
      <c r="C130" s="3" t="n">
        <v>46050</v>
      </c>
      <c r="D130" s="3" t="n">
        <v>46057</v>
      </c>
      <c r="E130" s="2" t="n">
        <v>15</v>
      </c>
      <c r="F130" s="2" t="n">
        <v>11.01</v>
      </c>
      <c r="G130" s="2" t="n">
        <v>1.08</v>
      </c>
      <c r="H130" s="4" t="n">
        <v>7.75</v>
      </c>
      <c r="I130" s="4" t="n">
        <v>3.29</v>
      </c>
      <c r="J130" s="2" t="n">
        <v>40</v>
      </c>
      <c r="K130" s="4" t="n">
        <v>3.06</v>
      </c>
      <c r="L130" s="4" t="n">
        <v>1.53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B08185527</t>
        </is>
      </c>
      <c r="B131" s="4" t="n">
        <v>718.3</v>
      </c>
      <c r="C131" s="3" t="n">
        <v>46023</v>
      </c>
      <c r="D131" s="3" t="n">
        <v>46217</v>
      </c>
      <c r="E131" s="2" t="n">
        <v>45</v>
      </c>
      <c r="F131" s="2" t="n">
        <v>36.65</v>
      </c>
      <c r="G131" s="2" t="n">
        <v>2.15</v>
      </c>
      <c r="H131" s="4" t="n">
        <v>15.44</v>
      </c>
      <c r="I131" s="4" t="n">
        <v>32.91</v>
      </c>
      <c r="J131" s="2" t="n">
        <v>40</v>
      </c>
      <c r="K131" s="4" t="n">
        <v>6.2</v>
      </c>
      <c r="L131" s="4" t="n">
        <v>13.35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A07912612</t>
        </is>
      </c>
      <c r="B132" s="4" t="n">
        <v>464.11</v>
      </c>
      <c r="C132" s="3" t="n">
        <v>46050</v>
      </c>
      <c r="D132" s="3" t="n">
        <v>46221</v>
      </c>
      <c r="E132" s="2" t="n">
        <v>52</v>
      </c>
      <c r="F132" s="2" t="n">
        <v>23.92</v>
      </c>
      <c r="G132" s="2" t="n">
        <v>0.52</v>
      </c>
      <c r="H132" s="4" t="n">
        <v>2.41</v>
      </c>
      <c r="I132" s="4" t="n">
        <v>16.04</v>
      </c>
      <c r="J132" s="2" t="n">
        <v>50</v>
      </c>
      <c r="K132" s="4" t="n">
        <v>1.45</v>
      </c>
      <c r="L132" s="4" t="n">
        <v>7.88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A63044454</t>
        </is>
      </c>
      <c r="B133" s="4" t="n">
        <v>584.13</v>
      </c>
      <c r="C133" s="3" t="n">
        <v>46028</v>
      </c>
      <c r="D133" s="3" t="n">
        <v>46168</v>
      </c>
      <c r="E133" s="2" t="n">
        <v>48</v>
      </c>
      <c r="F133" s="2" t="n">
        <v>32.65</v>
      </c>
      <c r="G133" s="2" t="n">
        <v>2.27</v>
      </c>
      <c r="H133" s="4" t="n">
        <v>13.26</v>
      </c>
      <c r="I133" s="4" t="n">
        <v>25.43</v>
      </c>
      <c r="J133" s="2" t="n">
        <v>70</v>
      </c>
      <c r="K133" s="4" t="n">
        <v>8.99</v>
      </c>
      <c r="L133" s="4" t="n">
        <v>17.65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A55374284</t>
        </is>
      </c>
      <c r="B134" s="4" t="n">
        <v>8469.92</v>
      </c>
      <c r="C134" s="3" t="n">
        <v>46030</v>
      </c>
      <c r="D134" s="3" t="n">
        <v>46140</v>
      </c>
      <c r="E134" s="2" t="n">
        <v>54</v>
      </c>
      <c r="F134" s="2" t="n">
        <v>35.87</v>
      </c>
      <c r="G134" s="2" t="n">
        <v>2.97</v>
      </c>
      <c r="H134" s="4" t="n">
        <v>251.56</v>
      </c>
      <c r="I134" s="4" t="n">
        <v>455.72</v>
      </c>
      <c r="J134" s="2" t="n">
        <v>40</v>
      </c>
      <c r="K134" s="4" t="n">
        <v>100.44</v>
      </c>
      <c r="L134" s="4" t="n">
        <v>182.24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B49497327</t>
        </is>
      </c>
      <c r="B135" s="4" t="n">
        <v>9378.1</v>
      </c>
      <c r="C135" s="3" t="n">
        <v>46029</v>
      </c>
      <c r="D135" s="3" t="n">
        <v>46219</v>
      </c>
      <c r="E135" s="2" t="n">
        <v>21</v>
      </c>
      <c r="F135" s="2" t="n">
        <v>49.44</v>
      </c>
      <c r="G135" s="2" t="n">
        <v>1.91</v>
      </c>
      <c r="H135" s="4" t="n">
        <v>179.12</v>
      </c>
      <c r="I135" s="4" t="n">
        <v>270.46</v>
      </c>
      <c r="J135" s="2" t="n">
        <v>60</v>
      </c>
      <c r="K135" s="4" t="n">
        <v>107.56</v>
      </c>
      <c r="L135" s="4" t="n">
        <v>162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B47657785</t>
        </is>
      </c>
      <c r="B136" s="4" t="n">
        <v>372.43</v>
      </c>
      <c r="C136" s="3" t="n">
        <v>46035</v>
      </c>
      <c r="D136" s="3" t="n">
        <v>46209</v>
      </c>
      <c r="E136" s="2" t="n">
        <v>63</v>
      </c>
      <c r="F136" s="2" t="n">
        <v>25.58</v>
      </c>
      <c r="G136" s="2" t="n">
        <v>2.08</v>
      </c>
      <c r="H136" s="4" t="n">
        <v>7.75</v>
      </c>
      <c r="I136" s="4" t="n">
        <v>16.67</v>
      </c>
      <c r="J136" s="2" t="n">
        <v>70</v>
      </c>
      <c r="K136" s="4" t="n">
        <v>5.29</v>
      </c>
      <c r="L136" s="4" t="n">
        <v>11.64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B50766877</t>
        </is>
      </c>
      <c r="B137" s="4" t="n">
        <v>3126.02</v>
      </c>
      <c r="C137" s="3" t="n">
        <v>46042</v>
      </c>
      <c r="D137" s="3" t="n">
        <v>46076</v>
      </c>
      <c r="E137" s="2" t="n">
        <v>85</v>
      </c>
      <c r="F137" s="2" t="n">
        <v>41.39</v>
      </c>
      <c r="G137" s="2" t="n">
        <v>1.08</v>
      </c>
      <c r="H137" s="4" t="n">
        <v>33.76</v>
      </c>
      <c r="I137" s="4" t="n">
        <v>305.49</v>
      </c>
      <c r="J137" s="2" t="n">
        <v>70</v>
      </c>
      <c r="K137" s="4" t="n">
        <v>23.48</v>
      </c>
      <c r="L137" s="4" t="n">
        <v>214.11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A63625900</t>
        </is>
      </c>
      <c r="B138" s="4" t="n">
        <v>391.25</v>
      </c>
      <c r="C138" s="3" t="n">
        <v>46044</v>
      </c>
      <c r="D138" s="3" t="n">
        <v>46207</v>
      </c>
      <c r="E138" s="2" t="n">
        <v>27</v>
      </c>
      <c r="F138" s="2" t="n">
        <v>33</v>
      </c>
      <c r="G138" s="2" t="n">
        <v>2.89</v>
      </c>
      <c r="H138" s="4" t="n">
        <v>11.31</v>
      </c>
      <c r="I138" s="4" t="n">
        <v>9.68</v>
      </c>
      <c r="J138" s="2" t="n">
        <v>30</v>
      </c>
      <c r="K138" s="4" t="n">
        <v>3.19</v>
      </c>
      <c r="L138" s="4" t="n">
        <v>2.8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B38637782</t>
        </is>
      </c>
      <c r="B139" s="4" t="n">
        <v>523.22</v>
      </c>
      <c r="C139" s="3" t="n">
        <v>46040</v>
      </c>
      <c r="D139" s="3" t="n">
        <v>46131</v>
      </c>
      <c r="E139" s="2" t="n">
        <v>56</v>
      </c>
      <c r="F139" s="2" t="n">
        <v>15.23</v>
      </c>
      <c r="G139" s="2" t="n">
        <v>1.2</v>
      </c>
      <c r="H139" s="4" t="n">
        <v>6.28</v>
      </c>
      <c r="I139" s="4" t="n">
        <v>12.4</v>
      </c>
      <c r="J139" s="2" t="n">
        <v>50</v>
      </c>
      <c r="K139" s="4" t="n">
        <v>3.25</v>
      </c>
      <c r="L139" s="4" t="n">
        <v>6.08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B57999838</t>
        </is>
      </c>
      <c r="B140" s="4" t="n">
        <v>192.13</v>
      </c>
      <c r="C140" s="3" t="n">
        <v>46033</v>
      </c>
      <c r="D140" s="3" t="n">
        <v>46102</v>
      </c>
      <c r="E140" s="2" t="n">
        <v>74</v>
      </c>
      <c r="F140" s="2" t="n">
        <v>13.05</v>
      </c>
      <c r="G140" s="2" t="n">
        <v>2.06</v>
      </c>
      <c r="H140" s="4" t="n">
        <v>3.96</v>
      </c>
      <c r="I140" s="4" t="n">
        <v>5.15</v>
      </c>
      <c r="J140" s="2" t="n">
        <v>20</v>
      </c>
      <c r="K140" s="4" t="n">
        <v>0.97</v>
      </c>
      <c r="L140" s="4" t="n">
        <v>0.99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A79905621</t>
        </is>
      </c>
      <c r="B141" s="4" t="n">
        <v>680.12</v>
      </c>
      <c r="C141" s="3" t="n">
        <v>46029</v>
      </c>
      <c r="D141" s="3" t="n">
        <v>46115</v>
      </c>
      <c r="E141" s="2" t="n">
        <v>69</v>
      </c>
      <c r="F141" s="2" t="n">
        <v>37.03</v>
      </c>
      <c r="G141" s="2" t="n">
        <v>1.69</v>
      </c>
      <c r="H141" s="4" t="n">
        <v>11.49</v>
      </c>
      <c r="I141" s="4" t="n">
        <v>48.27</v>
      </c>
      <c r="J141" s="2" t="n">
        <v>70</v>
      </c>
      <c r="K141" s="4" t="n">
        <v>7.96</v>
      </c>
      <c r="L141" s="4" t="n">
        <v>33.9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A15378741</t>
        </is>
      </c>
      <c r="B142" s="4" t="n">
        <v>3983.62</v>
      </c>
      <c r="C142" s="3" t="n">
        <v>46047</v>
      </c>
      <c r="D142" s="3" t="n">
        <v>46060</v>
      </c>
      <c r="E142" s="2" t="n">
        <v>66</v>
      </c>
      <c r="F142" s="2" t="n">
        <v>41.47</v>
      </c>
      <c r="G142" s="2" t="n">
        <v>1.39</v>
      </c>
      <c r="H142" s="4" t="n">
        <v>55.37</v>
      </c>
      <c r="I142" s="4" t="n">
        <v>302.87</v>
      </c>
      <c r="J142" s="2" t="n">
        <v>30</v>
      </c>
      <c r="K142" s="4" t="n">
        <v>16.81</v>
      </c>
      <c r="L142" s="4" t="n">
        <v>90.84999999999999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A05163125</t>
        </is>
      </c>
      <c r="B143" s="4" t="n">
        <v>411.82</v>
      </c>
      <c r="C143" s="3" t="n">
        <v>46033</v>
      </c>
      <c r="D143" s="3" t="n">
        <v>46070</v>
      </c>
      <c r="E143" s="2" t="n">
        <v>53</v>
      </c>
      <c r="F143" s="2" t="n">
        <v>26.81</v>
      </c>
      <c r="G143" s="2" t="n">
        <v>1.81</v>
      </c>
      <c r="H143" s="4" t="n">
        <v>7.45</v>
      </c>
      <c r="I143" s="4" t="n">
        <v>16.25</v>
      </c>
      <c r="J143" s="2" t="n">
        <v>50</v>
      </c>
      <c r="K143" s="4" t="n">
        <v>3.95</v>
      </c>
      <c r="L143" s="4" t="n">
        <v>8.31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A57243039</t>
        </is>
      </c>
      <c r="B144" s="4" t="n">
        <v>626.37</v>
      </c>
      <c r="C144" s="3" t="n">
        <v>46033</v>
      </c>
      <c r="D144" s="3" t="n">
        <v>46055</v>
      </c>
      <c r="E144" s="2" t="n">
        <v>40</v>
      </c>
      <c r="F144" s="2" t="n">
        <v>23.26</v>
      </c>
      <c r="G144" s="2" t="n">
        <v>2.83</v>
      </c>
      <c r="H144" s="4" t="n">
        <v>17.73</v>
      </c>
      <c r="I144" s="4" t="n">
        <v>16.19</v>
      </c>
      <c r="J144" s="2" t="n">
        <v>70</v>
      </c>
      <c r="K144" s="4" t="n">
        <v>12.45</v>
      </c>
      <c r="L144" s="4" t="n">
        <v>11.14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A76431470</t>
        </is>
      </c>
      <c r="B145" s="4" t="n">
        <v>125.47</v>
      </c>
      <c r="C145" s="3" t="n">
        <v>46039</v>
      </c>
      <c r="D145" s="3" t="n">
        <v>46071</v>
      </c>
      <c r="E145" s="2" t="n">
        <v>28</v>
      </c>
      <c r="F145" s="2" t="n">
        <v>24.33</v>
      </c>
      <c r="G145" s="2" t="n">
        <v>0.9399999999999999</v>
      </c>
      <c r="H145" s="4" t="n">
        <v>1.18</v>
      </c>
      <c r="I145" s="4" t="n">
        <v>2.37</v>
      </c>
      <c r="J145" s="2" t="n">
        <v>60</v>
      </c>
      <c r="K145" s="4" t="n">
        <v>0.85</v>
      </c>
      <c r="L145" s="4" t="n">
        <v>1.13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B02008883</t>
        </is>
      </c>
      <c r="B146" s="4" t="n">
        <v>338.96</v>
      </c>
      <c r="C146" s="3" t="n">
        <v>46039</v>
      </c>
      <c r="D146" s="3" t="n">
        <v>46054</v>
      </c>
      <c r="E146" s="2" t="n">
        <v>72</v>
      </c>
      <c r="F146" s="2" t="n">
        <v>24.98</v>
      </c>
      <c r="G146" s="2" t="n">
        <v>0.77</v>
      </c>
      <c r="H146" s="4" t="n">
        <v>2.61</v>
      </c>
      <c r="I146" s="4" t="n">
        <v>16.93</v>
      </c>
      <c r="J146" s="2" t="n">
        <v>70</v>
      </c>
      <c r="K146" s="4" t="n">
        <v>1.7</v>
      </c>
      <c r="L146" s="4" t="n">
        <v>11.96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A48932627</t>
        </is>
      </c>
      <c r="B147" s="4" t="n">
        <v>662.12</v>
      </c>
      <c r="C147" s="3" t="n">
        <v>46033</v>
      </c>
      <c r="D147" s="3" t="n">
        <v>46062</v>
      </c>
      <c r="E147" s="2" t="n">
        <v>26</v>
      </c>
      <c r="F147" s="2" t="n">
        <v>28.57</v>
      </c>
      <c r="G147" s="2" t="n">
        <v>2.41</v>
      </c>
      <c r="H147" s="4" t="n">
        <v>15.96</v>
      </c>
      <c r="I147" s="4" t="n">
        <v>13.66</v>
      </c>
      <c r="J147" s="2" t="n">
        <v>50</v>
      </c>
      <c r="K147" s="4" t="n">
        <v>8.06</v>
      </c>
      <c r="L147" s="4" t="n">
        <v>6.94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A93784332</t>
        </is>
      </c>
      <c r="B148" s="4" t="n">
        <v>4335.38</v>
      </c>
      <c r="C148" s="3" t="n">
        <v>46032</v>
      </c>
      <c r="D148" s="3" t="n">
        <v>46218</v>
      </c>
      <c r="E148" s="2" t="n">
        <v>76</v>
      </c>
      <c r="F148" s="2" t="n">
        <v>38.54</v>
      </c>
      <c r="G148" s="2" t="n">
        <v>1.57</v>
      </c>
      <c r="H148" s="4" t="n">
        <v>68.06999999999999</v>
      </c>
      <c r="I148" s="4" t="n">
        <v>352.74</v>
      </c>
      <c r="J148" s="2" t="n">
        <v>50</v>
      </c>
      <c r="K148" s="4" t="n">
        <v>34.31</v>
      </c>
      <c r="L148" s="4" t="n">
        <v>176.41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B91460171</t>
        </is>
      </c>
      <c r="B149" s="4" t="n">
        <v>610.01</v>
      </c>
      <c r="C149" s="3" t="n">
        <v>46048</v>
      </c>
      <c r="D149" s="3" t="n">
        <v>46088</v>
      </c>
      <c r="E149" s="2" t="n">
        <v>62</v>
      </c>
      <c r="F149" s="2" t="n">
        <v>24.51</v>
      </c>
      <c r="G149" s="2" t="n">
        <v>2.58</v>
      </c>
      <c r="H149" s="4" t="n">
        <v>15.74</v>
      </c>
      <c r="I149" s="4" t="n">
        <v>25.75</v>
      </c>
      <c r="J149" s="2" t="n">
        <v>70</v>
      </c>
      <c r="K149" s="4" t="n">
        <v>10.74</v>
      </c>
      <c r="L149" s="4" t="n">
        <v>18.22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B84562652</t>
        </is>
      </c>
      <c r="B150" s="4" t="n">
        <v>9838.16</v>
      </c>
      <c r="C150" s="3" t="n">
        <v>46047</v>
      </c>
      <c r="D150" s="3" t="n">
        <v>46089</v>
      </c>
      <c r="E150" s="2" t="n">
        <v>72</v>
      </c>
      <c r="F150" s="2" t="n">
        <v>26.23</v>
      </c>
      <c r="G150" s="2" t="n">
        <v>2.15</v>
      </c>
      <c r="H150" s="4" t="n">
        <v>211.52</v>
      </c>
      <c r="I150" s="4" t="n">
        <v>516.11</v>
      </c>
      <c r="J150" s="2" t="n">
        <v>20</v>
      </c>
      <c r="K150" s="4" t="n">
        <v>42.34</v>
      </c>
      <c r="L150" s="4" t="n">
        <v>103.33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A91563398</t>
        </is>
      </c>
      <c r="B151" s="4" t="n">
        <v>394.87</v>
      </c>
      <c r="C151" s="3" t="n">
        <v>46035</v>
      </c>
      <c r="D151" s="3" t="n">
        <v>46184</v>
      </c>
      <c r="E151" s="2" t="n">
        <v>83</v>
      </c>
      <c r="F151" s="2" t="n">
        <v>37.54</v>
      </c>
      <c r="G151" s="2" t="n">
        <v>0.89</v>
      </c>
      <c r="H151" s="4" t="n">
        <v>3.51</v>
      </c>
      <c r="I151" s="4" t="n">
        <v>34.18</v>
      </c>
      <c r="J151" s="2" t="n">
        <v>20</v>
      </c>
      <c r="K151" s="4" t="n">
        <v>0.91</v>
      </c>
      <c r="L151" s="4" t="n">
        <v>6.85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A28635458</t>
        </is>
      </c>
      <c r="B152" s="4" t="n">
        <v>855.58</v>
      </c>
      <c r="C152" s="3" t="n">
        <v>46050</v>
      </c>
      <c r="D152" s="3" t="n">
        <v>46199</v>
      </c>
      <c r="E152" s="2" t="n">
        <v>83</v>
      </c>
      <c r="F152" s="2" t="n">
        <v>26.83</v>
      </c>
      <c r="G152" s="2" t="n">
        <v>2.06</v>
      </c>
      <c r="H152" s="4" t="n">
        <v>17.62</v>
      </c>
      <c r="I152" s="4" t="n">
        <v>52.92</v>
      </c>
      <c r="J152" s="2" t="n">
        <v>20</v>
      </c>
      <c r="K152" s="4" t="n">
        <v>3.24</v>
      </c>
      <c r="L152" s="4" t="n">
        <v>10.43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B30225175</t>
        </is>
      </c>
      <c r="B153" s="4" t="n">
        <v>167.82</v>
      </c>
      <c r="C153" s="3" t="n">
        <v>46041</v>
      </c>
      <c r="D153" s="3" t="n">
        <v>46068</v>
      </c>
      <c r="E153" s="2" t="n">
        <v>46</v>
      </c>
      <c r="F153" s="2" t="n">
        <v>15.29</v>
      </c>
      <c r="G153" s="2" t="n">
        <v>2.91</v>
      </c>
      <c r="H153" s="4" t="n">
        <v>4.88</v>
      </c>
      <c r="I153" s="4" t="n">
        <v>3.28</v>
      </c>
      <c r="J153" s="2" t="n">
        <v>30</v>
      </c>
      <c r="K153" s="4" t="n">
        <v>1.67</v>
      </c>
      <c r="L153" s="4" t="n">
        <v>0.76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A84834649</t>
        </is>
      </c>
      <c r="B154" s="4" t="n">
        <v>922.86</v>
      </c>
      <c r="C154" s="3" t="n">
        <v>46042</v>
      </c>
      <c r="D154" s="3" t="n">
        <v>46181</v>
      </c>
      <c r="E154" s="2" t="n">
        <v>77</v>
      </c>
      <c r="F154" s="2" t="n">
        <v>24.72</v>
      </c>
      <c r="G154" s="2" t="n">
        <v>1.44</v>
      </c>
      <c r="H154" s="4" t="n">
        <v>13.29</v>
      </c>
      <c r="I154" s="4" t="n">
        <v>48.79</v>
      </c>
      <c r="J154" s="2" t="n">
        <v>70</v>
      </c>
      <c r="K154" s="4" t="n">
        <v>9.449999999999999</v>
      </c>
      <c r="L154" s="4" t="n">
        <v>33.89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A12267650</t>
        </is>
      </c>
      <c r="B155" s="4" t="n">
        <v>873.17</v>
      </c>
      <c r="C155" s="3" t="n">
        <v>46050</v>
      </c>
      <c r="D155" s="3" t="n">
        <v>46108</v>
      </c>
      <c r="E155" s="2" t="n">
        <v>24</v>
      </c>
      <c r="F155" s="2" t="n">
        <v>18.2</v>
      </c>
      <c r="G155" s="2" t="n">
        <v>1.87</v>
      </c>
      <c r="H155" s="4" t="n">
        <v>16.33</v>
      </c>
      <c r="I155" s="4" t="n">
        <v>10.59</v>
      </c>
      <c r="J155" s="2" t="n">
        <v>60</v>
      </c>
      <c r="K155" s="4" t="n">
        <v>9.9</v>
      </c>
      <c r="L155" s="4" t="n">
        <v>6.59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B13416158</t>
        </is>
      </c>
      <c r="B156" s="4" t="n">
        <v>375.25</v>
      </c>
      <c r="C156" s="3" t="n">
        <v>46040</v>
      </c>
      <c r="D156" s="3" t="n">
        <v>46170</v>
      </c>
      <c r="E156" s="2" t="n">
        <v>46</v>
      </c>
      <c r="F156" s="2" t="n">
        <v>28.78</v>
      </c>
      <c r="G156" s="2" t="n">
        <v>0.95</v>
      </c>
      <c r="H156" s="4" t="n">
        <v>3.56</v>
      </c>
      <c r="I156" s="4" t="n">
        <v>13.8</v>
      </c>
      <c r="J156" s="2" t="n">
        <v>40</v>
      </c>
      <c r="K156" s="4" t="n">
        <v>1.3</v>
      </c>
      <c r="L156" s="4" t="n">
        <v>5.28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A89762365</t>
        </is>
      </c>
      <c r="B157" s="4" t="n">
        <v>9909.59</v>
      </c>
      <c r="C157" s="3" t="n">
        <v>46050</v>
      </c>
      <c r="D157" s="3" t="n">
        <v>46127</v>
      </c>
      <c r="E157" s="2" t="n">
        <v>24</v>
      </c>
      <c r="F157" s="2" t="n">
        <v>43.2</v>
      </c>
      <c r="G157" s="2" t="n">
        <v>2.77</v>
      </c>
      <c r="H157" s="4" t="n">
        <v>274.5</v>
      </c>
      <c r="I157" s="4" t="n">
        <v>285.4</v>
      </c>
      <c r="J157" s="2" t="n">
        <v>70</v>
      </c>
      <c r="K157" s="4" t="n">
        <v>192.3</v>
      </c>
      <c r="L157" s="4" t="n">
        <v>199.8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B61028814</t>
        </is>
      </c>
      <c r="B158" s="4" t="n">
        <v>9238.799999999999</v>
      </c>
      <c r="C158" s="3" t="n">
        <v>46023</v>
      </c>
      <c r="D158" s="3" t="n">
        <v>46193</v>
      </c>
      <c r="E158" s="2" t="n">
        <v>82</v>
      </c>
      <c r="F158" s="2" t="n">
        <v>44.09</v>
      </c>
      <c r="G158" s="2" t="n">
        <v>1.61</v>
      </c>
      <c r="H158" s="4" t="n">
        <v>148.74</v>
      </c>
      <c r="I158" s="4" t="n">
        <v>927.83</v>
      </c>
      <c r="J158" s="2" t="n">
        <v>40</v>
      </c>
      <c r="K158" s="4" t="n">
        <v>59.39</v>
      </c>
      <c r="L158" s="4" t="n">
        <v>371.14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B26594886</t>
        </is>
      </c>
      <c r="B159" s="4" t="n">
        <v>992.27</v>
      </c>
      <c r="C159" s="3" t="n">
        <v>46037</v>
      </c>
      <c r="D159" s="3" t="n">
        <v>46217</v>
      </c>
      <c r="E159" s="2" t="n">
        <v>41</v>
      </c>
      <c r="F159" s="2" t="n">
        <v>42.95</v>
      </c>
      <c r="G159" s="2" t="n">
        <v>2.66</v>
      </c>
      <c r="H159" s="4" t="n">
        <v>26.39</v>
      </c>
      <c r="I159" s="4" t="n">
        <v>48.54</v>
      </c>
      <c r="J159" s="2" t="n">
        <v>60</v>
      </c>
      <c r="K159" s="4" t="n">
        <v>16.11</v>
      </c>
      <c r="L159" s="4" t="n">
        <v>29.17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B36150061</t>
        </is>
      </c>
      <c r="B160" s="4" t="n">
        <v>933.78</v>
      </c>
      <c r="C160" s="3" t="n">
        <v>46023</v>
      </c>
      <c r="D160" s="3" t="n">
        <v>46060</v>
      </c>
      <c r="E160" s="2" t="n">
        <v>74</v>
      </c>
      <c r="F160" s="2" t="n">
        <v>23.28</v>
      </c>
      <c r="G160" s="2" t="n">
        <v>2.38</v>
      </c>
      <c r="H160" s="4" t="n">
        <v>22.22</v>
      </c>
      <c r="I160" s="4" t="n">
        <v>44.68</v>
      </c>
      <c r="J160" s="2" t="n">
        <v>50</v>
      </c>
      <c r="K160" s="4" t="n">
        <v>11.14</v>
      </c>
      <c r="L160" s="4" t="n">
        <v>22.5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A30783339</t>
        </is>
      </c>
      <c r="B161" s="4" t="n">
        <v>276.13</v>
      </c>
      <c r="C161" s="3" t="n">
        <v>46042</v>
      </c>
      <c r="D161" s="3" t="n">
        <v>46101</v>
      </c>
      <c r="E161" s="2" t="n">
        <v>63</v>
      </c>
      <c r="F161" s="2" t="n">
        <v>17.22</v>
      </c>
      <c r="G161" s="2" t="n">
        <v>0.9</v>
      </c>
      <c r="H161" s="4" t="n">
        <v>2.49</v>
      </c>
      <c r="I161" s="4" t="n">
        <v>8.32</v>
      </c>
      <c r="J161" s="2" t="n">
        <v>20</v>
      </c>
      <c r="K161" s="4" t="n">
        <v>0.32</v>
      </c>
      <c r="L161" s="4" t="n">
        <v>1.73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A12373125</t>
        </is>
      </c>
      <c r="B162" s="4" t="n">
        <v>9476.940000000001</v>
      </c>
      <c r="C162" s="3" t="n">
        <v>46045</v>
      </c>
      <c r="D162" s="3" t="n">
        <v>46101</v>
      </c>
      <c r="E162" s="2" t="n">
        <v>21</v>
      </c>
      <c r="F162" s="2" t="n">
        <v>48.91</v>
      </c>
      <c r="G162" s="2" t="n">
        <v>2</v>
      </c>
      <c r="H162" s="4" t="n">
        <v>189.54</v>
      </c>
      <c r="I162" s="4" t="n">
        <v>270.38</v>
      </c>
      <c r="J162" s="2" t="n">
        <v>40</v>
      </c>
      <c r="K162" s="4" t="n">
        <v>75.53</v>
      </c>
      <c r="L162" s="4" t="n">
        <v>108.03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B80087530</t>
        </is>
      </c>
      <c r="B163" s="4" t="n">
        <v>313.62</v>
      </c>
      <c r="C163" s="3" t="n">
        <v>46036</v>
      </c>
      <c r="D163" s="3" t="n">
        <v>46164</v>
      </c>
      <c r="E163" s="2" t="n">
        <v>22</v>
      </c>
      <c r="F163" s="2" t="n">
        <v>37.95</v>
      </c>
      <c r="G163" s="2" t="n">
        <v>0.52</v>
      </c>
      <c r="H163" s="4" t="n">
        <v>1.63</v>
      </c>
      <c r="I163" s="4" t="n">
        <v>7.27</v>
      </c>
      <c r="J163" s="2" t="n">
        <v>60</v>
      </c>
      <c r="K163" s="4" t="n">
        <v>0.74</v>
      </c>
      <c r="L163" s="4" t="n">
        <v>4.48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B13092319</t>
        </is>
      </c>
      <c r="B164" s="4" t="n">
        <v>556.16</v>
      </c>
      <c r="C164" s="3" t="n">
        <v>46036</v>
      </c>
      <c r="D164" s="3" t="n">
        <v>46065</v>
      </c>
      <c r="E164" s="2" t="n">
        <v>79</v>
      </c>
      <c r="F164" s="2" t="n">
        <v>44.24</v>
      </c>
      <c r="G164" s="2" t="n">
        <v>2.36</v>
      </c>
      <c r="H164" s="4" t="n">
        <v>13.13</v>
      </c>
      <c r="I164" s="4" t="n">
        <v>53.99</v>
      </c>
      <c r="J164" s="2" t="n">
        <v>60</v>
      </c>
      <c r="K164" s="4" t="n">
        <v>8.109999999999999</v>
      </c>
      <c r="L164" s="4" t="n">
        <v>32.15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B18749690</t>
        </is>
      </c>
      <c r="B165" s="4" t="n">
        <v>824.53</v>
      </c>
      <c r="C165" s="3" t="n">
        <v>46031</v>
      </c>
      <c r="D165" s="3" t="n">
        <v>46063</v>
      </c>
      <c r="E165" s="2" t="n">
        <v>54</v>
      </c>
      <c r="F165" s="2" t="n">
        <v>17.29</v>
      </c>
      <c r="G165" s="2" t="n">
        <v>2.76</v>
      </c>
      <c r="H165" s="4" t="n">
        <v>22.76</v>
      </c>
      <c r="I165" s="4" t="n">
        <v>21.38</v>
      </c>
      <c r="J165" s="2" t="n">
        <v>30</v>
      </c>
      <c r="K165" s="4" t="n">
        <v>6.75</v>
      </c>
      <c r="L165" s="4" t="n">
        <v>6.57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B41164557</t>
        </is>
      </c>
      <c r="B166" s="4" t="n">
        <v>737.52</v>
      </c>
      <c r="C166" s="3" t="n">
        <v>46045</v>
      </c>
      <c r="D166" s="3" t="n">
        <v>46165</v>
      </c>
      <c r="E166" s="2" t="n">
        <v>88</v>
      </c>
      <c r="F166" s="2" t="n">
        <v>35.5</v>
      </c>
      <c r="G166" s="2" t="n">
        <v>1</v>
      </c>
      <c r="H166" s="4" t="n">
        <v>7.38</v>
      </c>
      <c r="I166" s="4" t="n">
        <v>64</v>
      </c>
      <c r="J166" s="2" t="n">
        <v>70</v>
      </c>
      <c r="K166" s="4" t="n">
        <v>5.43</v>
      </c>
      <c r="L166" s="4" t="n">
        <v>44.63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B84562652</t>
        </is>
      </c>
      <c r="B167" s="4" t="n">
        <v>824.8200000000001</v>
      </c>
      <c r="C167" s="3" t="n">
        <v>46023</v>
      </c>
      <c r="D167" s="3" t="n">
        <v>46075</v>
      </c>
      <c r="E167" s="2" t="n">
        <v>66</v>
      </c>
      <c r="F167" s="2" t="n">
        <v>26.31</v>
      </c>
      <c r="G167" s="2" t="n">
        <v>2.64</v>
      </c>
      <c r="H167" s="4" t="n">
        <v>21.78</v>
      </c>
      <c r="I167" s="4" t="n">
        <v>39.79</v>
      </c>
      <c r="J167" s="2" t="n">
        <v>40</v>
      </c>
      <c r="K167" s="4" t="n">
        <v>8.98</v>
      </c>
      <c r="L167" s="4" t="n">
        <v>15.73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A20181491</t>
        </is>
      </c>
      <c r="B168" s="4" t="n">
        <v>524.23</v>
      </c>
      <c r="C168" s="3" t="n">
        <v>46046</v>
      </c>
      <c r="D168" s="3" t="n">
        <v>46091</v>
      </c>
      <c r="E168" s="2" t="n">
        <v>68</v>
      </c>
      <c r="F168" s="2" t="n">
        <v>44.48</v>
      </c>
      <c r="G168" s="2" t="n">
        <v>0.58</v>
      </c>
      <c r="H168" s="4" t="n">
        <v>3.04</v>
      </c>
      <c r="I168" s="4" t="n">
        <v>44.04</v>
      </c>
      <c r="J168" s="2" t="n">
        <v>40</v>
      </c>
      <c r="K168" s="4" t="n">
        <v>1.2</v>
      </c>
      <c r="L168" s="4" t="n">
        <v>17.57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A91178584</t>
        </is>
      </c>
      <c r="B169" s="4" t="n">
        <v>9564.530000000001</v>
      </c>
      <c r="C169" s="3" t="n">
        <v>46044</v>
      </c>
      <c r="D169" s="3" t="n">
        <v>46064</v>
      </c>
      <c r="E169" s="2" t="n">
        <v>17</v>
      </c>
      <c r="F169" s="2" t="n">
        <v>14.03</v>
      </c>
      <c r="G169" s="2" t="n">
        <v>2.42</v>
      </c>
      <c r="H169" s="4" t="n">
        <v>231.46</v>
      </c>
      <c r="I169" s="4" t="n">
        <v>63.37</v>
      </c>
      <c r="J169" s="2" t="n">
        <v>50</v>
      </c>
      <c r="K169" s="4" t="n">
        <v>115.59</v>
      </c>
      <c r="L169" s="4" t="n">
        <v>31.73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B97433996</t>
        </is>
      </c>
      <c r="B170" s="4" t="n">
        <v>1747.82</v>
      </c>
      <c r="C170" s="3" t="n">
        <v>46031</v>
      </c>
      <c r="D170" s="3" t="n">
        <v>46181</v>
      </c>
      <c r="E170" s="2" t="n">
        <v>56</v>
      </c>
      <c r="F170" s="2" t="n">
        <v>49.7</v>
      </c>
      <c r="G170" s="2" t="n">
        <v>2.54</v>
      </c>
      <c r="H170" s="4" t="n">
        <v>44.39</v>
      </c>
      <c r="I170" s="4" t="n">
        <v>135.13</v>
      </c>
      <c r="J170" s="2" t="n">
        <v>60</v>
      </c>
      <c r="K170" s="4" t="n">
        <v>26.48</v>
      </c>
      <c r="L170" s="4" t="n">
        <v>80.81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A12267650</t>
        </is>
      </c>
      <c r="B171" s="4" t="n">
        <v>587.37</v>
      </c>
      <c r="C171" s="3" t="n">
        <v>46024</v>
      </c>
      <c r="D171" s="3" t="n">
        <v>46208</v>
      </c>
      <c r="E171" s="2" t="n">
        <v>53</v>
      </c>
      <c r="F171" s="2" t="n">
        <v>16.79</v>
      </c>
      <c r="G171" s="2" t="n">
        <v>2.14</v>
      </c>
      <c r="H171" s="4" t="n">
        <v>12.57</v>
      </c>
      <c r="I171" s="4" t="n">
        <v>14.52</v>
      </c>
      <c r="J171" s="2" t="n">
        <v>60</v>
      </c>
      <c r="K171" s="4" t="n">
        <v>7.39</v>
      </c>
      <c r="L171" s="4" t="n">
        <v>8.779999999999999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A38325722</t>
        </is>
      </c>
      <c r="B172" s="4" t="n">
        <v>604.09</v>
      </c>
      <c r="C172" s="3" t="n">
        <v>46032</v>
      </c>
      <c r="D172" s="3" t="n">
        <v>46095</v>
      </c>
      <c r="E172" s="2" t="n">
        <v>36</v>
      </c>
      <c r="F172" s="2" t="n">
        <v>31.39</v>
      </c>
      <c r="G172" s="2" t="n">
        <v>2.12</v>
      </c>
      <c r="H172" s="4" t="n">
        <v>12.81</v>
      </c>
      <c r="I172" s="4" t="n">
        <v>18.96</v>
      </c>
      <c r="J172" s="2" t="n">
        <v>70</v>
      </c>
      <c r="K172" s="4" t="n">
        <v>9.140000000000001</v>
      </c>
      <c r="L172" s="4" t="n">
        <v>13.06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A37843869</t>
        </is>
      </c>
      <c r="B173" s="4" t="n">
        <v>710.64</v>
      </c>
      <c r="C173" s="3" t="n">
        <v>46048</v>
      </c>
      <c r="D173" s="3" t="n">
        <v>46115</v>
      </c>
      <c r="E173" s="2" t="n">
        <v>42</v>
      </c>
      <c r="F173" s="2" t="n">
        <v>15.35</v>
      </c>
      <c r="G173" s="2" t="n">
        <v>1.84</v>
      </c>
      <c r="H173" s="4" t="n">
        <v>13.08</v>
      </c>
      <c r="I173" s="4" t="n">
        <v>12.73</v>
      </c>
      <c r="J173" s="2" t="n">
        <v>50</v>
      </c>
      <c r="K173" s="4" t="n">
        <v>6.49</v>
      </c>
      <c r="L173" s="4" t="n">
        <v>6.47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A40186320</t>
        </is>
      </c>
      <c r="B174" s="4" t="n">
        <v>851.58</v>
      </c>
      <c r="C174" s="3" t="n">
        <v>46043</v>
      </c>
      <c r="D174" s="3" t="n">
        <v>46097</v>
      </c>
      <c r="E174" s="2" t="n">
        <v>75</v>
      </c>
      <c r="F174" s="2" t="n">
        <v>18.65</v>
      </c>
      <c r="G174" s="2" t="n">
        <v>1.4</v>
      </c>
      <c r="H174" s="4" t="n">
        <v>11.92</v>
      </c>
      <c r="I174" s="4" t="n">
        <v>33.09</v>
      </c>
      <c r="J174" s="2" t="n">
        <v>50</v>
      </c>
      <c r="K174" s="4" t="n">
        <v>6.16</v>
      </c>
      <c r="L174" s="4" t="n">
        <v>16.68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A30756925</t>
        </is>
      </c>
      <c r="B175" s="4" t="n">
        <v>3573.29</v>
      </c>
      <c r="C175" s="3" t="n">
        <v>46040</v>
      </c>
      <c r="D175" s="3" t="n">
        <v>46116</v>
      </c>
      <c r="E175" s="2" t="n">
        <v>52</v>
      </c>
      <c r="F175" s="2" t="n">
        <v>29.13</v>
      </c>
      <c r="G175" s="2" t="n">
        <v>2.02</v>
      </c>
      <c r="H175" s="4" t="n">
        <v>72.18000000000001</v>
      </c>
      <c r="I175" s="4" t="n">
        <v>150.35</v>
      </c>
      <c r="J175" s="2" t="n">
        <v>50</v>
      </c>
      <c r="K175" s="4" t="n">
        <v>35.99</v>
      </c>
      <c r="L175" s="4" t="n">
        <v>75.02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A14358012</t>
        </is>
      </c>
      <c r="B176" s="4" t="n">
        <v>479.66</v>
      </c>
      <c r="C176" s="3" t="n">
        <v>46048</v>
      </c>
      <c r="D176" s="3" t="n">
        <v>46219</v>
      </c>
      <c r="E176" s="2" t="n">
        <v>72</v>
      </c>
      <c r="F176" s="2" t="n">
        <v>12.2</v>
      </c>
      <c r="G176" s="2" t="n">
        <v>2.44</v>
      </c>
      <c r="H176" s="4" t="n">
        <v>11.7</v>
      </c>
      <c r="I176" s="4" t="n">
        <v>11.7</v>
      </c>
      <c r="J176" s="2" t="n">
        <v>70</v>
      </c>
      <c r="K176" s="4" t="n">
        <v>8.25</v>
      </c>
      <c r="L176" s="4" t="n">
        <v>8.49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B86599173</t>
        </is>
      </c>
      <c r="B177" s="4" t="n">
        <v>8759.299999999999</v>
      </c>
      <c r="C177" s="3" t="n">
        <v>46027</v>
      </c>
      <c r="D177" s="3" t="n">
        <v>46168</v>
      </c>
      <c r="E177" s="2" t="n">
        <v>81</v>
      </c>
      <c r="F177" s="2" t="n">
        <v>31.47</v>
      </c>
      <c r="G177" s="2" t="n">
        <v>0.96</v>
      </c>
      <c r="H177" s="4" t="n">
        <v>84.09</v>
      </c>
      <c r="I177" s="4" t="n">
        <v>620.22</v>
      </c>
      <c r="J177" s="2" t="n">
        <v>70</v>
      </c>
      <c r="K177" s="4" t="n">
        <v>58.98</v>
      </c>
      <c r="L177" s="4" t="n">
        <v>434.24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A69716470</t>
        </is>
      </c>
      <c r="B178" s="4" t="n">
        <v>353.85</v>
      </c>
      <c r="C178" s="3" t="n">
        <v>46028</v>
      </c>
      <c r="D178" s="3" t="n">
        <v>46184</v>
      </c>
      <c r="E178" s="2" t="n">
        <v>17</v>
      </c>
      <c r="F178" s="2" t="n">
        <v>19.46</v>
      </c>
      <c r="G178" s="2" t="n">
        <v>1.82</v>
      </c>
      <c r="H178" s="4" t="n">
        <v>6.44</v>
      </c>
      <c r="I178" s="4" t="n">
        <v>3.25</v>
      </c>
      <c r="J178" s="2" t="n">
        <v>30</v>
      </c>
      <c r="K178" s="4" t="n">
        <v>1.85</v>
      </c>
      <c r="L178" s="4" t="n">
        <v>1.04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B82570616</t>
        </is>
      </c>
      <c r="B179" s="4" t="n">
        <v>453.15</v>
      </c>
      <c r="C179" s="3" t="n">
        <v>46049</v>
      </c>
      <c r="D179" s="3" t="n">
        <v>46137</v>
      </c>
      <c r="E179" s="2" t="n">
        <v>46</v>
      </c>
      <c r="F179" s="2" t="n">
        <v>43.68</v>
      </c>
      <c r="G179" s="2" t="n">
        <v>1.11</v>
      </c>
      <c r="H179" s="4" t="n">
        <v>5.03</v>
      </c>
      <c r="I179" s="4" t="n">
        <v>25.29</v>
      </c>
      <c r="J179" s="2" t="n">
        <v>50</v>
      </c>
      <c r="K179" s="4" t="n">
        <v>2.71</v>
      </c>
      <c r="L179" s="4" t="n">
        <v>12.78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A64935709</t>
        </is>
      </c>
      <c r="B180" s="4" t="n">
        <v>9641.870000000001</v>
      </c>
      <c r="C180" s="3" t="n">
        <v>46046</v>
      </c>
      <c r="D180" s="3" t="n">
        <v>46230</v>
      </c>
      <c r="E180" s="2" t="n">
        <v>10</v>
      </c>
      <c r="F180" s="2" t="n">
        <v>32.47</v>
      </c>
      <c r="G180" s="2" t="n">
        <v>2.63</v>
      </c>
      <c r="H180" s="4" t="n">
        <v>253.58</v>
      </c>
      <c r="I180" s="4" t="n">
        <v>86.95999999999999</v>
      </c>
      <c r="J180" s="2" t="n">
        <v>70</v>
      </c>
      <c r="K180" s="4" t="n">
        <v>177.4</v>
      </c>
      <c r="L180" s="4" t="n">
        <v>60.89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A81058085</t>
        </is>
      </c>
      <c r="B181" s="4" t="n">
        <v>819.45</v>
      </c>
      <c r="C181" s="3" t="n">
        <v>46029</v>
      </c>
      <c r="D181" s="3" t="n">
        <v>46086</v>
      </c>
      <c r="E181" s="2" t="n">
        <v>12</v>
      </c>
      <c r="F181" s="2" t="n">
        <v>37.58</v>
      </c>
      <c r="G181" s="2" t="n">
        <v>1.17</v>
      </c>
      <c r="H181" s="4" t="n">
        <v>9.59</v>
      </c>
      <c r="I181" s="4" t="n">
        <v>10.26</v>
      </c>
      <c r="J181" s="2" t="n">
        <v>60</v>
      </c>
      <c r="K181" s="4" t="n">
        <v>5.92</v>
      </c>
      <c r="L181" s="4" t="n">
        <v>6.24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A28175548</t>
        </is>
      </c>
      <c r="B182" s="4" t="n">
        <v>468.89</v>
      </c>
      <c r="C182" s="3" t="n">
        <v>46042</v>
      </c>
      <c r="D182" s="3" t="n">
        <v>46211</v>
      </c>
      <c r="E182" s="2" t="n">
        <v>61</v>
      </c>
      <c r="F182" s="2" t="n">
        <v>49.39</v>
      </c>
      <c r="G182" s="2" t="n">
        <v>1.87</v>
      </c>
      <c r="H182" s="4" t="n">
        <v>8.77</v>
      </c>
      <c r="I182" s="4" t="n">
        <v>39.24</v>
      </c>
      <c r="J182" s="2" t="n">
        <v>70</v>
      </c>
      <c r="K182" s="4" t="n">
        <v>5.92</v>
      </c>
      <c r="L182" s="4" t="n">
        <v>27.75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A29004650</t>
        </is>
      </c>
      <c r="B183" s="4" t="n">
        <v>9105.360000000001</v>
      </c>
      <c r="C183" s="3" t="n">
        <v>46024</v>
      </c>
      <c r="D183" s="3" t="n">
        <v>46056</v>
      </c>
      <c r="E183" s="2" t="n">
        <v>17</v>
      </c>
      <c r="F183" s="2" t="n">
        <v>30.61</v>
      </c>
      <c r="G183" s="2" t="n">
        <v>2.01</v>
      </c>
      <c r="H183" s="4" t="n">
        <v>183.02</v>
      </c>
      <c r="I183" s="4" t="n">
        <v>131.62</v>
      </c>
      <c r="J183" s="2" t="n">
        <v>20</v>
      </c>
      <c r="K183" s="4" t="n">
        <v>36.47</v>
      </c>
      <c r="L183" s="4" t="n">
        <v>26.2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A33377985</t>
        </is>
      </c>
      <c r="B184" s="4" t="n">
        <v>741.05</v>
      </c>
      <c r="C184" s="3" t="n">
        <v>46030</v>
      </c>
      <c r="D184" s="3" t="n">
        <v>46193</v>
      </c>
      <c r="E184" s="2" t="n">
        <v>78</v>
      </c>
      <c r="F184" s="2" t="n">
        <v>20.94</v>
      </c>
      <c r="G184" s="2" t="n">
        <v>1.43</v>
      </c>
      <c r="H184" s="4" t="n">
        <v>10.6</v>
      </c>
      <c r="I184" s="4" t="n">
        <v>33.62</v>
      </c>
      <c r="J184" s="2" t="n">
        <v>20</v>
      </c>
      <c r="K184" s="4" t="n">
        <v>2.13</v>
      </c>
      <c r="L184" s="4" t="n">
        <v>6.84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A04874614</t>
        </is>
      </c>
      <c r="B185" s="4" t="n">
        <v>163.05</v>
      </c>
      <c r="C185" s="3" t="n">
        <v>46033</v>
      </c>
      <c r="D185" s="3" t="n">
        <v>46113</v>
      </c>
      <c r="E185" s="2" t="n">
        <v>20</v>
      </c>
      <c r="F185" s="2" t="n">
        <v>37.94</v>
      </c>
      <c r="G185" s="2" t="n">
        <v>2.99</v>
      </c>
      <c r="H185" s="4" t="n">
        <v>4.88</v>
      </c>
      <c r="I185" s="4" t="n">
        <v>3.44</v>
      </c>
      <c r="J185" s="2" t="n">
        <v>70</v>
      </c>
      <c r="K185" s="4" t="n">
        <v>3.43</v>
      </c>
      <c r="L185" s="4" t="n">
        <v>2.15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B00755270</t>
        </is>
      </c>
      <c r="B186" s="4" t="n">
        <v>295.02</v>
      </c>
      <c r="C186" s="3" t="n">
        <v>46033</v>
      </c>
      <c r="D186" s="3" t="n">
        <v>46215</v>
      </c>
      <c r="E186" s="2" t="n">
        <v>25</v>
      </c>
      <c r="F186" s="2" t="n">
        <v>26.03</v>
      </c>
      <c r="G186" s="2" t="n">
        <v>1.29</v>
      </c>
      <c r="H186" s="4" t="n">
        <v>3.81</v>
      </c>
      <c r="I186" s="4" t="n">
        <v>5.33</v>
      </c>
      <c r="J186" s="2" t="n">
        <v>70</v>
      </c>
      <c r="K186" s="4" t="n">
        <v>2.91</v>
      </c>
      <c r="L186" s="4" t="n">
        <v>3.81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A14692669</t>
        </is>
      </c>
      <c r="B187" s="4" t="n">
        <v>185.38</v>
      </c>
      <c r="C187" s="3" t="n">
        <v>46037</v>
      </c>
      <c r="D187" s="3" t="n">
        <v>46137</v>
      </c>
      <c r="E187" s="2" t="n">
        <v>70</v>
      </c>
      <c r="F187" s="2" t="n">
        <v>35.76</v>
      </c>
      <c r="G187" s="2" t="n">
        <v>2.38</v>
      </c>
      <c r="H187" s="4" t="n">
        <v>4.41</v>
      </c>
      <c r="I187" s="4" t="n">
        <v>12.89</v>
      </c>
      <c r="J187" s="2" t="n">
        <v>60</v>
      </c>
      <c r="K187" s="4" t="n">
        <v>2.71</v>
      </c>
      <c r="L187" s="4" t="n">
        <v>7.53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A12299195</t>
        </is>
      </c>
      <c r="B188" s="4" t="n">
        <v>481.74</v>
      </c>
      <c r="C188" s="3" t="n">
        <v>46048</v>
      </c>
      <c r="D188" s="3" t="n">
        <v>46222</v>
      </c>
      <c r="E188" s="2" t="n">
        <v>65</v>
      </c>
      <c r="F188" s="2" t="n">
        <v>27.79</v>
      </c>
      <c r="G188" s="2" t="n">
        <v>2.88</v>
      </c>
      <c r="H188" s="4" t="n">
        <v>13.87</v>
      </c>
      <c r="I188" s="4" t="n">
        <v>24.17</v>
      </c>
      <c r="J188" s="2" t="n">
        <v>70</v>
      </c>
      <c r="K188" s="4" t="n">
        <v>9.98</v>
      </c>
      <c r="L188" s="4" t="n">
        <v>17.12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B55201000</t>
        </is>
      </c>
      <c r="B189" s="4" t="n">
        <v>3052.68</v>
      </c>
      <c r="C189" s="3" t="n">
        <v>46049</v>
      </c>
      <c r="D189" s="3" t="n">
        <v>46161</v>
      </c>
      <c r="E189" s="2" t="n">
        <v>58</v>
      </c>
      <c r="F189" s="2" t="n">
        <v>18.07</v>
      </c>
      <c r="G189" s="2" t="n">
        <v>2.8</v>
      </c>
      <c r="H189" s="4" t="n">
        <v>85.48</v>
      </c>
      <c r="I189" s="4" t="n">
        <v>88.87</v>
      </c>
      <c r="J189" s="2" t="n">
        <v>70</v>
      </c>
      <c r="K189" s="4" t="n">
        <v>59.99</v>
      </c>
      <c r="L189" s="4" t="n">
        <v>62.07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B27562387</t>
        </is>
      </c>
      <c r="B190" s="4" t="n">
        <v>366.15</v>
      </c>
      <c r="C190" s="3" t="n">
        <v>46048</v>
      </c>
      <c r="D190" s="3" t="n">
        <v>46060</v>
      </c>
      <c r="E190" s="2" t="n">
        <v>57</v>
      </c>
      <c r="F190" s="2" t="n">
        <v>42.16</v>
      </c>
      <c r="G190" s="2" t="n">
        <v>2.51</v>
      </c>
      <c r="H190" s="4" t="n">
        <v>9.19</v>
      </c>
      <c r="I190" s="4" t="n">
        <v>24.44</v>
      </c>
      <c r="J190" s="2" t="n">
        <v>50</v>
      </c>
      <c r="K190" s="4" t="n">
        <v>4.49</v>
      </c>
      <c r="L190" s="4" t="n">
        <v>12.46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A50920792</t>
        </is>
      </c>
      <c r="B191" s="4" t="n">
        <v>126.96</v>
      </c>
      <c r="C191" s="3" t="n">
        <v>46046</v>
      </c>
      <c r="D191" s="3" t="n">
        <v>46168</v>
      </c>
      <c r="E191" s="2" t="n">
        <v>42</v>
      </c>
      <c r="F191" s="2" t="n">
        <v>26.41</v>
      </c>
      <c r="G191" s="2" t="n">
        <v>0.63</v>
      </c>
      <c r="H191" s="4" t="n">
        <v>0.8</v>
      </c>
      <c r="I191" s="4" t="n">
        <v>3.91</v>
      </c>
      <c r="J191" s="2" t="n">
        <v>60</v>
      </c>
      <c r="K191" s="4" t="n">
        <v>0.5</v>
      </c>
      <c r="L191" s="4" t="n">
        <v>2.49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A76102814</t>
        </is>
      </c>
      <c r="B192" s="4" t="n">
        <v>8252.700000000001</v>
      </c>
      <c r="C192" s="3" t="n">
        <v>46030</v>
      </c>
      <c r="D192" s="3" t="n">
        <v>46068</v>
      </c>
      <c r="E192" s="2" t="n">
        <v>74</v>
      </c>
      <c r="F192" s="2" t="n">
        <v>16.68</v>
      </c>
      <c r="G192" s="2" t="n">
        <v>0.72</v>
      </c>
      <c r="H192" s="4" t="n">
        <v>59.42</v>
      </c>
      <c r="I192" s="4" t="n">
        <v>282.96</v>
      </c>
      <c r="J192" s="2" t="n">
        <v>50</v>
      </c>
      <c r="K192" s="4" t="n">
        <v>30</v>
      </c>
      <c r="L192" s="4" t="n">
        <v>141.68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A73888019</t>
        </is>
      </c>
      <c r="B193" s="4" t="n">
        <v>398.41</v>
      </c>
      <c r="C193" s="3" t="n">
        <v>46033</v>
      </c>
      <c r="D193" s="3" t="n">
        <v>46154</v>
      </c>
      <c r="E193" s="2" t="n">
        <v>31</v>
      </c>
      <c r="F193" s="2" t="n">
        <v>25</v>
      </c>
      <c r="G193" s="2" t="n">
        <v>2.6</v>
      </c>
      <c r="H193" s="4" t="n">
        <v>10.36</v>
      </c>
      <c r="I193" s="4" t="n">
        <v>8.58</v>
      </c>
      <c r="J193" s="2" t="n">
        <v>40</v>
      </c>
      <c r="K193" s="4" t="n">
        <v>4.33</v>
      </c>
      <c r="L193" s="4" t="n">
        <v>3.7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A20493835</t>
        </is>
      </c>
      <c r="B194" s="4" t="n">
        <v>397.72</v>
      </c>
      <c r="C194" s="3" t="n">
        <v>46034</v>
      </c>
      <c r="D194" s="3" t="n">
        <v>46135</v>
      </c>
      <c r="E194" s="2" t="n">
        <v>89</v>
      </c>
      <c r="F194" s="2" t="n">
        <v>19.92</v>
      </c>
      <c r="G194" s="2" t="n">
        <v>0.53</v>
      </c>
      <c r="H194" s="4" t="n">
        <v>2.11</v>
      </c>
      <c r="I194" s="4" t="n">
        <v>19.59</v>
      </c>
      <c r="J194" s="2" t="n">
        <v>20</v>
      </c>
      <c r="K194" s="4" t="n">
        <v>0.18</v>
      </c>
      <c r="L194" s="4" t="n">
        <v>3.64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B18712656</t>
        </is>
      </c>
      <c r="B195" s="4" t="n">
        <v>1786.99</v>
      </c>
      <c r="C195" s="3" t="n">
        <v>46029</v>
      </c>
      <c r="D195" s="3" t="n">
        <v>46125</v>
      </c>
      <c r="E195" s="2" t="n">
        <v>82</v>
      </c>
      <c r="F195" s="2" t="n">
        <v>45.65</v>
      </c>
      <c r="G195" s="2" t="n">
        <v>0.93</v>
      </c>
      <c r="H195" s="4" t="n">
        <v>16.62</v>
      </c>
      <c r="I195" s="4" t="n">
        <v>185.81</v>
      </c>
      <c r="J195" s="2" t="n">
        <v>40</v>
      </c>
      <c r="K195" s="4" t="n">
        <v>6.93</v>
      </c>
      <c r="L195" s="4" t="n">
        <v>74.28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A09361757</t>
        </is>
      </c>
      <c r="B196" s="4" t="n">
        <v>431.51</v>
      </c>
      <c r="C196" s="3" t="n">
        <v>46025</v>
      </c>
      <c r="D196" s="3" t="n">
        <v>46061</v>
      </c>
      <c r="E196" s="2" t="n">
        <v>39</v>
      </c>
      <c r="F196" s="2" t="n">
        <v>11.61</v>
      </c>
      <c r="G196" s="2" t="n">
        <v>1.48</v>
      </c>
      <c r="H196" s="4" t="n">
        <v>6.39</v>
      </c>
      <c r="I196" s="4" t="n">
        <v>5.43</v>
      </c>
      <c r="J196" s="2" t="n">
        <v>60</v>
      </c>
      <c r="K196" s="4" t="n">
        <v>4.03</v>
      </c>
      <c r="L196" s="4" t="n">
        <v>3.53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A53687590</t>
        </is>
      </c>
      <c r="B197" s="4" t="n">
        <v>124.04</v>
      </c>
      <c r="C197" s="3" t="n">
        <v>46045</v>
      </c>
      <c r="D197" s="3" t="n">
        <v>46180</v>
      </c>
      <c r="E197" s="2" t="n">
        <v>48</v>
      </c>
      <c r="F197" s="2" t="n">
        <v>23.31</v>
      </c>
      <c r="G197" s="2" t="n">
        <v>1.13</v>
      </c>
      <c r="H197" s="4" t="n">
        <v>1.4</v>
      </c>
      <c r="I197" s="4" t="n">
        <v>3.86</v>
      </c>
      <c r="J197" s="2" t="n">
        <v>60</v>
      </c>
      <c r="K197" s="4" t="n">
        <v>0.97</v>
      </c>
      <c r="L197" s="4" t="n">
        <v>2.42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B74576595</t>
        </is>
      </c>
      <c r="B198" s="4" t="n">
        <v>598.89</v>
      </c>
      <c r="C198" s="3" t="n">
        <v>46049</v>
      </c>
      <c r="D198" s="3" t="n">
        <v>46054</v>
      </c>
      <c r="E198" s="2" t="n">
        <v>36</v>
      </c>
      <c r="F198" s="2" t="n">
        <v>46.23</v>
      </c>
      <c r="G198" s="2" t="n">
        <v>1.67</v>
      </c>
      <c r="H198" s="4" t="n">
        <v>10</v>
      </c>
      <c r="I198" s="4" t="n">
        <v>27.69</v>
      </c>
      <c r="J198" s="2" t="n">
        <v>20</v>
      </c>
      <c r="K198" s="4" t="n">
        <v>1.95</v>
      </c>
      <c r="L198" s="4" t="n">
        <v>5.26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B54529548</t>
        </is>
      </c>
      <c r="B199" s="4" t="n">
        <v>741.08</v>
      </c>
      <c r="C199" s="3" t="n">
        <v>46045</v>
      </c>
      <c r="D199" s="3" t="n">
        <v>46158</v>
      </c>
      <c r="E199" s="2" t="n">
        <v>82</v>
      </c>
      <c r="F199" s="2" t="n">
        <v>46.97</v>
      </c>
      <c r="G199" s="2" t="n">
        <v>1.1</v>
      </c>
      <c r="H199" s="4" t="n">
        <v>8.15</v>
      </c>
      <c r="I199" s="4" t="n">
        <v>79.29000000000001</v>
      </c>
      <c r="J199" s="2" t="n">
        <v>30</v>
      </c>
      <c r="K199" s="4" t="n">
        <v>2.68</v>
      </c>
      <c r="L199" s="4" t="n">
        <v>23.57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B24295053</t>
        </is>
      </c>
      <c r="B200" s="4" t="n">
        <v>5733.33</v>
      </c>
      <c r="C200" s="3" t="n">
        <v>46050</v>
      </c>
      <c r="D200" s="3" t="n">
        <v>46109</v>
      </c>
      <c r="E200" s="2" t="n">
        <v>73</v>
      </c>
      <c r="F200" s="2" t="n">
        <v>38.53</v>
      </c>
      <c r="G200" s="2" t="n">
        <v>1.46</v>
      </c>
      <c r="H200" s="4" t="n">
        <v>83.70999999999999</v>
      </c>
      <c r="I200" s="4" t="n">
        <v>447.95</v>
      </c>
      <c r="J200" s="2" t="n">
        <v>30</v>
      </c>
      <c r="K200" s="4" t="n">
        <v>25.06</v>
      </c>
      <c r="L200" s="4" t="n">
        <v>134.46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B13743481</t>
        </is>
      </c>
      <c r="B201" s="4" t="n">
        <v>266.93</v>
      </c>
      <c r="C201" s="3" t="n">
        <v>46030</v>
      </c>
      <c r="D201" s="3" t="n">
        <v>46056</v>
      </c>
      <c r="E201" s="2" t="n">
        <v>76</v>
      </c>
      <c r="F201" s="2" t="n">
        <v>13.32</v>
      </c>
      <c r="G201" s="2" t="n">
        <v>0.86</v>
      </c>
      <c r="H201" s="4" t="n">
        <v>2.3</v>
      </c>
      <c r="I201" s="4" t="n">
        <v>7.51</v>
      </c>
      <c r="J201" s="2" t="n">
        <v>40</v>
      </c>
      <c r="K201" s="4" t="n">
        <v>0.64</v>
      </c>
      <c r="L201" s="4" t="n">
        <v>2.7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B10372782</t>
        </is>
      </c>
      <c r="B202" s="4" t="n">
        <v>4646.53</v>
      </c>
      <c r="C202" s="3" t="n">
        <v>46035</v>
      </c>
      <c r="D202" s="3" t="n">
        <v>46093</v>
      </c>
      <c r="E202" s="2" t="n">
        <v>14</v>
      </c>
      <c r="F202" s="2" t="n">
        <v>28.66</v>
      </c>
      <c r="G202" s="2" t="n">
        <v>2.14</v>
      </c>
      <c r="H202" s="4" t="n">
        <v>99.44</v>
      </c>
      <c r="I202" s="4" t="n">
        <v>51.79</v>
      </c>
      <c r="J202" s="2" t="n">
        <v>70</v>
      </c>
      <c r="K202" s="4" t="n">
        <v>69.56</v>
      </c>
      <c r="L202" s="4" t="n">
        <v>36.33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B54261715</t>
        </is>
      </c>
      <c r="B203" s="4" t="n">
        <v>278.61</v>
      </c>
      <c r="C203" s="3" t="n">
        <v>46033</v>
      </c>
      <c r="D203" s="3" t="n">
        <v>46188</v>
      </c>
      <c r="E203" s="2" t="n">
        <v>44</v>
      </c>
      <c r="F203" s="2" t="n">
        <v>37.49</v>
      </c>
      <c r="G203" s="2" t="n">
        <v>2.78</v>
      </c>
      <c r="H203" s="4" t="n">
        <v>7.75</v>
      </c>
      <c r="I203" s="4" t="n">
        <v>12.77</v>
      </c>
      <c r="J203" s="2" t="n">
        <v>20</v>
      </c>
      <c r="K203" s="4" t="n">
        <v>1.62</v>
      </c>
      <c r="L203" s="4" t="n">
        <v>2.62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B10372782</t>
        </is>
      </c>
      <c r="B204" s="4" t="n">
        <v>3253.01</v>
      </c>
      <c r="C204" s="3" t="n">
        <v>46046</v>
      </c>
      <c r="D204" s="3" t="n">
        <v>46193</v>
      </c>
      <c r="E204" s="2" t="n">
        <v>87</v>
      </c>
      <c r="F204" s="2" t="n">
        <v>41.57</v>
      </c>
      <c r="G204" s="2" t="n">
        <v>2.65</v>
      </c>
      <c r="H204" s="4" t="n">
        <v>86.2</v>
      </c>
      <c r="I204" s="4" t="n">
        <v>326.8</v>
      </c>
      <c r="J204" s="2" t="n">
        <v>40</v>
      </c>
      <c r="K204" s="4" t="n">
        <v>34.39</v>
      </c>
      <c r="L204" s="4" t="n">
        <v>130.68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A41560810</t>
        </is>
      </c>
      <c r="B205" s="4" t="n">
        <v>916.5700000000001</v>
      </c>
      <c r="C205" s="3" t="n">
        <v>46036</v>
      </c>
      <c r="D205" s="3" t="n">
        <v>46157</v>
      </c>
      <c r="E205" s="2" t="n">
        <v>33</v>
      </c>
      <c r="F205" s="2" t="n">
        <v>30.78</v>
      </c>
      <c r="G205" s="2" t="n">
        <v>1.71</v>
      </c>
      <c r="H205" s="4" t="n">
        <v>15.67</v>
      </c>
      <c r="I205" s="4" t="n">
        <v>25.86</v>
      </c>
      <c r="J205" s="2" t="n">
        <v>30</v>
      </c>
      <c r="K205" s="4" t="n">
        <v>4.98</v>
      </c>
      <c r="L205" s="4" t="n">
        <v>7.62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B64207507</t>
        </is>
      </c>
      <c r="B206" s="4" t="n">
        <v>615.67</v>
      </c>
      <c r="C206" s="3" t="n">
        <v>46028</v>
      </c>
      <c r="D206" s="3" t="n">
        <v>46204</v>
      </c>
      <c r="E206" s="2" t="n">
        <v>71</v>
      </c>
      <c r="F206" s="2" t="n">
        <v>36.84</v>
      </c>
      <c r="G206" s="2" t="n">
        <v>1.87</v>
      </c>
      <c r="H206" s="4" t="n">
        <v>11.51</v>
      </c>
      <c r="I206" s="4" t="n">
        <v>44.73</v>
      </c>
      <c r="J206" s="2" t="n">
        <v>20</v>
      </c>
      <c r="K206" s="4" t="n">
        <v>2.14</v>
      </c>
      <c r="L206" s="4" t="n">
        <v>8.710000000000001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B86414064</t>
        </is>
      </c>
      <c r="B207" s="4" t="n">
        <v>249.76</v>
      </c>
      <c r="C207" s="3" t="n">
        <v>46049</v>
      </c>
      <c r="D207" s="3" t="n">
        <v>46064</v>
      </c>
      <c r="E207" s="2" t="n">
        <v>36</v>
      </c>
      <c r="F207" s="2" t="n">
        <v>25.43</v>
      </c>
      <c r="G207" s="2" t="n">
        <v>0.86</v>
      </c>
      <c r="H207" s="4" t="n">
        <v>2.15</v>
      </c>
      <c r="I207" s="4" t="n">
        <v>6.35</v>
      </c>
      <c r="J207" s="2" t="n">
        <v>30</v>
      </c>
      <c r="K207" s="4" t="n">
        <v>0.36</v>
      </c>
      <c r="L207" s="4" t="n">
        <v>2.19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B10372782</t>
        </is>
      </c>
      <c r="B208" s="4" t="n">
        <v>501.25</v>
      </c>
      <c r="C208" s="3" t="n">
        <v>46045</v>
      </c>
      <c r="D208" s="3" t="n">
        <v>46128</v>
      </c>
      <c r="E208" s="2" t="n">
        <v>88</v>
      </c>
      <c r="F208" s="2" t="n">
        <v>35.05</v>
      </c>
      <c r="G208" s="2" t="n">
        <v>2.39</v>
      </c>
      <c r="H208" s="4" t="n">
        <v>11.98</v>
      </c>
      <c r="I208" s="4" t="n">
        <v>42.95</v>
      </c>
      <c r="J208" s="2" t="n">
        <v>20</v>
      </c>
      <c r="K208" s="4" t="n">
        <v>2.45</v>
      </c>
      <c r="L208" s="4" t="n">
        <v>8.48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B53668074</t>
        </is>
      </c>
      <c r="B209" s="4" t="n">
        <v>133.66</v>
      </c>
      <c r="C209" s="3" t="n">
        <v>46034</v>
      </c>
      <c r="D209" s="3" t="n">
        <v>46183</v>
      </c>
      <c r="E209" s="2" t="n">
        <v>42</v>
      </c>
      <c r="F209" s="2" t="n">
        <v>29.99</v>
      </c>
      <c r="G209" s="2" t="n">
        <v>2.53</v>
      </c>
      <c r="H209" s="4" t="n">
        <v>3.38</v>
      </c>
      <c r="I209" s="4" t="n">
        <v>4.68</v>
      </c>
      <c r="J209" s="2" t="n">
        <v>30</v>
      </c>
      <c r="K209" s="4" t="n">
        <v>0.96</v>
      </c>
      <c r="L209" s="4" t="n">
        <v>1.61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A21090683</t>
        </is>
      </c>
      <c r="B210" s="4" t="n">
        <v>942.27</v>
      </c>
      <c r="C210" s="3" t="n">
        <v>46027</v>
      </c>
      <c r="D210" s="3" t="n">
        <v>46160</v>
      </c>
      <c r="E210" s="2" t="n">
        <v>90</v>
      </c>
      <c r="F210" s="2" t="n">
        <v>28.57</v>
      </c>
      <c r="G210" s="2" t="n">
        <v>1.6</v>
      </c>
      <c r="H210" s="4" t="n">
        <v>15.08</v>
      </c>
      <c r="I210" s="4" t="n">
        <v>67.3</v>
      </c>
      <c r="J210" s="2" t="n">
        <v>60</v>
      </c>
      <c r="K210" s="4" t="n">
        <v>9.300000000000001</v>
      </c>
      <c r="L210" s="4" t="n">
        <v>40.48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A22700331</t>
        </is>
      </c>
      <c r="B211" s="4" t="n">
        <v>344.57</v>
      </c>
      <c r="C211" s="3" t="n">
        <v>46038</v>
      </c>
      <c r="D211" s="3" t="n">
        <v>46151</v>
      </c>
      <c r="E211" s="2" t="n">
        <v>16</v>
      </c>
      <c r="F211" s="2" t="n">
        <v>49.81</v>
      </c>
      <c r="G211" s="2" t="n">
        <v>1.13</v>
      </c>
      <c r="H211" s="4" t="n">
        <v>3.89</v>
      </c>
      <c r="I211" s="4" t="n">
        <v>7.63</v>
      </c>
      <c r="J211" s="2" t="n">
        <v>70</v>
      </c>
      <c r="K211" s="4" t="n">
        <v>2.46</v>
      </c>
      <c r="L211" s="4" t="n">
        <v>5.25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A33195060</t>
        </is>
      </c>
      <c r="B212" s="4" t="n">
        <v>671.4400000000001</v>
      </c>
      <c r="C212" s="3" t="n">
        <v>46050</v>
      </c>
      <c r="D212" s="3" t="n">
        <v>46129</v>
      </c>
      <c r="E212" s="2" t="n">
        <v>53</v>
      </c>
      <c r="F212" s="2" t="n">
        <v>31.42</v>
      </c>
      <c r="G212" s="2" t="n">
        <v>1.4</v>
      </c>
      <c r="H212" s="4" t="n">
        <v>9.4</v>
      </c>
      <c r="I212" s="4" t="n">
        <v>31.06</v>
      </c>
      <c r="J212" s="2" t="n">
        <v>50</v>
      </c>
      <c r="K212" s="4" t="n">
        <v>4.57</v>
      </c>
      <c r="L212" s="4" t="n">
        <v>15.42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A52690434</t>
        </is>
      </c>
      <c r="B213" s="4" t="n">
        <v>931.4400000000001</v>
      </c>
      <c r="C213" s="3" t="n">
        <v>46038</v>
      </c>
      <c r="D213" s="3" t="n">
        <v>46224</v>
      </c>
      <c r="E213" s="2" t="n">
        <v>37</v>
      </c>
      <c r="F213" s="2" t="n">
        <v>11.36</v>
      </c>
      <c r="G213" s="2" t="n">
        <v>1.26</v>
      </c>
      <c r="H213" s="4" t="n">
        <v>11.74</v>
      </c>
      <c r="I213" s="4" t="n">
        <v>10.88</v>
      </c>
      <c r="J213" s="2" t="n">
        <v>60</v>
      </c>
      <c r="K213" s="4" t="n">
        <v>7.15</v>
      </c>
      <c r="L213" s="4" t="n">
        <v>6.5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A84368095</t>
        </is>
      </c>
      <c r="B214" s="4" t="n">
        <v>891.38</v>
      </c>
      <c r="C214" s="3" t="n">
        <v>46037</v>
      </c>
      <c r="D214" s="3" t="n">
        <v>46072</v>
      </c>
      <c r="E214" s="2" t="n">
        <v>15</v>
      </c>
      <c r="F214" s="2" t="n">
        <v>13.6</v>
      </c>
      <c r="G214" s="2" t="n">
        <v>1.91</v>
      </c>
      <c r="H214" s="4" t="n">
        <v>17.03</v>
      </c>
      <c r="I214" s="4" t="n">
        <v>5.05</v>
      </c>
      <c r="J214" s="2" t="n">
        <v>50</v>
      </c>
      <c r="K214" s="4" t="n">
        <v>8.720000000000001</v>
      </c>
      <c r="L214" s="4" t="n">
        <v>2.75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B74576595</t>
        </is>
      </c>
      <c r="B215" s="4" t="n">
        <v>9590.959999999999</v>
      </c>
      <c r="C215" s="3" t="n">
        <v>46046</v>
      </c>
      <c r="D215" s="3" t="n">
        <v>46098</v>
      </c>
      <c r="E215" s="2" t="n">
        <v>62</v>
      </c>
      <c r="F215" s="2" t="n">
        <v>48.76</v>
      </c>
      <c r="G215" s="2" t="n">
        <v>0.58</v>
      </c>
      <c r="H215" s="4" t="n">
        <v>55.63</v>
      </c>
      <c r="I215" s="4" t="n">
        <v>805.41</v>
      </c>
      <c r="J215" s="2" t="n">
        <v>60</v>
      </c>
      <c r="K215" s="4" t="n">
        <v>33.47</v>
      </c>
      <c r="L215" s="4" t="n">
        <v>483.37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B57933667</t>
        </is>
      </c>
      <c r="B216" s="4" t="n">
        <v>4979.82</v>
      </c>
      <c r="C216" s="3" t="n">
        <v>46038</v>
      </c>
      <c r="D216" s="3" t="n">
        <v>46207</v>
      </c>
      <c r="E216" s="2" t="n">
        <v>36</v>
      </c>
      <c r="F216" s="2" t="n">
        <v>16.78</v>
      </c>
      <c r="G216" s="2" t="n">
        <v>1.41</v>
      </c>
      <c r="H216" s="4" t="n">
        <v>70.22</v>
      </c>
      <c r="I216" s="4" t="n">
        <v>83.56</v>
      </c>
      <c r="J216" s="2" t="n">
        <v>20</v>
      </c>
      <c r="K216" s="4" t="n">
        <v>14.33</v>
      </c>
      <c r="L216" s="4" t="n">
        <v>16.63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A97934828</t>
        </is>
      </c>
      <c r="B217" s="4" t="n">
        <v>5740.97</v>
      </c>
      <c r="C217" s="3" t="n">
        <v>46034</v>
      </c>
      <c r="D217" s="3" t="n">
        <v>46096</v>
      </c>
      <c r="E217" s="2" t="n">
        <v>61</v>
      </c>
      <c r="F217" s="2" t="n">
        <v>17.75</v>
      </c>
      <c r="G217" s="2" t="n">
        <v>1.32</v>
      </c>
      <c r="H217" s="4" t="n">
        <v>75.78</v>
      </c>
      <c r="I217" s="4" t="n">
        <v>172.67</v>
      </c>
      <c r="J217" s="2" t="n">
        <v>20</v>
      </c>
      <c r="K217" s="4" t="n">
        <v>15.02</v>
      </c>
      <c r="L217" s="4" t="n">
        <v>34.77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B84562652</t>
        </is>
      </c>
      <c r="B218" s="4" t="n">
        <v>306.72</v>
      </c>
      <c r="C218" s="3" t="n">
        <v>46034</v>
      </c>
      <c r="D218" s="3" t="n">
        <v>46190</v>
      </c>
      <c r="E218" s="2" t="n">
        <v>83</v>
      </c>
      <c r="F218" s="2" t="n">
        <v>34.3</v>
      </c>
      <c r="G218" s="2" t="n">
        <v>1.78</v>
      </c>
      <c r="H218" s="4" t="n">
        <v>5.46</v>
      </c>
      <c r="I218" s="4" t="n">
        <v>24.26</v>
      </c>
      <c r="J218" s="2" t="n">
        <v>70</v>
      </c>
      <c r="K218" s="4" t="n">
        <v>4.03</v>
      </c>
      <c r="L218" s="4" t="n">
        <v>17.07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B24227649</t>
        </is>
      </c>
      <c r="B219" s="4" t="n">
        <v>623.95</v>
      </c>
      <c r="C219" s="3" t="n">
        <v>46029</v>
      </c>
      <c r="D219" s="3" t="n">
        <v>46135</v>
      </c>
      <c r="E219" s="2" t="n">
        <v>56</v>
      </c>
      <c r="F219" s="2" t="n">
        <v>16.77</v>
      </c>
      <c r="G219" s="2" t="n">
        <v>0.88</v>
      </c>
      <c r="H219" s="4" t="n">
        <v>5.49</v>
      </c>
      <c r="I219" s="4" t="n">
        <v>16.28</v>
      </c>
      <c r="J219" s="2" t="n">
        <v>60</v>
      </c>
      <c r="K219" s="4" t="n">
        <v>3.57</v>
      </c>
      <c r="L219" s="4" t="n">
        <v>9.550000000000001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B88683138</t>
        </is>
      </c>
      <c r="B220" s="4" t="n">
        <v>7901.83</v>
      </c>
      <c r="C220" s="3" t="n">
        <v>46029</v>
      </c>
      <c r="D220" s="3" t="n">
        <v>46068</v>
      </c>
      <c r="E220" s="2" t="n">
        <v>71</v>
      </c>
      <c r="F220" s="2" t="n">
        <v>22.58</v>
      </c>
      <c r="G220" s="2" t="n">
        <v>2.96</v>
      </c>
      <c r="H220" s="4" t="n">
        <v>233.89</v>
      </c>
      <c r="I220" s="4" t="n">
        <v>351.89</v>
      </c>
      <c r="J220" s="2" t="n">
        <v>50</v>
      </c>
      <c r="K220" s="4" t="n">
        <v>116.75</v>
      </c>
      <c r="L220" s="4" t="n">
        <v>175.96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B86599173</t>
        </is>
      </c>
      <c r="B221" s="4" t="n">
        <v>898.49</v>
      </c>
      <c r="C221" s="3" t="n">
        <v>46030</v>
      </c>
      <c r="D221" s="3" t="n">
        <v>46224</v>
      </c>
      <c r="E221" s="2" t="n">
        <v>90</v>
      </c>
      <c r="F221" s="2" t="n">
        <v>32.31</v>
      </c>
      <c r="G221" s="2" t="n">
        <v>2.11</v>
      </c>
      <c r="H221" s="4" t="n">
        <v>18.96</v>
      </c>
      <c r="I221" s="4" t="n">
        <v>72.58</v>
      </c>
      <c r="J221" s="2" t="n">
        <v>40</v>
      </c>
      <c r="K221" s="4" t="n">
        <v>7.32</v>
      </c>
      <c r="L221" s="4" t="n">
        <v>29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A47417591</t>
        </is>
      </c>
      <c r="B222" s="4" t="n">
        <v>441.25</v>
      </c>
      <c r="C222" s="3" t="n">
        <v>46023</v>
      </c>
      <c r="D222" s="3" t="n">
        <v>46193</v>
      </c>
      <c r="E222" s="2" t="n">
        <v>24</v>
      </c>
      <c r="F222" s="2" t="n">
        <v>27.35</v>
      </c>
      <c r="G222" s="2" t="n">
        <v>2.91</v>
      </c>
      <c r="H222" s="4" t="n">
        <v>12.84</v>
      </c>
      <c r="I222" s="4" t="n">
        <v>8.050000000000001</v>
      </c>
      <c r="J222" s="2" t="n">
        <v>60</v>
      </c>
      <c r="K222" s="4" t="n">
        <v>7.48</v>
      </c>
      <c r="L222" s="4" t="n">
        <v>5.12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B67859772</t>
        </is>
      </c>
      <c r="B223" s="4" t="n">
        <v>8278.85</v>
      </c>
      <c r="C223" s="3" t="n">
        <v>46032</v>
      </c>
      <c r="D223" s="3" t="n">
        <v>46209</v>
      </c>
      <c r="E223" s="2" t="n">
        <v>54</v>
      </c>
      <c r="F223" s="2" t="n">
        <v>13.23</v>
      </c>
      <c r="G223" s="2" t="n">
        <v>1.01</v>
      </c>
      <c r="H223" s="4" t="n">
        <v>83.62</v>
      </c>
      <c r="I223" s="4" t="n">
        <v>164.29</v>
      </c>
      <c r="J223" s="2" t="n">
        <v>20</v>
      </c>
      <c r="K223" s="4" t="n">
        <v>16.68</v>
      </c>
      <c r="L223" s="4" t="n">
        <v>32.79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B44194915</t>
        </is>
      </c>
      <c r="B224" s="4" t="n">
        <v>857.61</v>
      </c>
      <c r="C224" s="3" t="n">
        <v>46036</v>
      </c>
      <c r="D224" s="3" t="n">
        <v>46134</v>
      </c>
      <c r="E224" s="2" t="n">
        <v>86</v>
      </c>
      <c r="F224" s="2" t="n">
        <v>18.89</v>
      </c>
      <c r="G224" s="2" t="n">
        <v>2.68</v>
      </c>
      <c r="H224" s="4" t="n">
        <v>22.98</v>
      </c>
      <c r="I224" s="4" t="n">
        <v>38.7</v>
      </c>
      <c r="J224" s="2" t="n">
        <v>40</v>
      </c>
      <c r="K224" s="4" t="n">
        <v>9.039999999999999</v>
      </c>
      <c r="L224" s="4" t="n">
        <v>15.76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2" t="inlineStr">
        <is>
          <t>B38841422</t>
        </is>
      </c>
      <c r="B225" s="4" t="n">
        <v>181.51</v>
      </c>
      <c r="C225" s="3" t="n">
        <v>46038</v>
      </c>
      <c r="D225" s="3" t="n">
        <v>46153</v>
      </c>
      <c r="E225" s="2" t="n">
        <v>80</v>
      </c>
      <c r="F225" s="2" t="n">
        <v>16.25</v>
      </c>
      <c r="G225" s="2" t="n">
        <v>2.77</v>
      </c>
      <c r="H225" s="4" t="n">
        <v>5.03</v>
      </c>
      <c r="I225" s="4" t="n">
        <v>6.55</v>
      </c>
      <c r="J225" s="2" t="n">
        <v>70</v>
      </c>
      <c r="K225" s="4" t="n">
        <v>3.66</v>
      </c>
      <c r="L225" s="4" t="n">
        <v>4.3</v>
      </c>
      <c r="M225" s="4">
        <f>B225*(G225/100)*(J225/100)</f>
        <v/>
      </c>
      <c r="N225" s="4">
        <f>B225*(F225/360/100)*E225*(J225/100)</f>
        <v/>
      </c>
      <c r="O225" s="4">
        <f>K225-M225+L225-N225</f>
        <v/>
      </c>
    </row>
    <row r="226">
      <c r="A226" s="2" t="inlineStr">
        <is>
          <t>A35612278</t>
        </is>
      </c>
      <c r="B226" s="4" t="n">
        <v>595.61</v>
      </c>
      <c r="C226" s="3" t="n">
        <v>46050</v>
      </c>
      <c r="D226" s="3" t="n">
        <v>46082</v>
      </c>
      <c r="E226" s="2" t="n">
        <v>51</v>
      </c>
      <c r="F226" s="2" t="n">
        <v>24.64</v>
      </c>
      <c r="G226" s="2" t="n">
        <v>1.93</v>
      </c>
      <c r="H226" s="4" t="n">
        <v>11.5</v>
      </c>
      <c r="I226" s="4" t="n">
        <v>20.79</v>
      </c>
      <c r="J226" s="2" t="n">
        <v>30</v>
      </c>
      <c r="K226" s="4" t="n">
        <v>3.42</v>
      </c>
      <c r="L226" s="4" t="n">
        <v>6.22</v>
      </c>
      <c r="M226" s="4">
        <f>B226*(G226/100)*(J226/100)</f>
        <v/>
      </c>
      <c r="N226" s="4">
        <f>B226*(F226/360/100)*E226*(J226/100)</f>
        <v/>
      </c>
      <c r="O226" s="4">
        <f>K226-M226+L226-N226</f>
        <v/>
      </c>
    </row>
    <row r="227">
      <c r="A227" s="2" t="inlineStr">
        <is>
          <t>A62059817</t>
        </is>
      </c>
      <c r="B227" s="4" t="n">
        <v>542.27</v>
      </c>
      <c r="C227" s="3" t="n">
        <v>46025</v>
      </c>
      <c r="D227" s="3" t="n">
        <v>46227</v>
      </c>
      <c r="E227" s="2" t="n">
        <v>41</v>
      </c>
      <c r="F227" s="2" t="n">
        <v>25.36</v>
      </c>
      <c r="G227" s="2" t="n">
        <v>2.15</v>
      </c>
      <c r="H227" s="4" t="n">
        <v>11.66</v>
      </c>
      <c r="I227" s="4" t="n">
        <v>15.66</v>
      </c>
      <c r="J227" s="2" t="n">
        <v>60</v>
      </c>
      <c r="K227" s="4" t="n">
        <v>6.86</v>
      </c>
      <c r="L227" s="4" t="n">
        <v>9.529999999999999</v>
      </c>
      <c r="M227" s="4">
        <f>B227*(G227/100)*(J227/100)</f>
        <v/>
      </c>
      <c r="N227" s="4">
        <f>B227*(F227/360/100)*E227*(J227/100)</f>
        <v/>
      </c>
      <c r="O227" s="4">
        <f>K227-M227+L227-N227</f>
        <v/>
      </c>
    </row>
    <row r="228">
      <c r="A228" s="2" t="inlineStr">
        <is>
          <t>B31671697</t>
        </is>
      </c>
      <c r="B228" s="4" t="n">
        <v>284.81</v>
      </c>
      <c r="C228" s="3" t="n">
        <v>46050</v>
      </c>
      <c r="D228" s="3" t="n">
        <v>46167</v>
      </c>
      <c r="E228" s="2" t="n">
        <v>20</v>
      </c>
      <c r="F228" s="2" t="n">
        <v>32.8</v>
      </c>
      <c r="G228" s="2" t="n">
        <v>1.94</v>
      </c>
      <c r="H228" s="4" t="n">
        <v>5.53</v>
      </c>
      <c r="I228" s="4" t="n">
        <v>5.19</v>
      </c>
      <c r="J228" s="2" t="n">
        <v>60</v>
      </c>
      <c r="K228" s="4" t="n">
        <v>3.24</v>
      </c>
      <c r="L228" s="4" t="n">
        <v>3.31</v>
      </c>
      <c r="M228" s="4">
        <f>B228*(G228/100)*(J228/100)</f>
        <v/>
      </c>
      <c r="N228" s="4">
        <f>B228*(F228/360/100)*E228*(J228/100)</f>
        <v/>
      </c>
      <c r="O228" s="4">
        <f>K228-M228+L228-N228</f>
        <v/>
      </c>
    </row>
    <row r="229">
      <c r="A229" s="2" t="inlineStr">
        <is>
          <t>A78687274</t>
        </is>
      </c>
      <c r="B229" s="4" t="n">
        <v>4290.07</v>
      </c>
      <c r="C229" s="3" t="n">
        <v>46025</v>
      </c>
      <c r="D229" s="3" t="n">
        <v>46091</v>
      </c>
      <c r="E229" s="2" t="n">
        <v>83</v>
      </c>
      <c r="F229" s="2" t="n">
        <v>14.57</v>
      </c>
      <c r="G229" s="2" t="n">
        <v>2.59</v>
      </c>
      <c r="H229" s="4" t="n">
        <v>111.11</v>
      </c>
      <c r="I229" s="4" t="n">
        <v>144.11</v>
      </c>
      <c r="J229" s="2" t="n">
        <v>50</v>
      </c>
      <c r="K229" s="4" t="n">
        <v>55.27</v>
      </c>
      <c r="L229" s="4" t="n">
        <v>71.98</v>
      </c>
      <c r="M229" s="4">
        <f>B229*(G229/100)*(J229/100)</f>
        <v/>
      </c>
      <c r="N229" s="4">
        <f>B229*(F229/360/100)*E229*(J229/100)</f>
        <v/>
      </c>
      <c r="O229" s="4">
        <f>K229-M229+L229-N229</f>
        <v/>
      </c>
    </row>
    <row r="230">
      <c r="A230" s="2" t="inlineStr">
        <is>
          <t>A00142489</t>
        </is>
      </c>
      <c r="B230" s="4" t="n">
        <v>776.77</v>
      </c>
      <c r="C230" s="3" t="n">
        <v>46038</v>
      </c>
      <c r="D230" s="3" t="n">
        <v>46156</v>
      </c>
      <c r="E230" s="2" t="n">
        <v>66</v>
      </c>
      <c r="F230" s="2" t="n">
        <v>26.92</v>
      </c>
      <c r="G230" s="2" t="n">
        <v>0.92</v>
      </c>
      <c r="H230" s="4" t="n">
        <v>7.15</v>
      </c>
      <c r="I230" s="4" t="n">
        <v>38.34</v>
      </c>
      <c r="J230" s="2" t="n">
        <v>60</v>
      </c>
      <c r="K230" s="4" t="n">
        <v>4.2</v>
      </c>
      <c r="L230" s="4" t="n">
        <v>22.85</v>
      </c>
      <c r="M230" s="4">
        <f>B230*(G230/100)*(J230/100)</f>
        <v/>
      </c>
      <c r="N230" s="4">
        <f>B230*(F230/360/100)*E230*(J230/100)</f>
        <v/>
      </c>
      <c r="O230" s="4">
        <f>K230-M230+L230-N230</f>
        <v/>
      </c>
    </row>
    <row r="231">
      <c r="A231" s="2" t="inlineStr">
        <is>
          <t>B84562652</t>
        </is>
      </c>
      <c r="B231" s="4" t="n">
        <v>433.33</v>
      </c>
      <c r="C231" s="3" t="n">
        <v>46043</v>
      </c>
      <c r="D231" s="3" t="n">
        <v>46056</v>
      </c>
      <c r="E231" s="2" t="n">
        <v>38</v>
      </c>
      <c r="F231" s="2" t="n">
        <v>12.23</v>
      </c>
      <c r="G231" s="2" t="n">
        <v>1.3</v>
      </c>
      <c r="H231" s="4" t="n">
        <v>5.63</v>
      </c>
      <c r="I231" s="4" t="n">
        <v>5.59</v>
      </c>
      <c r="J231" s="2" t="n">
        <v>40</v>
      </c>
      <c r="K231" s="4" t="n">
        <v>2.27</v>
      </c>
      <c r="L231" s="4" t="n">
        <v>2.04</v>
      </c>
      <c r="M231" s="4">
        <f>B231*(G231/100)*(J231/100)</f>
        <v/>
      </c>
      <c r="N231" s="4">
        <f>B231*(F231/360/100)*E231*(J231/100)</f>
        <v/>
      </c>
      <c r="O231" s="4">
        <f>K231-M231+L231-N231</f>
        <v/>
      </c>
    </row>
    <row r="232">
      <c r="A232" s="2" t="inlineStr">
        <is>
          <t>A28953658</t>
        </is>
      </c>
      <c r="B232" s="4" t="n">
        <v>926.87</v>
      </c>
      <c r="C232" s="3" t="n">
        <v>46032</v>
      </c>
      <c r="D232" s="3" t="n">
        <v>46187</v>
      </c>
      <c r="E232" s="2" t="n">
        <v>87</v>
      </c>
      <c r="F232" s="2" t="n">
        <v>35.85</v>
      </c>
      <c r="G232" s="2" t="n">
        <v>1.88</v>
      </c>
      <c r="H232" s="4" t="n">
        <v>17.43</v>
      </c>
      <c r="I232" s="4" t="n">
        <v>80.3</v>
      </c>
      <c r="J232" s="2" t="n">
        <v>50</v>
      </c>
      <c r="K232" s="4" t="n">
        <v>8.539999999999999</v>
      </c>
      <c r="L232" s="4" t="n">
        <v>39.95</v>
      </c>
      <c r="M232" s="4">
        <f>B232*(G232/100)*(J232/100)</f>
        <v/>
      </c>
      <c r="N232" s="4">
        <f>B232*(F232/360/100)*E232*(J232/100)</f>
        <v/>
      </c>
      <c r="O232" s="4">
        <f>K232-M232+L232-N232</f>
        <v/>
      </c>
    </row>
    <row r="233">
      <c r="A233" s="2" t="inlineStr">
        <is>
          <t>B33260353</t>
        </is>
      </c>
      <c r="B233" s="4" t="n">
        <v>947.66</v>
      </c>
      <c r="C233" s="3" t="n">
        <v>46042</v>
      </c>
      <c r="D233" s="3" t="n">
        <v>46151</v>
      </c>
      <c r="E233" s="2" t="n">
        <v>44</v>
      </c>
      <c r="F233" s="2" t="n">
        <v>42.57</v>
      </c>
      <c r="G233" s="2" t="n">
        <v>0.78</v>
      </c>
      <c r="H233" s="4" t="n">
        <v>7.39</v>
      </c>
      <c r="I233" s="4" t="n">
        <v>49.31</v>
      </c>
      <c r="J233" s="2" t="n">
        <v>30</v>
      </c>
      <c r="K233" s="4" t="n">
        <v>2.41</v>
      </c>
      <c r="L233" s="4" t="n">
        <v>14.58</v>
      </c>
      <c r="M233" s="4">
        <f>B233*(G233/100)*(J233/100)</f>
        <v/>
      </c>
      <c r="N233" s="4">
        <f>B233*(F233/360/100)*E233*(J233/100)</f>
        <v/>
      </c>
      <c r="O233" s="4">
        <f>K233-M233+L233-N233</f>
        <v/>
      </c>
    </row>
    <row r="234">
      <c r="A234" s="2" t="inlineStr">
        <is>
          <t>B13694616</t>
        </is>
      </c>
      <c r="B234" s="4" t="n">
        <v>976.36</v>
      </c>
      <c r="C234" s="3" t="n">
        <v>46036</v>
      </c>
      <c r="D234" s="3" t="n">
        <v>46190</v>
      </c>
      <c r="E234" s="2" t="n">
        <v>60</v>
      </c>
      <c r="F234" s="2" t="n">
        <v>40.67</v>
      </c>
      <c r="G234" s="2" t="n">
        <v>1.34</v>
      </c>
      <c r="H234" s="4" t="n">
        <v>13.08</v>
      </c>
      <c r="I234" s="4" t="n">
        <v>66.18000000000001</v>
      </c>
      <c r="J234" s="2" t="n">
        <v>50</v>
      </c>
      <c r="K234" s="4" t="n">
        <v>6.26</v>
      </c>
      <c r="L234" s="4" t="n">
        <v>33.3</v>
      </c>
      <c r="M234" s="4">
        <f>B234*(G234/100)*(J234/100)</f>
        <v/>
      </c>
      <c r="N234" s="4">
        <f>B234*(F234/360/100)*E234*(J234/100)</f>
        <v/>
      </c>
      <c r="O234" s="4">
        <f>K234-M234+L234-N234</f>
        <v/>
      </c>
    </row>
    <row r="235">
      <c r="A235" s="2" t="inlineStr">
        <is>
          <t>A17788800</t>
        </is>
      </c>
      <c r="B235" s="4" t="n">
        <v>949.09</v>
      </c>
      <c r="C235" s="3" t="n">
        <v>46032</v>
      </c>
      <c r="D235" s="3" t="n">
        <v>46069</v>
      </c>
      <c r="E235" s="2" t="n">
        <v>72</v>
      </c>
      <c r="F235" s="2" t="n">
        <v>21.08</v>
      </c>
      <c r="G235" s="2" t="n">
        <v>0.61</v>
      </c>
      <c r="H235" s="4" t="n">
        <v>5.79</v>
      </c>
      <c r="I235" s="4" t="n">
        <v>40.01</v>
      </c>
      <c r="J235" s="2" t="n">
        <v>50</v>
      </c>
      <c r="K235" s="4" t="n">
        <v>3.07</v>
      </c>
      <c r="L235" s="4" t="n">
        <v>19.73</v>
      </c>
      <c r="M235" s="4">
        <f>B235*(G235/100)*(J235/100)</f>
        <v/>
      </c>
      <c r="N235" s="4">
        <f>B235*(F235/360/100)*E235*(J235/100)</f>
        <v/>
      </c>
      <c r="O235" s="4">
        <f>K235-M235+L235-N235</f>
        <v/>
      </c>
    </row>
    <row r="236">
      <c r="A236" s="2" t="inlineStr">
        <is>
          <t>B49158547</t>
        </is>
      </c>
      <c r="B236" s="4" t="n">
        <v>8147.03</v>
      </c>
      <c r="C236" s="3" t="n">
        <v>46037</v>
      </c>
      <c r="D236" s="3" t="n">
        <v>46074</v>
      </c>
      <c r="E236" s="2" t="n">
        <v>68</v>
      </c>
      <c r="F236" s="2" t="n">
        <v>43.72</v>
      </c>
      <c r="G236" s="2" t="n">
        <v>2.49</v>
      </c>
      <c r="H236" s="4" t="n">
        <v>202.86</v>
      </c>
      <c r="I236" s="4" t="n">
        <v>672.8</v>
      </c>
      <c r="J236" s="2" t="n">
        <v>60</v>
      </c>
      <c r="K236" s="4" t="n">
        <v>121.82</v>
      </c>
      <c r="L236" s="4" t="n">
        <v>403.85</v>
      </c>
      <c r="M236" s="4">
        <f>B236*(G236/100)*(J236/100)</f>
        <v/>
      </c>
      <c r="N236" s="4">
        <f>B236*(F236/360/100)*E236*(J236/100)</f>
        <v/>
      </c>
      <c r="O236" s="4">
        <f>K236-M236+L236-N236</f>
        <v/>
      </c>
    </row>
    <row r="237">
      <c r="A237" s="2" t="inlineStr">
        <is>
          <t>A83221422</t>
        </is>
      </c>
      <c r="B237" s="4" t="n">
        <v>8916.32</v>
      </c>
      <c r="C237" s="3" t="n">
        <v>46049</v>
      </c>
      <c r="D237" s="3" t="n">
        <v>46198</v>
      </c>
      <c r="E237" s="2" t="n">
        <v>33</v>
      </c>
      <c r="F237" s="2" t="n">
        <v>17.42</v>
      </c>
      <c r="G237" s="2" t="n">
        <v>0.51</v>
      </c>
      <c r="H237" s="4" t="n">
        <v>45.47</v>
      </c>
      <c r="I237" s="4" t="n">
        <v>142.38</v>
      </c>
      <c r="J237" s="2" t="n">
        <v>40</v>
      </c>
      <c r="K237" s="4" t="n">
        <v>18.03</v>
      </c>
      <c r="L237" s="4" t="n">
        <v>56.83</v>
      </c>
      <c r="M237" s="4">
        <f>B237*(G237/100)*(J237/100)</f>
        <v/>
      </c>
      <c r="N237" s="4">
        <f>B237*(F237/360/100)*E237*(J237/100)</f>
        <v/>
      </c>
      <c r="O237" s="4">
        <f>K237-M237+L237-N237</f>
        <v/>
      </c>
    </row>
    <row r="238">
      <c r="A238" s="2" t="inlineStr">
        <is>
          <t>A33813877</t>
        </is>
      </c>
      <c r="B238" s="4" t="n">
        <v>555.5</v>
      </c>
      <c r="C238" s="3" t="n">
        <v>46044</v>
      </c>
      <c r="D238" s="3" t="n">
        <v>46127</v>
      </c>
      <c r="E238" s="2" t="n">
        <v>22</v>
      </c>
      <c r="F238" s="2" t="n">
        <v>23.06</v>
      </c>
      <c r="G238" s="2" t="n">
        <v>1.22</v>
      </c>
      <c r="H238" s="4" t="n">
        <v>6.78</v>
      </c>
      <c r="I238" s="4" t="n">
        <v>7.83</v>
      </c>
      <c r="J238" s="2" t="n">
        <v>30</v>
      </c>
      <c r="K238" s="4" t="n">
        <v>1.84</v>
      </c>
      <c r="L238" s="4" t="n">
        <v>2.18</v>
      </c>
      <c r="M238" s="4">
        <f>B238*(G238/100)*(J238/100)</f>
        <v/>
      </c>
      <c r="N238" s="4">
        <f>B238*(F238/360/100)*E238*(J238/100)</f>
        <v/>
      </c>
      <c r="O238" s="4">
        <f>K238-M238+L238-N238</f>
        <v/>
      </c>
    </row>
    <row r="239">
      <c r="A239" s="2" t="inlineStr">
        <is>
          <t>A53714136</t>
        </is>
      </c>
      <c r="B239" s="4" t="n">
        <v>3047.38</v>
      </c>
      <c r="C239" s="3" t="n">
        <v>46036</v>
      </c>
      <c r="D239" s="3" t="n">
        <v>46148</v>
      </c>
      <c r="E239" s="2" t="n">
        <v>65</v>
      </c>
      <c r="F239" s="2" t="n">
        <v>10.94</v>
      </c>
      <c r="G239" s="2" t="n">
        <v>2.65</v>
      </c>
      <c r="H239" s="4" t="n">
        <v>80.76000000000001</v>
      </c>
      <c r="I239" s="4" t="n">
        <v>60.19</v>
      </c>
      <c r="J239" s="2" t="n">
        <v>20</v>
      </c>
      <c r="K239" s="4" t="n">
        <v>16.39</v>
      </c>
      <c r="L239" s="4" t="n">
        <v>11.85</v>
      </c>
      <c r="M239" s="4">
        <f>B239*(G239/100)*(J239/100)</f>
        <v/>
      </c>
      <c r="N239" s="4">
        <f>B239*(F239/360/100)*E239*(J239/100)</f>
        <v/>
      </c>
      <c r="O239" s="4">
        <f>K239-M239+L239-N239</f>
        <v/>
      </c>
    </row>
    <row r="240">
      <c r="A240" s="2" t="inlineStr">
        <is>
          <t>A28060446</t>
        </is>
      </c>
      <c r="B240" s="4" t="n">
        <v>725.2</v>
      </c>
      <c r="C240" s="3" t="n">
        <v>46041</v>
      </c>
      <c r="D240" s="3" t="n">
        <v>46207</v>
      </c>
      <c r="E240" s="2" t="n">
        <v>73</v>
      </c>
      <c r="F240" s="2" t="n">
        <v>11.35</v>
      </c>
      <c r="G240" s="2" t="n">
        <v>2.51</v>
      </c>
      <c r="H240" s="4" t="n">
        <v>18.2</v>
      </c>
      <c r="I240" s="4" t="n">
        <v>16.69</v>
      </c>
      <c r="J240" s="2" t="n">
        <v>70</v>
      </c>
      <c r="K240" s="4" t="n">
        <v>12.54</v>
      </c>
      <c r="L240" s="4" t="n">
        <v>11.41</v>
      </c>
      <c r="M240" s="4">
        <f>B240*(G240/100)*(J240/100)</f>
        <v/>
      </c>
      <c r="N240" s="4">
        <f>B240*(F240/360/100)*E240*(J240/100)</f>
        <v/>
      </c>
      <c r="O240" s="4">
        <f>K240-M240+L240-N240</f>
        <v/>
      </c>
    </row>
    <row r="241">
      <c r="A241" s="2" t="inlineStr">
        <is>
          <t>A01532039</t>
        </is>
      </c>
      <c r="B241" s="4" t="n">
        <v>117.65</v>
      </c>
      <c r="C241" s="3" t="n">
        <v>46038</v>
      </c>
      <c r="D241" s="3" t="n">
        <v>46126</v>
      </c>
      <c r="E241" s="2" t="n">
        <v>18</v>
      </c>
      <c r="F241" s="2" t="n">
        <v>28.75</v>
      </c>
      <c r="G241" s="2" t="n">
        <v>2.65</v>
      </c>
      <c r="H241" s="4" t="n">
        <v>3.12</v>
      </c>
      <c r="I241" s="4" t="n">
        <v>1.69</v>
      </c>
      <c r="J241" s="2" t="n">
        <v>30</v>
      </c>
      <c r="K241" s="4" t="n">
        <v>1.22</v>
      </c>
      <c r="L241" s="4" t="n">
        <v>0.72</v>
      </c>
      <c r="M241" s="4">
        <f>B241*(G241/100)*(J241/100)</f>
        <v/>
      </c>
      <c r="N241" s="4">
        <f>B241*(F241/360/100)*E241*(J241/100)</f>
        <v/>
      </c>
      <c r="O241" s="4">
        <f>K241-M241+L241-N241</f>
        <v/>
      </c>
    </row>
    <row r="242">
      <c r="A242" s="2" t="inlineStr">
        <is>
          <t>A75704652</t>
        </is>
      </c>
      <c r="B242" s="4" t="n">
        <v>227.97</v>
      </c>
      <c r="C242" s="3" t="n">
        <v>46029</v>
      </c>
      <c r="D242" s="3" t="n">
        <v>46185</v>
      </c>
      <c r="E242" s="2" t="n">
        <v>73</v>
      </c>
      <c r="F242" s="2" t="n">
        <v>43.11</v>
      </c>
      <c r="G242" s="2" t="n">
        <v>0.85</v>
      </c>
      <c r="H242" s="4" t="n">
        <v>1.94</v>
      </c>
      <c r="I242" s="4" t="n">
        <v>19.93</v>
      </c>
      <c r="J242" s="2" t="n">
        <v>50</v>
      </c>
      <c r="K242" s="4" t="n">
        <v>0.73</v>
      </c>
      <c r="L242" s="4" t="n">
        <v>9.84</v>
      </c>
      <c r="M242" s="4">
        <f>B242*(G242/100)*(J242/100)</f>
        <v/>
      </c>
      <c r="N242" s="4">
        <f>B242*(F242/360/100)*E242*(J242/100)</f>
        <v/>
      </c>
      <c r="O242" s="4">
        <f>K242-M242+L242-N242</f>
        <v/>
      </c>
    </row>
    <row r="243">
      <c r="A243" s="2" t="inlineStr">
        <is>
          <t>A27472379</t>
        </is>
      </c>
      <c r="B243" s="4" t="n">
        <v>6789.5</v>
      </c>
      <c r="C243" s="3" t="n">
        <v>46030</v>
      </c>
      <c r="D243" s="3" t="n">
        <v>46119</v>
      </c>
      <c r="E243" s="2" t="n">
        <v>65</v>
      </c>
      <c r="F243" s="2" t="n">
        <v>46.49</v>
      </c>
      <c r="G243" s="2" t="n">
        <v>1.21</v>
      </c>
      <c r="H243" s="4" t="n">
        <v>82.15000000000001</v>
      </c>
      <c r="I243" s="4" t="n">
        <v>569.91</v>
      </c>
      <c r="J243" s="2" t="n">
        <v>50</v>
      </c>
      <c r="K243" s="4" t="n">
        <v>41.23</v>
      </c>
      <c r="L243" s="4" t="n">
        <v>285.22</v>
      </c>
      <c r="M243" s="4">
        <f>B243*(G243/100)*(J243/100)</f>
        <v/>
      </c>
      <c r="N243" s="4">
        <f>B243*(F243/360/100)*E243*(J243/100)</f>
        <v/>
      </c>
      <c r="O243" s="4">
        <f>K243-M243+L243-N243</f>
        <v/>
      </c>
    </row>
    <row r="244">
      <c r="A244" s="2" t="inlineStr">
        <is>
          <t>B48716368</t>
        </is>
      </c>
      <c r="B244" s="4" t="n">
        <v>6716.29</v>
      </c>
      <c r="C244" s="3" t="n">
        <v>46024</v>
      </c>
      <c r="D244" s="3" t="n">
        <v>46058</v>
      </c>
      <c r="E244" s="2" t="n">
        <v>19</v>
      </c>
      <c r="F244" s="2" t="n">
        <v>35.1</v>
      </c>
      <c r="G244" s="2" t="n">
        <v>1.92</v>
      </c>
      <c r="H244" s="4" t="n">
        <v>128.95</v>
      </c>
      <c r="I244" s="4" t="n">
        <v>124.42</v>
      </c>
      <c r="J244" s="2" t="n">
        <v>70</v>
      </c>
      <c r="K244" s="4" t="n">
        <v>90.34</v>
      </c>
      <c r="L244" s="4" t="n">
        <v>87.31</v>
      </c>
      <c r="M244" s="4">
        <f>B244*(G244/100)*(J244/100)</f>
        <v/>
      </c>
      <c r="N244" s="4">
        <f>B244*(F244/360/100)*E244*(J244/100)</f>
        <v/>
      </c>
      <c r="O244" s="4">
        <f>K244-M244+L244-N244</f>
        <v/>
      </c>
    </row>
    <row r="245">
      <c r="A245" s="2" t="inlineStr">
        <is>
          <t>A26497665</t>
        </is>
      </c>
      <c r="B245" s="4" t="n">
        <v>3969.54</v>
      </c>
      <c r="C245" s="3" t="n">
        <v>46043</v>
      </c>
      <c r="D245" s="3" t="n">
        <v>46186</v>
      </c>
      <c r="E245" s="2" t="n">
        <v>55</v>
      </c>
      <c r="F245" s="2" t="n">
        <v>39.45</v>
      </c>
      <c r="G245" s="2" t="n">
        <v>2.52</v>
      </c>
      <c r="H245" s="4" t="n">
        <v>100.03</v>
      </c>
      <c r="I245" s="4" t="n">
        <v>239.25</v>
      </c>
      <c r="J245" s="2" t="n">
        <v>60</v>
      </c>
      <c r="K245" s="4" t="n">
        <v>60.2</v>
      </c>
      <c r="L245" s="4" t="n">
        <v>143.63</v>
      </c>
      <c r="M245" s="4">
        <f>B245*(G245/100)*(J245/100)</f>
        <v/>
      </c>
      <c r="N245" s="4">
        <f>B245*(F245/360/100)*E245*(J245/100)</f>
        <v/>
      </c>
      <c r="O245" s="4">
        <f>K245-M245+L245-N245</f>
        <v/>
      </c>
    </row>
    <row r="246">
      <c r="A246" s="2" t="inlineStr">
        <is>
          <t>A04678513</t>
        </is>
      </c>
      <c r="B246" s="4" t="n">
        <v>9921.030000000001</v>
      </c>
      <c r="C246" s="3" t="n">
        <v>46025</v>
      </c>
      <c r="D246" s="3" t="n">
        <v>46160</v>
      </c>
      <c r="E246" s="2" t="n">
        <v>70</v>
      </c>
      <c r="F246" s="2" t="n">
        <v>30.65</v>
      </c>
      <c r="G246" s="2" t="n">
        <v>2.98</v>
      </c>
      <c r="H246" s="4" t="n">
        <v>295.65</v>
      </c>
      <c r="I246" s="4" t="n">
        <v>591.27</v>
      </c>
      <c r="J246" s="2" t="n">
        <v>70</v>
      </c>
      <c r="K246" s="4" t="n">
        <v>207.01</v>
      </c>
      <c r="L246" s="4" t="n">
        <v>414.06</v>
      </c>
      <c r="M246" s="4">
        <f>B246*(G246/100)*(J246/100)</f>
        <v/>
      </c>
      <c r="N246" s="4">
        <f>B246*(F246/360/100)*E246*(J246/100)</f>
        <v/>
      </c>
      <c r="O246" s="4">
        <f>K246-M246+L246-N246</f>
        <v/>
      </c>
    </row>
    <row r="247">
      <c r="A247" s="2" t="inlineStr">
        <is>
          <t>A38794533</t>
        </is>
      </c>
      <c r="B247" s="4" t="n">
        <v>799.09</v>
      </c>
      <c r="C247" s="3" t="n">
        <v>46044</v>
      </c>
      <c r="D247" s="3" t="n">
        <v>46178</v>
      </c>
      <c r="E247" s="2" t="n">
        <v>62</v>
      </c>
      <c r="F247" s="2" t="n">
        <v>39.8</v>
      </c>
      <c r="G247" s="2" t="n">
        <v>2.62</v>
      </c>
      <c r="H247" s="4" t="n">
        <v>20.94</v>
      </c>
      <c r="I247" s="4" t="n">
        <v>54.77</v>
      </c>
      <c r="J247" s="2" t="n">
        <v>50</v>
      </c>
      <c r="K247" s="4" t="n">
        <v>10.64</v>
      </c>
      <c r="L247" s="4" t="n">
        <v>27.26</v>
      </c>
      <c r="M247" s="4">
        <f>B247*(G247/100)*(J247/100)</f>
        <v/>
      </c>
      <c r="N247" s="4">
        <f>B247*(F247/360/100)*E247*(J247/100)</f>
        <v/>
      </c>
      <c r="O247" s="4">
        <f>K247-M247+L247-N247</f>
        <v/>
      </c>
    </row>
    <row r="248">
      <c r="A248" s="2" t="inlineStr">
        <is>
          <t>A23855489</t>
        </is>
      </c>
      <c r="B248" s="4" t="n">
        <v>920.52</v>
      </c>
      <c r="C248" s="3" t="n">
        <v>46044</v>
      </c>
      <c r="D248" s="3" t="n">
        <v>46107</v>
      </c>
      <c r="E248" s="2" t="n">
        <v>69</v>
      </c>
      <c r="F248" s="2" t="n">
        <v>18.16</v>
      </c>
      <c r="G248" s="2" t="n">
        <v>2.18</v>
      </c>
      <c r="H248" s="4" t="n">
        <v>20.07</v>
      </c>
      <c r="I248" s="4" t="n">
        <v>32.04</v>
      </c>
      <c r="J248" s="2" t="n">
        <v>40</v>
      </c>
      <c r="K248" s="4" t="n">
        <v>8.15</v>
      </c>
      <c r="L248" s="4" t="n">
        <v>12.75</v>
      </c>
      <c r="M248" s="4">
        <f>B248*(G248/100)*(J248/100)</f>
        <v/>
      </c>
      <c r="N248" s="4">
        <f>B248*(F248/360/100)*E248*(J248/100)</f>
        <v/>
      </c>
      <c r="O248" s="4">
        <f>K248-M248+L248-N248</f>
        <v/>
      </c>
    </row>
    <row r="249">
      <c r="A249" s="2" t="inlineStr">
        <is>
          <t>A45641575</t>
        </is>
      </c>
      <c r="B249" s="4" t="n">
        <v>920.2</v>
      </c>
      <c r="C249" s="3" t="n">
        <v>46035</v>
      </c>
      <c r="D249" s="3" t="n">
        <v>46114</v>
      </c>
      <c r="E249" s="2" t="n">
        <v>87</v>
      </c>
      <c r="F249" s="2" t="n">
        <v>24.98</v>
      </c>
      <c r="G249" s="2" t="n">
        <v>2.24</v>
      </c>
      <c r="H249" s="4" t="n">
        <v>20.61</v>
      </c>
      <c r="I249" s="4" t="n">
        <v>55.55</v>
      </c>
      <c r="J249" s="2" t="n">
        <v>50</v>
      </c>
      <c r="K249" s="4" t="n">
        <v>10.54</v>
      </c>
      <c r="L249" s="4" t="n">
        <v>27.76</v>
      </c>
      <c r="M249" s="4">
        <f>B249*(G249/100)*(J249/100)</f>
        <v/>
      </c>
      <c r="N249" s="4">
        <f>B249*(F249/360/100)*E249*(J249/100)</f>
        <v/>
      </c>
      <c r="O249" s="4">
        <f>K249-M249+L249-N249</f>
        <v/>
      </c>
    </row>
    <row r="250">
      <c r="A250" s="2" t="inlineStr">
        <is>
          <t>B77143444</t>
        </is>
      </c>
      <c r="B250" s="4" t="n">
        <v>6265.45</v>
      </c>
      <c r="C250" s="3" t="n">
        <v>46041</v>
      </c>
      <c r="D250" s="3" t="n">
        <v>46102</v>
      </c>
      <c r="E250" s="2" t="n">
        <v>41</v>
      </c>
      <c r="F250" s="2" t="n">
        <v>26.82</v>
      </c>
      <c r="G250" s="2" t="n">
        <v>0.77</v>
      </c>
      <c r="H250" s="4" t="n">
        <v>48.24</v>
      </c>
      <c r="I250" s="4" t="n">
        <v>191.38</v>
      </c>
      <c r="J250" s="2" t="n">
        <v>20</v>
      </c>
      <c r="K250" s="4" t="n">
        <v>9.539999999999999</v>
      </c>
      <c r="L250" s="4" t="n">
        <v>38.51</v>
      </c>
      <c r="M250" s="4">
        <f>B250*(G250/100)*(J250/100)</f>
        <v/>
      </c>
      <c r="N250" s="4">
        <f>B250*(F250/360/100)*E250*(J250/100)</f>
        <v/>
      </c>
      <c r="O250" s="4">
        <f>K250-M250+L250-N250</f>
        <v/>
      </c>
    </row>
    <row r="251">
      <c r="A251" s="2" t="inlineStr">
        <is>
          <t>B72294548</t>
        </is>
      </c>
      <c r="B251" s="4" t="n">
        <v>7234.36</v>
      </c>
      <c r="C251" s="3" t="n">
        <v>46032</v>
      </c>
      <c r="D251" s="3" t="n">
        <v>46180</v>
      </c>
      <c r="E251" s="2" t="n">
        <v>86</v>
      </c>
      <c r="F251" s="2" t="n">
        <v>33.94</v>
      </c>
      <c r="G251" s="2" t="n">
        <v>2.51</v>
      </c>
      <c r="H251" s="4" t="n">
        <v>181.58</v>
      </c>
      <c r="I251" s="4" t="n">
        <v>586.55</v>
      </c>
      <c r="J251" s="2" t="n">
        <v>50</v>
      </c>
      <c r="K251" s="4" t="n">
        <v>90.90000000000001</v>
      </c>
      <c r="L251" s="4" t="n">
        <v>293.37</v>
      </c>
      <c r="M251" s="4">
        <f>B251*(G251/100)*(J251/100)</f>
        <v/>
      </c>
      <c r="N251" s="4">
        <f>B251*(F251/360/100)*E251*(J251/100)</f>
        <v/>
      </c>
      <c r="O251" s="4">
        <f>K251-M251+L251-N251</f>
        <v/>
      </c>
    </row>
    <row r="252">
      <c r="A252" s="2" t="inlineStr">
        <is>
          <t>B16656758</t>
        </is>
      </c>
      <c r="B252" s="4" t="n">
        <v>765.72</v>
      </c>
      <c r="C252" s="3" t="n">
        <v>46040</v>
      </c>
      <c r="D252" s="3" t="n">
        <v>46078</v>
      </c>
      <c r="E252" s="2" t="n">
        <v>42</v>
      </c>
      <c r="F252" s="2" t="n">
        <v>20.73</v>
      </c>
      <c r="G252" s="2" t="n">
        <v>2.75</v>
      </c>
      <c r="H252" s="4" t="n">
        <v>21.06</v>
      </c>
      <c r="I252" s="4" t="n">
        <v>18.52</v>
      </c>
      <c r="J252" s="2" t="n">
        <v>30</v>
      </c>
      <c r="K252" s="4" t="n">
        <v>6.27</v>
      </c>
      <c r="L252" s="4" t="n">
        <v>5.37</v>
      </c>
      <c r="M252" s="4">
        <f>B252*(G252/100)*(J252/100)</f>
        <v/>
      </c>
      <c r="N252" s="4">
        <f>B252*(F252/360/100)*E252*(J252/100)</f>
        <v/>
      </c>
      <c r="O252" s="4">
        <f>K252-M252+L252-N252</f>
        <v/>
      </c>
    </row>
    <row r="253">
      <c r="A253" s="2" t="inlineStr">
        <is>
          <t>A04551909</t>
        </is>
      </c>
      <c r="B253" s="4" t="n">
        <v>371.65</v>
      </c>
      <c r="C253" s="3" t="n">
        <v>46026</v>
      </c>
      <c r="D253" s="3" t="n">
        <v>46054</v>
      </c>
      <c r="E253" s="2" t="n">
        <v>89</v>
      </c>
      <c r="F253" s="2" t="n">
        <v>41.95</v>
      </c>
      <c r="G253" s="2" t="n">
        <v>1.17</v>
      </c>
      <c r="H253" s="4" t="n">
        <v>4.35</v>
      </c>
      <c r="I253" s="4" t="n">
        <v>38.54</v>
      </c>
      <c r="J253" s="2" t="n">
        <v>30</v>
      </c>
      <c r="K253" s="4" t="n">
        <v>1.2</v>
      </c>
      <c r="L253" s="4" t="n">
        <v>11.69</v>
      </c>
      <c r="M253" s="4">
        <f>B253*(G253/100)*(J253/100)</f>
        <v/>
      </c>
      <c r="N253" s="4">
        <f>B253*(F253/360/100)*E253*(J253/100)</f>
        <v/>
      </c>
      <c r="O253" s="4">
        <f>K253-M253+L253-N253</f>
        <v/>
      </c>
    </row>
    <row r="254">
      <c r="A254" s="2" t="inlineStr">
        <is>
          <t>A33813877</t>
        </is>
      </c>
      <c r="B254" s="4" t="n">
        <v>308.26</v>
      </c>
      <c r="C254" s="3" t="n">
        <v>46028</v>
      </c>
      <c r="D254" s="3" t="n">
        <v>46207</v>
      </c>
      <c r="E254" s="2" t="n">
        <v>28</v>
      </c>
      <c r="F254" s="2" t="n">
        <v>11</v>
      </c>
      <c r="G254" s="2" t="n">
        <v>0.68</v>
      </c>
      <c r="H254" s="4" t="n">
        <v>2.1</v>
      </c>
      <c r="I254" s="4" t="n">
        <v>2.64</v>
      </c>
      <c r="J254" s="2" t="n">
        <v>60</v>
      </c>
      <c r="K254" s="4" t="n">
        <v>0.98</v>
      </c>
      <c r="L254" s="4" t="n">
        <v>1.61</v>
      </c>
      <c r="M254" s="4">
        <f>B254*(G254/100)*(J254/100)</f>
        <v/>
      </c>
      <c r="N254" s="4">
        <f>B254*(F254/360/100)*E254*(J254/100)</f>
        <v/>
      </c>
      <c r="O254" s="4">
        <f>K254-M254+L254-N254</f>
        <v/>
      </c>
    </row>
    <row r="255">
      <c r="A255" s="2" t="inlineStr">
        <is>
          <t>A10255054</t>
        </is>
      </c>
      <c r="B255" s="4" t="n">
        <v>629.59</v>
      </c>
      <c r="C255" s="3" t="n">
        <v>46045</v>
      </c>
      <c r="D255" s="3" t="n">
        <v>46068</v>
      </c>
      <c r="E255" s="2" t="n">
        <v>82</v>
      </c>
      <c r="F255" s="2" t="n">
        <v>11.25</v>
      </c>
      <c r="G255" s="2" t="n">
        <v>2.22</v>
      </c>
      <c r="H255" s="4" t="n">
        <v>13.98</v>
      </c>
      <c r="I255" s="4" t="n">
        <v>16.13</v>
      </c>
      <c r="J255" s="2" t="n">
        <v>70</v>
      </c>
      <c r="K255" s="4" t="n">
        <v>10.03</v>
      </c>
      <c r="L255" s="4" t="n">
        <v>11.05</v>
      </c>
      <c r="M255" s="4">
        <f>B255*(G255/100)*(J255/100)</f>
        <v/>
      </c>
      <c r="N255" s="4">
        <f>B255*(F255/360/100)*E255*(J255/100)</f>
        <v/>
      </c>
      <c r="O255" s="4">
        <f>K255-M255+L255-N255</f>
        <v/>
      </c>
    </row>
    <row r="256">
      <c r="A256" s="2" t="inlineStr">
        <is>
          <t>A54358423</t>
        </is>
      </c>
      <c r="B256" s="4" t="n">
        <v>438.81</v>
      </c>
      <c r="C256" s="3" t="n">
        <v>46029</v>
      </c>
      <c r="D256" s="3" t="n">
        <v>46126</v>
      </c>
      <c r="E256" s="2" t="n">
        <v>55</v>
      </c>
      <c r="F256" s="2" t="n">
        <v>40.86</v>
      </c>
      <c r="G256" s="2" t="n">
        <v>2.26</v>
      </c>
      <c r="H256" s="4" t="n">
        <v>9.92</v>
      </c>
      <c r="I256" s="4" t="n">
        <v>27.39</v>
      </c>
      <c r="J256" s="2" t="n">
        <v>70</v>
      </c>
      <c r="K256" s="4" t="n">
        <v>7.05</v>
      </c>
      <c r="L256" s="4" t="n">
        <v>19.02</v>
      </c>
      <c r="M256" s="4">
        <f>B256*(G256/100)*(J256/100)</f>
        <v/>
      </c>
      <c r="N256" s="4">
        <f>B256*(F256/360/100)*E256*(J256/100)</f>
        <v/>
      </c>
      <c r="O256" s="4">
        <f>K256-M256+L256-N256</f>
        <v/>
      </c>
    </row>
    <row r="257">
      <c r="A257" s="2" t="inlineStr">
        <is>
          <t>B38841422</t>
        </is>
      </c>
      <c r="B257" s="4" t="n">
        <v>252.04</v>
      </c>
      <c r="C257" s="3" t="n">
        <v>46050</v>
      </c>
      <c r="D257" s="3" t="n">
        <v>46077</v>
      </c>
      <c r="E257" s="2" t="n">
        <v>58</v>
      </c>
      <c r="F257" s="2" t="n">
        <v>12.03</v>
      </c>
      <c r="G257" s="2" t="n">
        <v>0.53</v>
      </c>
      <c r="H257" s="4" t="n">
        <v>1.34</v>
      </c>
      <c r="I257" s="4" t="n">
        <v>4.88</v>
      </c>
      <c r="J257" s="2" t="n">
        <v>50</v>
      </c>
      <c r="K257" s="4" t="n">
        <v>0.61</v>
      </c>
      <c r="L257" s="4" t="n">
        <v>2.22</v>
      </c>
      <c r="M257" s="4">
        <f>B257*(G257/100)*(J257/100)</f>
        <v/>
      </c>
      <c r="N257" s="4">
        <f>B257*(F257/360/100)*E257*(J257/100)</f>
        <v/>
      </c>
      <c r="O257" s="4">
        <f>K257-M257+L257-N257</f>
        <v/>
      </c>
    </row>
    <row r="258">
      <c r="A258" s="2" t="inlineStr">
        <is>
          <t>B43933366</t>
        </is>
      </c>
      <c r="B258" s="4" t="n">
        <v>701.22</v>
      </c>
      <c r="C258" s="3" t="n">
        <v>46038</v>
      </c>
      <c r="D258" s="3" t="n">
        <v>46178</v>
      </c>
      <c r="E258" s="2" t="n">
        <v>44</v>
      </c>
      <c r="F258" s="2" t="n">
        <v>46.24</v>
      </c>
      <c r="G258" s="2" t="n">
        <v>1.71</v>
      </c>
      <c r="H258" s="4" t="n">
        <v>11.99</v>
      </c>
      <c r="I258" s="4" t="n">
        <v>39.63</v>
      </c>
      <c r="J258" s="2" t="n">
        <v>40</v>
      </c>
      <c r="K258" s="4" t="n">
        <v>5.05</v>
      </c>
      <c r="L258" s="4" t="n">
        <v>15.77</v>
      </c>
      <c r="M258" s="4">
        <f>B258*(G258/100)*(J258/100)</f>
        <v/>
      </c>
      <c r="N258" s="4">
        <f>B258*(F258/360/100)*E258*(J258/100)</f>
        <v/>
      </c>
      <c r="O258" s="4">
        <f>K258-M258+L258-N258</f>
        <v/>
      </c>
    </row>
    <row r="259">
      <c r="A259" s="2" t="inlineStr">
        <is>
          <t>B80664548</t>
        </is>
      </c>
      <c r="B259" s="4" t="n">
        <v>965.58</v>
      </c>
      <c r="C259" s="3" t="n">
        <v>46037</v>
      </c>
      <c r="D259" s="3" t="n">
        <v>46105</v>
      </c>
      <c r="E259" s="2" t="n">
        <v>14</v>
      </c>
      <c r="F259" s="2" t="n">
        <v>26.12</v>
      </c>
      <c r="G259" s="2" t="n">
        <v>2.76</v>
      </c>
      <c r="H259" s="4" t="n">
        <v>26.65</v>
      </c>
      <c r="I259" s="4" t="n">
        <v>9.81</v>
      </c>
      <c r="J259" s="2" t="n">
        <v>30</v>
      </c>
      <c r="K259" s="4" t="n">
        <v>7.78</v>
      </c>
      <c r="L259" s="4" t="n">
        <v>2.76</v>
      </c>
      <c r="M259" s="4">
        <f>B259*(G259/100)*(J259/100)</f>
        <v/>
      </c>
      <c r="N259" s="4">
        <f>B259*(F259/360/100)*E259*(J259/100)</f>
        <v/>
      </c>
      <c r="O259" s="4">
        <f>K259-M259+L259-N259</f>
        <v/>
      </c>
    </row>
    <row r="260">
      <c r="A260" s="2" t="inlineStr">
        <is>
          <t>A30756925</t>
        </is>
      </c>
      <c r="B260" s="4" t="n">
        <v>725.98</v>
      </c>
      <c r="C260" s="3" t="n">
        <v>46032</v>
      </c>
      <c r="D260" s="3" t="n">
        <v>46132</v>
      </c>
      <c r="E260" s="2" t="n">
        <v>69</v>
      </c>
      <c r="F260" s="2" t="n">
        <v>19.2</v>
      </c>
      <c r="G260" s="2" t="n">
        <v>2.38</v>
      </c>
      <c r="H260" s="4" t="n">
        <v>17.28</v>
      </c>
      <c r="I260" s="4" t="n">
        <v>26.72</v>
      </c>
      <c r="J260" s="2" t="n">
        <v>20</v>
      </c>
      <c r="K260" s="4" t="n">
        <v>3.68</v>
      </c>
      <c r="L260" s="4" t="n">
        <v>5.59</v>
      </c>
      <c r="M260" s="4">
        <f>B260*(G260/100)*(J260/100)</f>
        <v/>
      </c>
      <c r="N260" s="4">
        <f>B260*(F260/360/100)*E260*(J260/100)</f>
        <v/>
      </c>
      <c r="O260" s="4">
        <f>K260-M260+L260-N260</f>
        <v/>
      </c>
    </row>
    <row r="261">
      <c r="A261" s="2" t="inlineStr">
        <is>
          <t>A53939208</t>
        </is>
      </c>
      <c r="B261" s="4" t="n">
        <v>980.8200000000001</v>
      </c>
      <c r="C261" s="3" t="n">
        <v>46031</v>
      </c>
      <c r="D261" s="3" t="n">
        <v>46152</v>
      </c>
      <c r="E261" s="2" t="n">
        <v>61</v>
      </c>
      <c r="F261" s="2" t="n">
        <v>24.32</v>
      </c>
      <c r="G261" s="2" t="n">
        <v>2.62</v>
      </c>
      <c r="H261" s="4" t="n">
        <v>25.7</v>
      </c>
      <c r="I261" s="4" t="n">
        <v>40.42</v>
      </c>
      <c r="J261" s="2" t="n">
        <v>40</v>
      </c>
      <c r="K261" s="4" t="n">
        <v>10.04</v>
      </c>
      <c r="L261" s="4" t="n">
        <v>16.42</v>
      </c>
      <c r="M261" s="4">
        <f>B261*(G261/100)*(J261/100)</f>
        <v/>
      </c>
      <c r="N261" s="4">
        <f>B261*(F261/360/100)*E261*(J261/100)</f>
        <v/>
      </c>
      <c r="O261" s="4">
        <f>K261-M261+L261-N261</f>
        <v/>
      </c>
    </row>
    <row r="262">
      <c r="A262" s="2" t="inlineStr">
        <is>
          <t>B27562387</t>
        </is>
      </c>
      <c r="B262" s="4" t="n">
        <v>164.55</v>
      </c>
      <c r="C262" s="3" t="n">
        <v>46036</v>
      </c>
      <c r="D262" s="3" t="n">
        <v>46211</v>
      </c>
      <c r="E262" s="2" t="n">
        <v>83</v>
      </c>
      <c r="F262" s="2" t="n">
        <v>43.73</v>
      </c>
      <c r="G262" s="2" t="n">
        <v>2.39</v>
      </c>
      <c r="H262" s="4" t="n">
        <v>3.93</v>
      </c>
      <c r="I262" s="4" t="n">
        <v>16.59</v>
      </c>
      <c r="J262" s="2" t="n">
        <v>50</v>
      </c>
      <c r="K262" s="4" t="n">
        <v>1.85</v>
      </c>
      <c r="L262" s="4" t="n">
        <v>8.57</v>
      </c>
      <c r="M262" s="4">
        <f>B262*(G262/100)*(J262/100)</f>
        <v/>
      </c>
      <c r="N262" s="4">
        <f>B262*(F262/360/100)*E262*(J262/100)</f>
        <v/>
      </c>
      <c r="O262" s="4">
        <f>K262-M262+L262-N262</f>
        <v/>
      </c>
    </row>
    <row r="263">
      <c r="A263" s="2" t="inlineStr">
        <is>
          <t>A35147442</t>
        </is>
      </c>
      <c r="B263" s="4" t="n">
        <v>493.69</v>
      </c>
      <c r="C263" s="3" t="n">
        <v>46047</v>
      </c>
      <c r="D263" s="3" t="n">
        <v>46105</v>
      </c>
      <c r="E263" s="2" t="n">
        <v>74</v>
      </c>
      <c r="F263" s="2" t="n">
        <v>46.21</v>
      </c>
      <c r="G263" s="2" t="n">
        <v>1.52</v>
      </c>
      <c r="H263" s="4" t="n">
        <v>7.5</v>
      </c>
      <c r="I263" s="4" t="n">
        <v>46.89</v>
      </c>
      <c r="J263" s="2" t="n">
        <v>50</v>
      </c>
      <c r="K263" s="4" t="n">
        <v>3.9</v>
      </c>
      <c r="L263" s="4" t="n">
        <v>23.71</v>
      </c>
      <c r="M263" s="4">
        <f>B263*(G263/100)*(J263/100)</f>
        <v/>
      </c>
      <c r="N263" s="4">
        <f>B263*(F263/360/100)*E263*(J263/100)</f>
        <v/>
      </c>
      <c r="O263" s="4">
        <f>K263-M263+L263-N263</f>
        <v/>
      </c>
    </row>
    <row r="264">
      <c r="A264" s="2" t="inlineStr">
        <is>
          <t>A49299382</t>
        </is>
      </c>
      <c r="B264" s="4" t="n">
        <v>382.13</v>
      </c>
      <c r="C264" s="3" t="n">
        <v>46048</v>
      </c>
      <c r="D264" s="3" t="n">
        <v>46193</v>
      </c>
      <c r="E264" s="2" t="n">
        <v>21</v>
      </c>
      <c r="F264" s="2" t="n">
        <v>45.18</v>
      </c>
      <c r="G264" s="2" t="n">
        <v>0.82</v>
      </c>
      <c r="H264" s="4" t="n">
        <v>3.13</v>
      </c>
      <c r="I264" s="4" t="n">
        <v>10.07</v>
      </c>
      <c r="J264" s="2" t="n">
        <v>40</v>
      </c>
      <c r="K264" s="4" t="n">
        <v>1.49</v>
      </c>
      <c r="L264" s="4" t="n">
        <v>3.93</v>
      </c>
      <c r="M264" s="4">
        <f>B264*(G264/100)*(J264/100)</f>
        <v/>
      </c>
      <c r="N264" s="4">
        <f>B264*(F264/360/100)*E264*(J264/100)</f>
        <v/>
      </c>
      <c r="O264" s="4">
        <f>K264-M264+L264-N264</f>
        <v/>
      </c>
    </row>
    <row r="265">
      <c r="A265" s="2" t="inlineStr">
        <is>
          <t>B51934390</t>
        </is>
      </c>
      <c r="B265" s="4" t="n">
        <v>245.63</v>
      </c>
      <c r="C265" s="3" t="n">
        <v>46038</v>
      </c>
      <c r="D265" s="3" t="n">
        <v>46055</v>
      </c>
      <c r="E265" s="2" t="n">
        <v>75</v>
      </c>
      <c r="F265" s="2" t="n">
        <v>10.16</v>
      </c>
      <c r="G265" s="2" t="n">
        <v>1.31</v>
      </c>
      <c r="H265" s="4" t="n">
        <v>3.22</v>
      </c>
      <c r="I265" s="4" t="n">
        <v>5.2</v>
      </c>
      <c r="J265" s="2" t="n">
        <v>50</v>
      </c>
      <c r="K265" s="4" t="n">
        <v>1.72</v>
      </c>
      <c r="L265" s="4" t="n">
        <v>2.84</v>
      </c>
      <c r="M265" s="4">
        <f>B265*(G265/100)*(J265/100)</f>
        <v/>
      </c>
      <c r="N265" s="4">
        <f>B265*(F265/360/100)*E265*(J265/100)</f>
        <v/>
      </c>
      <c r="O265" s="4">
        <f>K265-M265+L265-N265</f>
        <v/>
      </c>
    </row>
    <row r="266">
      <c r="A266" s="2" t="inlineStr">
        <is>
          <t>A79826349</t>
        </is>
      </c>
      <c r="B266" s="4" t="n">
        <v>457.21</v>
      </c>
      <c r="C266" s="3" t="n">
        <v>46035</v>
      </c>
      <c r="D266" s="3" t="n">
        <v>46165</v>
      </c>
      <c r="E266" s="2" t="n">
        <v>38</v>
      </c>
      <c r="F266" s="2" t="n">
        <v>15.94</v>
      </c>
      <c r="G266" s="2" t="n">
        <v>0.98</v>
      </c>
      <c r="H266" s="4" t="n">
        <v>4.48</v>
      </c>
      <c r="I266" s="4" t="n">
        <v>7.69</v>
      </c>
      <c r="J266" s="2" t="n">
        <v>70</v>
      </c>
      <c r="K266" s="4" t="n">
        <v>3.37</v>
      </c>
      <c r="L266" s="4" t="n">
        <v>5.44</v>
      </c>
      <c r="M266" s="4">
        <f>B266*(G266/100)*(J266/100)</f>
        <v/>
      </c>
      <c r="N266" s="4">
        <f>B266*(F266/360/100)*E266*(J266/100)</f>
        <v/>
      </c>
      <c r="O266" s="4">
        <f>K266-M266+L266-N266</f>
        <v/>
      </c>
    </row>
    <row r="267">
      <c r="A267" s="2" t="inlineStr">
        <is>
          <t>A19606836</t>
        </is>
      </c>
      <c r="B267" s="4" t="n">
        <v>8877.690000000001</v>
      </c>
      <c r="C267" s="3" t="n">
        <v>46033</v>
      </c>
      <c r="D267" s="3" t="n">
        <v>46102</v>
      </c>
      <c r="E267" s="2" t="n">
        <v>69</v>
      </c>
      <c r="F267" s="2" t="n">
        <v>35.4</v>
      </c>
      <c r="G267" s="2" t="n">
        <v>2.96</v>
      </c>
      <c r="H267" s="4" t="n">
        <v>262.78</v>
      </c>
      <c r="I267" s="4" t="n">
        <v>602.35</v>
      </c>
      <c r="J267" s="2" t="n">
        <v>30</v>
      </c>
      <c r="K267" s="4" t="n">
        <v>78.69</v>
      </c>
      <c r="L267" s="4" t="n">
        <v>180.76</v>
      </c>
      <c r="M267" s="4">
        <f>B267*(G267/100)*(J267/100)</f>
        <v/>
      </c>
      <c r="N267" s="4">
        <f>B267*(F267/360/100)*E267*(J267/100)</f>
        <v/>
      </c>
      <c r="O267" s="4">
        <f>K267-M267+L267-N267</f>
        <v/>
      </c>
    </row>
    <row r="268">
      <c r="A268" s="2" t="inlineStr">
        <is>
          <t>B29440893</t>
        </is>
      </c>
      <c r="B268" s="4" t="n">
        <v>288.54</v>
      </c>
      <c r="C268" s="3" t="n">
        <v>46039</v>
      </c>
      <c r="D268" s="3" t="n">
        <v>46054</v>
      </c>
      <c r="E268" s="2" t="n">
        <v>75</v>
      </c>
      <c r="F268" s="2" t="n">
        <v>38.04</v>
      </c>
      <c r="G268" s="2" t="n">
        <v>1.63</v>
      </c>
      <c r="H268" s="4" t="n">
        <v>4.7</v>
      </c>
      <c r="I268" s="4" t="n">
        <v>22.87</v>
      </c>
      <c r="J268" s="2" t="n">
        <v>40</v>
      </c>
      <c r="K268" s="4" t="n">
        <v>2.01</v>
      </c>
      <c r="L268" s="4" t="n">
        <v>9.42</v>
      </c>
      <c r="M268" s="4">
        <f>B268*(G268/100)*(J268/100)</f>
        <v/>
      </c>
      <c r="N268" s="4">
        <f>B268*(F268/360/100)*E268*(J268/100)</f>
        <v/>
      </c>
      <c r="O268" s="4">
        <f>K268-M268+L268-N268</f>
        <v/>
      </c>
    </row>
    <row r="269">
      <c r="A269" s="2" t="inlineStr">
        <is>
          <t>A83294252</t>
        </is>
      </c>
      <c r="B269" s="4" t="n">
        <v>503.17</v>
      </c>
      <c r="C269" s="3" t="n">
        <v>46033</v>
      </c>
      <c r="D269" s="3" t="n">
        <v>46080</v>
      </c>
      <c r="E269" s="2" t="n">
        <v>22</v>
      </c>
      <c r="F269" s="2" t="n">
        <v>12.59</v>
      </c>
      <c r="G269" s="2" t="n">
        <v>1.21</v>
      </c>
      <c r="H269" s="4" t="n">
        <v>6.09</v>
      </c>
      <c r="I269" s="4" t="n">
        <v>3.87</v>
      </c>
      <c r="J269" s="2" t="n">
        <v>20</v>
      </c>
      <c r="K269" s="4" t="n">
        <v>1.46</v>
      </c>
      <c r="L269" s="4" t="n">
        <v>0.88</v>
      </c>
      <c r="M269" s="4">
        <f>B269*(G269/100)*(J269/100)</f>
        <v/>
      </c>
      <c r="N269" s="4">
        <f>B269*(F269/360/100)*E269*(J269/100)</f>
        <v/>
      </c>
      <c r="O269" s="4">
        <f>K269-M269+L269-N269</f>
        <v/>
      </c>
    </row>
    <row r="270">
      <c r="A270" s="2" t="inlineStr">
        <is>
          <t>A78687274</t>
        </is>
      </c>
      <c r="B270" s="4" t="n">
        <v>500.73</v>
      </c>
      <c r="C270" s="3" t="n">
        <v>46026</v>
      </c>
      <c r="D270" s="3" t="n">
        <v>46122</v>
      </c>
      <c r="E270" s="2" t="n">
        <v>80</v>
      </c>
      <c r="F270" s="2" t="n">
        <v>25.04</v>
      </c>
      <c r="G270" s="2" t="n">
        <v>1.17</v>
      </c>
      <c r="H270" s="4" t="n">
        <v>5.86</v>
      </c>
      <c r="I270" s="4" t="n">
        <v>27.86</v>
      </c>
      <c r="J270" s="2" t="n">
        <v>40</v>
      </c>
      <c r="K270" s="4" t="n">
        <v>2.33</v>
      </c>
      <c r="L270" s="4" t="n">
        <v>11.42</v>
      </c>
      <c r="M270" s="4">
        <f>B270*(G270/100)*(J270/100)</f>
        <v/>
      </c>
      <c r="N270" s="4">
        <f>B270*(F270/360/100)*E270*(J270/100)</f>
        <v/>
      </c>
      <c r="O270" s="4">
        <f>K270-M270+L270-N270</f>
        <v/>
      </c>
    </row>
    <row r="271">
      <c r="A271" s="2" t="inlineStr">
        <is>
          <t>B10393105</t>
        </is>
      </c>
      <c r="B271" s="4" t="n">
        <v>302.57</v>
      </c>
      <c r="C271" s="3" t="n">
        <v>46024</v>
      </c>
      <c r="D271" s="3" t="n">
        <v>46120</v>
      </c>
      <c r="E271" s="2" t="n">
        <v>17</v>
      </c>
      <c r="F271" s="2" t="n">
        <v>21.91</v>
      </c>
      <c r="G271" s="2" t="n">
        <v>2.28</v>
      </c>
      <c r="H271" s="4" t="n">
        <v>6.9</v>
      </c>
      <c r="I271" s="4" t="n">
        <v>3.13</v>
      </c>
      <c r="J271" s="2" t="n">
        <v>70</v>
      </c>
      <c r="K271" s="4" t="n">
        <v>4.68</v>
      </c>
      <c r="L271" s="4" t="n">
        <v>2.3</v>
      </c>
      <c r="M271" s="4">
        <f>B271*(G271/100)*(J271/100)</f>
        <v/>
      </c>
      <c r="N271" s="4">
        <f>B271*(F271/360/100)*E271*(J271/100)</f>
        <v/>
      </c>
      <c r="O271" s="4">
        <f>K271-M271+L271-N271</f>
        <v/>
      </c>
    </row>
    <row r="272">
      <c r="A272" s="2" t="inlineStr">
        <is>
          <t>A67558386</t>
        </is>
      </c>
      <c r="B272" s="4" t="n">
        <v>5674</v>
      </c>
      <c r="C272" s="3" t="n">
        <v>46032</v>
      </c>
      <c r="D272" s="3" t="n">
        <v>46100</v>
      </c>
      <c r="E272" s="2" t="n">
        <v>66</v>
      </c>
      <c r="F272" s="2" t="n">
        <v>11.45</v>
      </c>
      <c r="G272" s="2" t="n">
        <v>1.12</v>
      </c>
      <c r="H272" s="4" t="n">
        <v>63.55</v>
      </c>
      <c r="I272" s="4" t="n">
        <v>119.11</v>
      </c>
      <c r="J272" s="2" t="n">
        <v>60</v>
      </c>
      <c r="K272" s="4" t="n">
        <v>38.41</v>
      </c>
      <c r="L272" s="4" t="n">
        <v>71.62</v>
      </c>
      <c r="M272" s="4">
        <f>B272*(G272/100)*(J272/100)</f>
        <v/>
      </c>
      <c r="N272" s="4">
        <f>B272*(F272/360/100)*E272*(J272/100)</f>
        <v/>
      </c>
      <c r="O272" s="4">
        <f>K272-M272+L272-N272</f>
        <v/>
      </c>
    </row>
    <row r="273">
      <c r="A273" s="2" t="inlineStr">
        <is>
          <t>A59318148</t>
        </is>
      </c>
      <c r="B273" s="4" t="n">
        <v>681.15</v>
      </c>
      <c r="C273" s="3" t="n">
        <v>46039</v>
      </c>
      <c r="D273" s="3" t="n">
        <v>46158</v>
      </c>
      <c r="E273" s="2" t="n">
        <v>42</v>
      </c>
      <c r="F273" s="2" t="n">
        <v>38.21</v>
      </c>
      <c r="G273" s="2" t="n">
        <v>1.65</v>
      </c>
      <c r="H273" s="4" t="n">
        <v>11.24</v>
      </c>
      <c r="I273" s="4" t="n">
        <v>30.36</v>
      </c>
      <c r="J273" s="2" t="n">
        <v>40</v>
      </c>
      <c r="K273" s="4" t="n">
        <v>4.53</v>
      </c>
      <c r="L273" s="4" t="n">
        <v>12.12</v>
      </c>
      <c r="M273" s="4">
        <f>B273*(G273/100)*(J273/100)</f>
        <v/>
      </c>
      <c r="N273" s="4">
        <f>B273*(F273/360/100)*E273*(J273/100)</f>
        <v/>
      </c>
      <c r="O273" s="4">
        <f>K273-M273+L273-N273</f>
        <v/>
      </c>
    </row>
    <row r="274">
      <c r="A274" s="2" t="inlineStr">
        <is>
          <t>B24524005</t>
        </is>
      </c>
      <c r="B274" s="4" t="n">
        <v>839.04</v>
      </c>
      <c r="C274" s="3" t="n">
        <v>46036</v>
      </c>
      <c r="D274" s="3" t="n">
        <v>46064</v>
      </c>
      <c r="E274" s="2" t="n">
        <v>49</v>
      </c>
      <c r="F274" s="2" t="n">
        <v>19.02</v>
      </c>
      <c r="G274" s="2" t="n">
        <v>1.52</v>
      </c>
      <c r="H274" s="4" t="n">
        <v>12.75</v>
      </c>
      <c r="I274" s="4" t="n">
        <v>21.72</v>
      </c>
      <c r="J274" s="2" t="n">
        <v>50</v>
      </c>
      <c r="K274" s="4" t="n">
        <v>6.33</v>
      </c>
      <c r="L274" s="4" t="n">
        <v>10.61</v>
      </c>
      <c r="M274" s="4">
        <f>B274*(G274/100)*(J274/100)</f>
        <v/>
      </c>
      <c r="N274" s="4">
        <f>B274*(F274/360/100)*E274*(J274/100)</f>
        <v/>
      </c>
      <c r="O274" s="4">
        <f>K274-M274+L274-N274</f>
        <v/>
      </c>
    </row>
    <row r="275">
      <c r="A275" s="2" t="inlineStr">
        <is>
          <t>B09080092</t>
        </is>
      </c>
      <c r="B275" s="4" t="n">
        <v>726.88</v>
      </c>
      <c r="C275" s="3" t="n">
        <v>46027</v>
      </c>
      <c r="D275" s="3" t="n">
        <v>46056</v>
      </c>
      <c r="E275" s="2" t="n">
        <v>25</v>
      </c>
      <c r="F275" s="2" t="n">
        <v>44.61</v>
      </c>
      <c r="G275" s="2" t="n">
        <v>2.24</v>
      </c>
      <c r="H275" s="4" t="n">
        <v>16.28</v>
      </c>
      <c r="I275" s="4" t="n">
        <v>22.52</v>
      </c>
      <c r="J275" s="2" t="n">
        <v>40</v>
      </c>
      <c r="K275" s="4" t="n">
        <v>6.73</v>
      </c>
      <c r="L275" s="4" t="n">
        <v>8.93</v>
      </c>
      <c r="M275" s="4">
        <f>B275*(G275/100)*(J275/100)</f>
        <v/>
      </c>
      <c r="N275" s="4">
        <f>B275*(F275/360/100)*E275*(J275/100)</f>
        <v/>
      </c>
      <c r="O275" s="4">
        <f>K275-M275+L275-N275</f>
        <v/>
      </c>
    </row>
    <row r="276">
      <c r="A276" s="2" t="inlineStr">
        <is>
          <t>A84834649</t>
        </is>
      </c>
      <c r="B276" s="4" t="n">
        <v>2436.55</v>
      </c>
      <c r="C276" s="3" t="n">
        <v>46033</v>
      </c>
      <c r="D276" s="3" t="n">
        <v>46118</v>
      </c>
      <c r="E276" s="2" t="n">
        <v>33</v>
      </c>
      <c r="F276" s="2" t="n">
        <v>15.84</v>
      </c>
      <c r="G276" s="2" t="n">
        <v>2.33</v>
      </c>
      <c r="H276" s="4" t="n">
        <v>56.77</v>
      </c>
      <c r="I276" s="4" t="n">
        <v>35.38</v>
      </c>
      <c r="J276" s="2" t="n">
        <v>30</v>
      </c>
      <c r="K276" s="4" t="n">
        <v>17.14</v>
      </c>
      <c r="L276" s="4" t="n">
        <v>10.68</v>
      </c>
      <c r="M276" s="4">
        <f>B276*(G276/100)*(J276/100)</f>
        <v/>
      </c>
      <c r="N276" s="4">
        <f>B276*(F276/360/100)*E276*(J276/100)</f>
        <v/>
      </c>
      <c r="O276" s="4">
        <f>K276-M276+L276-N276</f>
        <v/>
      </c>
    </row>
    <row r="277">
      <c r="A277" s="2" t="inlineStr">
        <is>
          <t>A75740753</t>
        </is>
      </c>
      <c r="B277" s="4" t="n">
        <v>5348.51</v>
      </c>
      <c r="C277" s="3" t="n">
        <v>46038</v>
      </c>
      <c r="D277" s="3" t="n">
        <v>46072</v>
      </c>
      <c r="E277" s="2" t="n">
        <v>57</v>
      </c>
      <c r="F277" s="2" t="n">
        <v>13.94</v>
      </c>
      <c r="G277" s="2" t="n">
        <v>2.89</v>
      </c>
      <c r="H277" s="4" t="n">
        <v>154.57</v>
      </c>
      <c r="I277" s="4" t="n">
        <v>118.05</v>
      </c>
      <c r="J277" s="2" t="n">
        <v>40</v>
      </c>
      <c r="K277" s="4" t="n">
        <v>62.06</v>
      </c>
      <c r="L277" s="4" t="n">
        <v>47.52</v>
      </c>
      <c r="M277" s="4">
        <f>B277*(G277/100)*(J277/100)</f>
        <v/>
      </c>
      <c r="N277" s="4">
        <f>B277*(F277/360/100)*E277*(J277/100)</f>
        <v/>
      </c>
      <c r="O277" s="4">
        <f>K277-M277+L277-N277</f>
        <v/>
      </c>
    </row>
    <row r="278">
      <c r="A278" s="2" t="inlineStr">
        <is>
          <t>A04562902</t>
        </is>
      </c>
      <c r="B278" s="4" t="n">
        <v>839.52</v>
      </c>
      <c r="C278" s="3" t="n">
        <v>46029</v>
      </c>
      <c r="D278" s="3" t="n">
        <v>46179</v>
      </c>
      <c r="E278" s="2" t="n">
        <v>58</v>
      </c>
      <c r="F278" s="2" t="n">
        <v>46.93</v>
      </c>
      <c r="G278" s="2" t="n">
        <v>0.51</v>
      </c>
      <c r="H278" s="4" t="n">
        <v>4.28</v>
      </c>
      <c r="I278" s="4" t="n">
        <v>63.48</v>
      </c>
      <c r="J278" s="2" t="n">
        <v>50</v>
      </c>
      <c r="K278" s="4" t="n">
        <v>2.44</v>
      </c>
      <c r="L278" s="4" t="n">
        <v>31.88</v>
      </c>
      <c r="M278" s="4">
        <f>B278*(G278/100)*(J278/100)</f>
        <v/>
      </c>
      <c r="N278" s="4">
        <f>B278*(F278/360/100)*E278*(J278/100)</f>
        <v/>
      </c>
      <c r="O278" s="4">
        <f>K278-M278+L278-N278</f>
        <v/>
      </c>
    </row>
    <row r="279">
      <c r="A279" s="2" t="inlineStr">
        <is>
          <t>A17141241</t>
        </is>
      </c>
      <c r="B279" s="4" t="n">
        <v>246.73</v>
      </c>
      <c r="C279" s="3" t="n">
        <v>46049</v>
      </c>
      <c r="D279" s="3" t="n">
        <v>46093</v>
      </c>
      <c r="E279" s="2" t="n">
        <v>23</v>
      </c>
      <c r="F279" s="2" t="n">
        <v>42.83</v>
      </c>
      <c r="G279" s="2" t="n">
        <v>0.59</v>
      </c>
      <c r="H279" s="4" t="n">
        <v>1.46</v>
      </c>
      <c r="I279" s="4" t="n">
        <v>6.75</v>
      </c>
      <c r="J279" s="2" t="n">
        <v>60</v>
      </c>
      <c r="K279" s="4" t="n">
        <v>0.6899999999999999</v>
      </c>
      <c r="L279" s="4" t="n">
        <v>3.79</v>
      </c>
      <c r="M279" s="4">
        <f>B279*(G279/100)*(J279/100)</f>
        <v/>
      </c>
      <c r="N279" s="4">
        <f>B279*(F279/360/100)*E279*(J279/100)</f>
        <v/>
      </c>
      <c r="O279" s="4">
        <f>K279-M279+L279-N279</f>
        <v/>
      </c>
    </row>
    <row r="280">
      <c r="A280" s="2" t="inlineStr">
        <is>
          <t>B56677060</t>
        </is>
      </c>
      <c r="B280" s="4" t="n">
        <v>337.68</v>
      </c>
      <c r="C280" s="3" t="n">
        <v>46028</v>
      </c>
      <c r="D280" s="3" t="n">
        <v>46193</v>
      </c>
      <c r="E280" s="2" t="n">
        <v>47</v>
      </c>
      <c r="F280" s="2" t="n">
        <v>14.74</v>
      </c>
      <c r="G280" s="2" t="n">
        <v>1.75</v>
      </c>
      <c r="H280" s="4" t="n">
        <v>5.91</v>
      </c>
      <c r="I280" s="4" t="n">
        <v>6.5</v>
      </c>
      <c r="J280" s="2" t="n">
        <v>70</v>
      </c>
      <c r="K280" s="4" t="n">
        <v>4.36</v>
      </c>
      <c r="L280" s="4" t="n">
        <v>4.3</v>
      </c>
      <c r="M280" s="4">
        <f>B280*(G280/100)*(J280/100)</f>
        <v/>
      </c>
      <c r="N280" s="4">
        <f>B280*(F280/360/100)*E280*(J280/100)</f>
        <v/>
      </c>
      <c r="O280" s="4">
        <f>K280-M280+L280-N280</f>
        <v/>
      </c>
    </row>
    <row r="281">
      <c r="A281" s="2" t="inlineStr">
        <is>
          <t>A82884172</t>
        </is>
      </c>
      <c r="B281" s="4" t="n">
        <v>444.14</v>
      </c>
      <c r="C281" s="3" t="n">
        <v>46046</v>
      </c>
      <c r="D281" s="3" t="n">
        <v>46221</v>
      </c>
      <c r="E281" s="2" t="n">
        <v>52</v>
      </c>
      <c r="F281" s="2" t="n">
        <v>10.55</v>
      </c>
      <c r="G281" s="2" t="n">
        <v>2.7</v>
      </c>
      <c r="H281" s="4" t="n">
        <v>11.99</v>
      </c>
      <c r="I281" s="4" t="n">
        <v>6.77</v>
      </c>
      <c r="J281" s="2" t="n">
        <v>20</v>
      </c>
      <c r="K281" s="4" t="n">
        <v>2.53</v>
      </c>
      <c r="L281" s="4" t="n">
        <v>1.31</v>
      </c>
      <c r="M281" s="4">
        <f>B281*(G281/100)*(J281/100)</f>
        <v/>
      </c>
      <c r="N281" s="4">
        <f>B281*(F281/360/100)*E281*(J281/100)</f>
        <v/>
      </c>
      <c r="O281" s="4">
        <f>K281-M281+L281-N281</f>
        <v/>
      </c>
    </row>
    <row r="282">
      <c r="A282" s="2" t="inlineStr">
        <is>
          <t>A36097750</t>
        </is>
      </c>
      <c r="B282" s="4" t="n">
        <v>195.18</v>
      </c>
      <c r="C282" s="3" t="n">
        <v>46034</v>
      </c>
      <c r="D282" s="3" t="n">
        <v>46120</v>
      </c>
      <c r="E282" s="2" t="n">
        <v>56</v>
      </c>
      <c r="F282" s="2" t="n">
        <v>12.86</v>
      </c>
      <c r="G282" s="2" t="n">
        <v>1.16</v>
      </c>
      <c r="H282" s="4" t="n">
        <v>2.26</v>
      </c>
      <c r="I282" s="4" t="n">
        <v>3.9</v>
      </c>
      <c r="J282" s="2" t="n">
        <v>40</v>
      </c>
      <c r="K282" s="4" t="n">
        <v>0.8100000000000001</v>
      </c>
      <c r="L282" s="4" t="n">
        <v>1.32</v>
      </c>
      <c r="M282" s="4">
        <f>B282*(G282/100)*(J282/100)</f>
        <v/>
      </c>
      <c r="N282" s="4">
        <f>B282*(F282/360/100)*E282*(J282/100)</f>
        <v/>
      </c>
      <c r="O282" s="4">
        <f>K282-M282+L282-N282</f>
        <v/>
      </c>
    </row>
    <row r="283">
      <c r="A283" s="2" t="inlineStr">
        <is>
          <t>A59487122</t>
        </is>
      </c>
      <c r="B283" s="4" t="n">
        <v>3112</v>
      </c>
      <c r="C283" s="3" t="n">
        <v>46036</v>
      </c>
      <c r="D283" s="3" t="n">
        <v>46136</v>
      </c>
      <c r="E283" s="2" t="n">
        <v>81</v>
      </c>
      <c r="F283" s="2" t="n">
        <v>25.72</v>
      </c>
      <c r="G283" s="2" t="n">
        <v>1.56</v>
      </c>
      <c r="H283" s="4" t="n">
        <v>48.55</v>
      </c>
      <c r="I283" s="4" t="n">
        <v>180.09</v>
      </c>
      <c r="J283" s="2" t="n">
        <v>30</v>
      </c>
      <c r="K283" s="4" t="n">
        <v>14.35</v>
      </c>
      <c r="L283" s="4" t="n">
        <v>54.01</v>
      </c>
      <c r="M283" s="4">
        <f>B283*(G283/100)*(J283/100)</f>
        <v/>
      </c>
      <c r="N283" s="4">
        <f>B283*(F283/360/100)*E283*(J283/100)</f>
        <v/>
      </c>
      <c r="O283" s="4">
        <f>K283-M283+L283-N283</f>
        <v/>
      </c>
    </row>
    <row r="284">
      <c r="A284" s="2" t="inlineStr">
        <is>
          <t>A59501703</t>
        </is>
      </c>
      <c r="B284" s="4" t="n">
        <v>5459.94</v>
      </c>
      <c r="C284" s="3" t="n">
        <v>46027</v>
      </c>
      <c r="D284" s="3" t="n">
        <v>46128</v>
      </c>
      <c r="E284" s="2" t="n">
        <v>38</v>
      </c>
      <c r="F284" s="2" t="n">
        <v>25.64</v>
      </c>
      <c r="G284" s="2" t="n">
        <v>1.64</v>
      </c>
      <c r="H284" s="4" t="n">
        <v>89.54000000000001</v>
      </c>
      <c r="I284" s="4" t="n">
        <v>147.77</v>
      </c>
      <c r="J284" s="2" t="n">
        <v>20</v>
      </c>
      <c r="K284" s="4" t="n">
        <v>17.88</v>
      </c>
      <c r="L284" s="4" t="n">
        <v>29.74</v>
      </c>
      <c r="M284" s="4">
        <f>B284*(G284/100)*(J284/100)</f>
        <v/>
      </c>
      <c r="N284" s="4">
        <f>B284*(F284/360/100)*E284*(J284/100)</f>
        <v/>
      </c>
      <c r="O284" s="4">
        <f>K284-M284+L284-N284</f>
        <v/>
      </c>
    </row>
    <row r="285">
      <c r="A285" s="2" t="inlineStr">
        <is>
          <t>A04550291</t>
        </is>
      </c>
      <c r="B285" s="4" t="n">
        <v>285.6</v>
      </c>
      <c r="C285" s="3" t="n">
        <v>46030</v>
      </c>
      <c r="D285" s="3" t="n">
        <v>46163</v>
      </c>
      <c r="E285" s="2" t="n">
        <v>72</v>
      </c>
      <c r="F285" s="2" t="n">
        <v>47.75</v>
      </c>
      <c r="G285" s="2" t="n">
        <v>2.46</v>
      </c>
      <c r="H285" s="4" t="n">
        <v>7.03</v>
      </c>
      <c r="I285" s="4" t="n">
        <v>27.27</v>
      </c>
      <c r="J285" s="2" t="n">
        <v>50</v>
      </c>
      <c r="K285" s="4" t="n">
        <v>3.76</v>
      </c>
      <c r="L285" s="4" t="n">
        <v>13.86</v>
      </c>
      <c r="M285" s="4">
        <f>B285*(G285/100)*(J285/100)</f>
        <v/>
      </c>
      <c r="N285" s="4">
        <f>B285*(F285/360/100)*E285*(J285/100)</f>
        <v/>
      </c>
      <c r="O285" s="4">
        <f>K285-M285+L285-N285</f>
        <v/>
      </c>
    </row>
    <row r="286">
      <c r="A286" s="2" t="inlineStr">
        <is>
          <t>A47784249</t>
        </is>
      </c>
      <c r="B286" s="4" t="n">
        <v>586.61</v>
      </c>
      <c r="C286" s="3" t="n">
        <v>46035</v>
      </c>
      <c r="D286" s="3" t="n">
        <v>46054</v>
      </c>
      <c r="E286" s="2" t="n">
        <v>48</v>
      </c>
      <c r="F286" s="2" t="n">
        <v>10.75</v>
      </c>
      <c r="G286" s="2" t="n">
        <v>1.02</v>
      </c>
      <c r="H286" s="4" t="n">
        <v>5.98</v>
      </c>
      <c r="I286" s="4" t="n">
        <v>8.41</v>
      </c>
      <c r="J286" s="2" t="n">
        <v>60</v>
      </c>
      <c r="K286" s="4" t="n">
        <v>3.57</v>
      </c>
      <c r="L286" s="4" t="n">
        <v>5.29</v>
      </c>
      <c r="M286" s="4">
        <f>B286*(G286/100)*(J286/100)</f>
        <v/>
      </c>
      <c r="N286" s="4">
        <f>B286*(F286/360/100)*E286*(J286/100)</f>
        <v/>
      </c>
      <c r="O286" s="4">
        <f>K286-M286+L286-N286</f>
        <v/>
      </c>
    </row>
    <row r="287">
      <c r="A287" s="2" t="inlineStr">
        <is>
          <t>B75393804</t>
        </is>
      </c>
      <c r="B287" s="4" t="n">
        <v>198.11</v>
      </c>
      <c r="C287" s="3" t="n">
        <v>46039</v>
      </c>
      <c r="D287" s="3" t="n">
        <v>46063</v>
      </c>
      <c r="E287" s="2" t="n">
        <v>82</v>
      </c>
      <c r="F287" s="2" t="n">
        <v>17.63</v>
      </c>
      <c r="G287" s="2" t="n">
        <v>1.98</v>
      </c>
      <c r="H287" s="4" t="n">
        <v>3.92</v>
      </c>
      <c r="I287" s="4" t="n">
        <v>7.96</v>
      </c>
      <c r="J287" s="2" t="n">
        <v>70</v>
      </c>
      <c r="K287" s="4" t="n">
        <v>2.55</v>
      </c>
      <c r="L287" s="4" t="n">
        <v>5.75</v>
      </c>
      <c r="M287" s="4">
        <f>B287*(G287/100)*(J287/100)</f>
        <v/>
      </c>
      <c r="N287" s="4">
        <f>B287*(F287/360/100)*E287*(J287/100)</f>
        <v/>
      </c>
      <c r="O287" s="4">
        <f>K287-M287+L287-N287</f>
        <v/>
      </c>
    </row>
    <row r="288">
      <c r="A288" s="2" t="inlineStr">
        <is>
          <t>B50421489</t>
        </is>
      </c>
      <c r="B288" s="4" t="n">
        <v>746.37</v>
      </c>
      <c r="C288" s="3" t="n">
        <v>46037</v>
      </c>
      <c r="D288" s="3" t="n">
        <v>46065</v>
      </c>
      <c r="E288" s="2" t="n">
        <v>72</v>
      </c>
      <c r="F288" s="2" t="n">
        <v>27.3</v>
      </c>
      <c r="G288" s="2" t="n">
        <v>0.83</v>
      </c>
      <c r="H288" s="4" t="n">
        <v>6.19</v>
      </c>
      <c r="I288" s="4" t="n">
        <v>40.75</v>
      </c>
      <c r="J288" s="2" t="n">
        <v>60</v>
      </c>
      <c r="K288" s="4" t="n">
        <v>3.87</v>
      </c>
      <c r="L288" s="4" t="n">
        <v>24.17</v>
      </c>
      <c r="M288" s="4">
        <f>B288*(G288/100)*(J288/100)</f>
        <v/>
      </c>
      <c r="N288" s="4">
        <f>B288*(F288/360/100)*E288*(J288/100)</f>
        <v/>
      </c>
      <c r="O288" s="4">
        <f>K288-M288+L288-N288</f>
        <v/>
      </c>
    </row>
    <row r="289">
      <c r="A289" s="2" t="inlineStr">
        <is>
          <t>B65881267</t>
        </is>
      </c>
      <c r="B289" s="4" t="n">
        <v>1844.39</v>
      </c>
      <c r="C289" s="3" t="n">
        <v>46043</v>
      </c>
      <c r="D289" s="3" t="n">
        <v>46158</v>
      </c>
      <c r="E289" s="2" t="n">
        <v>26</v>
      </c>
      <c r="F289" s="2" t="n">
        <v>25.23</v>
      </c>
      <c r="G289" s="2" t="n">
        <v>1.52</v>
      </c>
      <c r="H289" s="4" t="n">
        <v>28.03</v>
      </c>
      <c r="I289" s="4" t="n">
        <v>33.61</v>
      </c>
      <c r="J289" s="2" t="n">
        <v>70</v>
      </c>
      <c r="K289" s="4" t="n">
        <v>19.34</v>
      </c>
      <c r="L289" s="4" t="n">
        <v>23.41</v>
      </c>
      <c r="M289" s="4">
        <f>B289*(G289/100)*(J289/100)</f>
        <v/>
      </c>
      <c r="N289" s="4">
        <f>B289*(F289/360/100)*E289*(J289/100)</f>
        <v/>
      </c>
      <c r="O289" s="4">
        <f>K289-M289+L289-N289</f>
        <v/>
      </c>
    </row>
    <row r="290">
      <c r="A290" s="2" t="inlineStr">
        <is>
          <t>B29810316</t>
        </is>
      </c>
      <c r="B290" s="4" t="n">
        <v>127.61</v>
      </c>
      <c r="C290" s="3" t="n">
        <v>46043</v>
      </c>
      <c r="D290" s="3" t="n">
        <v>46065</v>
      </c>
      <c r="E290" s="2" t="n">
        <v>76</v>
      </c>
      <c r="F290" s="2" t="n">
        <v>33.64</v>
      </c>
      <c r="G290" s="2" t="n">
        <v>2.2</v>
      </c>
      <c r="H290" s="4" t="n">
        <v>2.81</v>
      </c>
      <c r="I290" s="4" t="n">
        <v>9.06</v>
      </c>
      <c r="J290" s="2" t="n">
        <v>40</v>
      </c>
      <c r="K290" s="4" t="n">
        <v>0.89</v>
      </c>
      <c r="L290" s="4" t="n">
        <v>3.59</v>
      </c>
      <c r="M290" s="4">
        <f>B290*(G290/100)*(J290/100)</f>
        <v/>
      </c>
      <c r="N290" s="4">
        <f>B290*(F290/360/100)*E290*(J290/100)</f>
        <v/>
      </c>
      <c r="O290" s="4">
        <f>K290-M290+L290-N290</f>
        <v/>
      </c>
    </row>
    <row r="291">
      <c r="A291" s="2" t="inlineStr">
        <is>
          <t>A62809818</t>
        </is>
      </c>
      <c r="B291" s="4" t="n">
        <v>879.36</v>
      </c>
      <c r="C291" s="3" t="n">
        <v>46039</v>
      </c>
      <c r="D291" s="3" t="n">
        <v>46077</v>
      </c>
      <c r="E291" s="2" t="n">
        <v>40</v>
      </c>
      <c r="F291" s="2" t="n">
        <v>17.8</v>
      </c>
      <c r="G291" s="2" t="n">
        <v>2.89</v>
      </c>
      <c r="H291" s="4" t="n">
        <v>25.41</v>
      </c>
      <c r="I291" s="4" t="n">
        <v>17.39</v>
      </c>
      <c r="J291" s="2" t="n">
        <v>60</v>
      </c>
      <c r="K291" s="4" t="n">
        <v>15.12</v>
      </c>
      <c r="L291" s="4" t="n">
        <v>10.6</v>
      </c>
      <c r="M291" s="4">
        <f>B291*(G291/100)*(J291/100)</f>
        <v/>
      </c>
      <c r="N291" s="4">
        <f>B291*(F291/360/100)*E291*(J291/100)</f>
        <v/>
      </c>
      <c r="O291" s="4">
        <f>K291-M291+L291-N291</f>
        <v/>
      </c>
    </row>
    <row r="292">
      <c r="A292" s="2" t="inlineStr">
        <is>
          <t>A34220234</t>
        </is>
      </c>
      <c r="B292" s="4" t="n">
        <v>930.63</v>
      </c>
      <c r="C292" s="3" t="n">
        <v>46034</v>
      </c>
      <c r="D292" s="3" t="n">
        <v>46154</v>
      </c>
      <c r="E292" s="2" t="n">
        <v>21</v>
      </c>
      <c r="F292" s="2" t="n">
        <v>41.23</v>
      </c>
      <c r="G292" s="2" t="n">
        <v>1.12</v>
      </c>
      <c r="H292" s="4" t="n">
        <v>10.42</v>
      </c>
      <c r="I292" s="4" t="n">
        <v>22.38</v>
      </c>
      <c r="J292" s="2" t="n">
        <v>60</v>
      </c>
      <c r="K292" s="4" t="n">
        <v>6.53</v>
      </c>
      <c r="L292" s="4" t="n">
        <v>13.36</v>
      </c>
      <c r="M292" s="4">
        <f>B292*(G292/100)*(J292/100)</f>
        <v/>
      </c>
      <c r="N292" s="4">
        <f>B292*(F292/360/100)*E292*(J292/100)</f>
        <v/>
      </c>
      <c r="O292" s="4">
        <f>K292-M292+L292-N292</f>
        <v/>
      </c>
    </row>
    <row r="293">
      <c r="A293" s="2" t="inlineStr">
        <is>
          <t>A85619710</t>
        </is>
      </c>
      <c r="B293" s="4" t="n">
        <v>6578.06</v>
      </c>
      <c r="C293" s="3" t="n">
        <v>46050</v>
      </c>
      <c r="D293" s="3" t="n">
        <v>46189</v>
      </c>
      <c r="E293" s="2" t="n">
        <v>12</v>
      </c>
      <c r="F293" s="2" t="n">
        <v>20.43</v>
      </c>
      <c r="G293" s="2" t="n">
        <v>2.72</v>
      </c>
      <c r="H293" s="4" t="n">
        <v>178.92</v>
      </c>
      <c r="I293" s="4" t="n">
        <v>44.8</v>
      </c>
      <c r="J293" s="2" t="n">
        <v>40</v>
      </c>
      <c r="K293" s="4" t="n">
        <v>71.42</v>
      </c>
      <c r="L293" s="4" t="n">
        <v>17.7</v>
      </c>
      <c r="M293" s="4">
        <f>B293*(G293/100)*(J293/100)</f>
        <v/>
      </c>
      <c r="N293" s="4">
        <f>B293*(F293/360/100)*E293*(J293/100)</f>
        <v/>
      </c>
      <c r="O293" s="4">
        <f>K293-M293+L293-N293</f>
        <v/>
      </c>
    </row>
    <row r="294">
      <c r="A294" s="2" t="inlineStr">
        <is>
          <t>B22209928</t>
        </is>
      </c>
      <c r="B294" s="4" t="n">
        <v>748.6</v>
      </c>
      <c r="C294" s="3" t="n">
        <v>46033</v>
      </c>
      <c r="D294" s="3" t="n">
        <v>46120</v>
      </c>
      <c r="E294" s="2" t="n">
        <v>42</v>
      </c>
      <c r="F294" s="2" t="n">
        <v>37.19</v>
      </c>
      <c r="G294" s="2" t="n">
        <v>0.6899999999999999</v>
      </c>
      <c r="H294" s="4" t="n">
        <v>5.17</v>
      </c>
      <c r="I294" s="4" t="n">
        <v>32.48</v>
      </c>
      <c r="J294" s="2" t="n">
        <v>20</v>
      </c>
      <c r="K294" s="4" t="n">
        <v>1.31</v>
      </c>
      <c r="L294" s="4" t="n">
        <v>6.36</v>
      </c>
      <c r="M294" s="4">
        <f>B294*(G294/100)*(J294/100)</f>
        <v/>
      </c>
      <c r="N294" s="4">
        <f>B294*(F294/360/100)*E294*(J294/100)</f>
        <v/>
      </c>
      <c r="O294" s="4">
        <f>K294-M294+L294-N294</f>
        <v/>
      </c>
    </row>
    <row r="295">
      <c r="A295" s="2" t="inlineStr">
        <is>
          <t>B82570616</t>
        </is>
      </c>
      <c r="B295" s="4" t="n">
        <v>795.01</v>
      </c>
      <c r="C295" s="3" t="n">
        <v>46044</v>
      </c>
      <c r="D295" s="3" t="n">
        <v>46103</v>
      </c>
      <c r="E295" s="2" t="n">
        <v>12</v>
      </c>
      <c r="F295" s="2" t="n">
        <v>24.17</v>
      </c>
      <c r="G295" s="2" t="n">
        <v>2.58</v>
      </c>
      <c r="H295" s="4" t="n">
        <v>20.51</v>
      </c>
      <c r="I295" s="4" t="n">
        <v>6.41</v>
      </c>
      <c r="J295" s="2" t="n">
        <v>70</v>
      </c>
      <c r="K295" s="4" t="n">
        <v>14.29</v>
      </c>
      <c r="L295" s="4" t="n">
        <v>4.38</v>
      </c>
      <c r="M295" s="4">
        <f>B295*(G295/100)*(J295/100)</f>
        <v/>
      </c>
      <c r="N295" s="4">
        <f>B295*(F295/360/100)*E295*(J295/100)</f>
        <v/>
      </c>
      <c r="O295" s="4">
        <f>K295-M295+L295-N295</f>
        <v/>
      </c>
    </row>
    <row r="296">
      <c r="A296" s="2" t="inlineStr">
        <is>
          <t>B38841422</t>
        </is>
      </c>
      <c r="B296" s="4" t="n">
        <v>197.56</v>
      </c>
      <c r="C296" s="3" t="n">
        <v>46036</v>
      </c>
      <c r="D296" s="3" t="n">
        <v>46164</v>
      </c>
      <c r="E296" s="2" t="n">
        <v>69</v>
      </c>
      <c r="F296" s="2" t="n">
        <v>42.51</v>
      </c>
      <c r="G296" s="2" t="n">
        <v>2.81</v>
      </c>
      <c r="H296" s="4" t="n">
        <v>5.55</v>
      </c>
      <c r="I296" s="4" t="n">
        <v>16.1</v>
      </c>
      <c r="J296" s="2" t="n">
        <v>60</v>
      </c>
      <c r="K296" s="4" t="n">
        <v>3.2</v>
      </c>
      <c r="L296" s="4" t="n">
        <v>9.68</v>
      </c>
      <c r="M296" s="4">
        <f>B296*(G296/100)*(J296/100)</f>
        <v/>
      </c>
      <c r="N296" s="4">
        <f>B296*(F296/360/100)*E296*(J296/100)</f>
        <v/>
      </c>
      <c r="O296" s="4">
        <f>K296-M296+L296-N296</f>
        <v/>
      </c>
    </row>
    <row r="297">
      <c r="A297" s="2" t="inlineStr">
        <is>
          <t>B54529548</t>
        </is>
      </c>
      <c r="B297" s="4" t="n">
        <v>6966.97</v>
      </c>
      <c r="C297" s="3" t="n">
        <v>46034</v>
      </c>
      <c r="D297" s="3" t="n">
        <v>46152</v>
      </c>
      <c r="E297" s="2" t="n">
        <v>85</v>
      </c>
      <c r="F297" s="2" t="n">
        <v>18.01</v>
      </c>
      <c r="G297" s="2" t="n">
        <v>0.79</v>
      </c>
      <c r="H297" s="4" t="n">
        <v>55.04</v>
      </c>
      <c r="I297" s="4" t="n">
        <v>296.26</v>
      </c>
      <c r="J297" s="2" t="n">
        <v>60</v>
      </c>
      <c r="K297" s="4" t="n">
        <v>33.27</v>
      </c>
      <c r="L297" s="4" t="n">
        <v>177.57</v>
      </c>
      <c r="M297" s="4">
        <f>B297*(G297/100)*(J297/100)</f>
        <v/>
      </c>
      <c r="N297" s="4">
        <f>B297*(F297/360/100)*E297*(J297/100)</f>
        <v/>
      </c>
      <c r="O297" s="4">
        <f>K297-M297+L297-N297</f>
        <v/>
      </c>
    </row>
    <row r="298">
      <c r="A298" s="2" t="inlineStr">
        <is>
          <t>B04195747</t>
        </is>
      </c>
      <c r="B298" s="4" t="n">
        <v>1942.08</v>
      </c>
      <c r="C298" s="3" t="n">
        <v>46041</v>
      </c>
      <c r="D298" s="3" t="n">
        <v>46091</v>
      </c>
      <c r="E298" s="2" t="n">
        <v>53</v>
      </c>
      <c r="F298" s="2" t="n">
        <v>21.79</v>
      </c>
      <c r="G298" s="2" t="n">
        <v>0.65</v>
      </c>
      <c r="H298" s="4" t="n">
        <v>12.62</v>
      </c>
      <c r="I298" s="4" t="n">
        <v>62.3</v>
      </c>
      <c r="J298" s="2" t="n">
        <v>50</v>
      </c>
      <c r="K298" s="4" t="n">
        <v>6.24</v>
      </c>
      <c r="L298" s="4" t="n">
        <v>31.35</v>
      </c>
      <c r="M298" s="4">
        <f>B298*(G298/100)*(J298/100)</f>
        <v/>
      </c>
      <c r="N298" s="4">
        <f>B298*(F298/360/100)*E298*(J298/100)</f>
        <v/>
      </c>
      <c r="O298" s="4">
        <f>K298-M298+L298-N298</f>
        <v/>
      </c>
    </row>
    <row r="299">
      <c r="A299" s="2" t="inlineStr">
        <is>
          <t>B81360692</t>
        </is>
      </c>
      <c r="B299" s="4" t="n">
        <v>957.58</v>
      </c>
      <c r="C299" s="3" t="n">
        <v>46031</v>
      </c>
      <c r="D299" s="3" t="n">
        <v>46133</v>
      </c>
      <c r="E299" s="2" t="n">
        <v>36</v>
      </c>
      <c r="F299" s="2" t="n">
        <v>24.06</v>
      </c>
      <c r="G299" s="2" t="n">
        <v>0.79</v>
      </c>
      <c r="H299" s="4" t="n">
        <v>7.56</v>
      </c>
      <c r="I299" s="4" t="n">
        <v>23.04</v>
      </c>
      <c r="J299" s="2" t="n">
        <v>40</v>
      </c>
      <c r="K299" s="4" t="n">
        <v>3.12</v>
      </c>
      <c r="L299" s="4" t="n">
        <v>9.31</v>
      </c>
      <c r="M299" s="4">
        <f>B299*(G299/100)*(J299/100)</f>
        <v/>
      </c>
      <c r="N299" s="4">
        <f>B299*(F299/360/100)*E299*(J299/100)</f>
        <v/>
      </c>
      <c r="O299" s="4">
        <f>K299-M299+L299-N299</f>
        <v/>
      </c>
    </row>
    <row r="300">
      <c r="A300" s="2" t="inlineStr">
        <is>
          <t>B12464643</t>
        </is>
      </c>
      <c r="B300" s="4" t="n">
        <v>5881.18</v>
      </c>
      <c r="C300" s="3" t="n">
        <v>46033</v>
      </c>
      <c r="D300" s="3" t="n">
        <v>46113</v>
      </c>
      <c r="E300" s="2" t="n">
        <v>20</v>
      </c>
      <c r="F300" s="2" t="n">
        <v>20.15</v>
      </c>
      <c r="G300" s="2" t="n">
        <v>1.05</v>
      </c>
      <c r="H300" s="4" t="n">
        <v>61.75</v>
      </c>
      <c r="I300" s="4" t="n">
        <v>65.84</v>
      </c>
      <c r="J300" s="2" t="n">
        <v>40</v>
      </c>
      <c r="K300" s="4" t="n">
        <v>24.51</v>
      </c>
      <c r="L300" s="4" t="n">
        <v>26.56</v>
      </c>
      <c r="M300" s="4">
        <f>B300*(G300/100)*(J300/100)</f>
        <v/>
      </c>
      <c r="N300" s="4">
        <f>B300*(F300/360/100)*E300*(J300/100)</f>
        <v/>
      </c>
      <c r="O300" s="4">
        <f>K300-M300+L300-N300</f>
        <v/>
      </c>
    </row>
    <row r="301">
      <c r="A301" s="2" t="inlineStr">
        <is>
          <t>B92659959</t>
        </is>
      </c>
      <c r="B301" s="4" t="n">
        <v>2275.63</v>
      </c>
      <c r="C301" s="3" t="n">
        <v>46046</v>
      </c>
      <c r="D301" s="3" t="n">
        <v>46114</v>
      </c>
      <c r="E301" s="2" t="n">
        <v>62</v>
      </c>
      <c r="F301" s="2" t="n">
        <v>43.86</v>
      </c>
      <c r="G301" s="2" t="n">
        <v>0.9</v>
      </c>
      <c r="H301" s="4" t="n">
        <v>20.48</v>
      </c>
      <c r="I301" s="4" t="n">
        <v>171.89</v>
      </c>
      <c r="J301" s="2" t="n">
        <v>70</v>
      </c>
      <c r="K301" s="4" t="n">
        <v>14.47</v>
      </c>
      <c r="L301" s="4" t="n">
        <v>120.38</v>
      </c>
      <c r="M301" s="4">
        <f>B301*(G301/100)*(J301/100)</f>
        <v/>
      </c>
      <c r="N301" s="4">
        <f>B301*(F301/360/100)*E301*(J301/100)</f>
        <v/>
      </c>
      <c r="O301" s="4">
        <f>K301-M301+L301-N301</f>
        <v/>
      </c>
    </row>
    <row r="302">
      <c r="A302" s="2" t="inlineStr">
        <is>
          <t>B57710045</t>
        </is>
      </c>
      <c r="B302" s="4" t="n">
        <v>749.12</v>
      </c>
      <c r="C302" s="3" t="n">
        <v>46049</v>
      </c>
      <c r="D302" s="3" t="n">
        <v>46099</v>
      </c>
      <c r="E302" s="2" t="n">
        <v>65</v>
      </c>
      <c r="F302" s="2" t="n">
        <v>26.16</v>
      </c>
      <c r="G302" s="2" t="n">
        <v>2.5</v>
      </c>
      <c r="H302" s="4" t="n">
        <v>18.73</v>
      </c>
      <c r="I302" s="4" t="n">
        <v>35.38</v>
      </c>
      <c r="J302" s="2" t="n">
        <v>60</v>
      </c>
      <c r="K302" s="4" t="n">
        <v>11.27</v>
      </c>
      <c r="L302" s="4" t="n">
        <v>21.35</v>
      </c>
      <c r="M302" s="4">
        <f>B302*(G302/100)*(J302/100)</f>
        <v/>
      </c>
      <c r="N302" s="4">
        <f>B302*(F302/360/100)*E302*(J302/100)</f>
        <v/>
      </c>
      <c r="O302" s="4">
        <f>K302-M302+L302-N302</f>
        <v/>
      </c>
    </row>
    <row r="303">
      <c r="A303" s="2" t="inlineStr">
        <is>
          <t>B72294548</t>
        </is>
      </c>
      <c r="B303" s="4" t="n">
        <v>7860.32</v>
      </c>
      <c r="C303" s="3" t="n">
        <v>46033</v>
      </c>
      <c r="D303" s="3" t="n">
        <v>46192</v>
      </c>
      <c r="E303" s="2" t="n">
        <v>34</v>
      </c>
      <c r="F303" s="2" t="n">
        <v>10.93</v>
      </c>
      <c r="G303" s="2" t="n">
        <v>1.41</v>
      </c>
      <c r="H303" s="4" t="n">
        <v>110.83</v>
      </c>
      <c r="I303" s="4" t="n">
        <v>81.14</v>
      </c>
      <c r="J303" s="2" t="n">
        <v>30</v>
      </c>
      <c r="K303" s="4" t="n">
        <v>33.28</v>
      </c>
      <c r="L303" s="4" t="n">
        <v>24.62</v>
      </c>
      <c r="M303" s="4">
        <f>B303*(G303/100)*(J303/100)</f>
        <v/>
      </c>
      <c r="N303" s="4">
        <f>B303*(F303/360/100)*E303*(J303/100)</f>
        <v/>
      </c>
      <c r="O303" s="4">
        <f>K303-M303+L303-N303</f>
        <v/>
      </c>
    </row>
    <row r="304">
      <c r="A304" s="2" t="inlineStr">
        <is>
          <t>B73164069</t>
        </is>
      </c>
      <c r="B304" s="4" t="n">
        <v>551.35</v>
      </c>
      <c r="C304" s="3" t="n">
        <v>46026</v>
      </c>
      <c r="D304" s="3" t="n">
        <v>46096</v>
      </c>
      <c r="E304" s="2" t="n">
        <v>40</v>
      </c>
      <c r="F304" s="2" t="n">
        <v>45.93</v>
      </c>
      <c r="G304" s="2" t="n">
        <v>2.25</v>
      </c>
      <c r="H304" s="4" t="n">
        <v>12.41</v>
      </c>
      <c r="I304" s="4" t="n">
        <v>28.14</v>
      </c>
      <c r="J304" s="2" t="n">
        <v>20</v>
      </c>
      <c r="K304" s="4" t="n">
        <v>2.49</v>
      </c>
      <c r="L304" s="4" t="n">
        <v>5.43</v>
      </c>
      <c r="M304" s="4">
        <f>B304*(G304/100)*(J304/100)</f>
        <v/>
      </c>
      <c r="N304" s="4">
        <f>B304*(F304/360/100)*E304*(J304/100)</f>
        <v/>
      </c>
      <c r="O304" s="4">
        <f>K304-M304+L304-N304</f>
        <v/>
      </c>
    </row>
    <row r="305">
      <c r="A305" s="2" t="inlineStr">
        <is>
          <t>B09286084</t>
        </is>
      </c>
      <c r="B305" s="4" t="n">
        <v>981.91</v>
      </c>
      <c r="C305" s="3" t="n">
        <v>46050</v>
      </c>
      <c r="D305" s="3" t="n">
        <v>46150</v>
      </c>
      <c r="E305" s="2" t="n">
        <v>50</v>
      </c>
      <c r="F305" s="2" t="n">
        <v>41.83</v>
      </c>
      <c r="G305" s="2" t="n">
        <v>1.31</v>
      </c>
      <c r="H305" s="4" t="n">
        <v>12.86</v>
      </c>
      <c r="I305" s="4" t="n">
        <v>57.05</v>
      </c>
      <c r="J305" s="2" t="n">
        <v>70</v>
      </c>
      <c r="K305" s="4" t="n">
        <v>8.710000000000001</v>
      </c>
      <c r="L305" s="4" t="n">
        <v>39.96</v>
      </c>
      <c r="M305" s="4">
        <f>B305*(G305/100)*(J305/100)</f>
        <v/>
      </c>
      <c r="N305" s="4">
        <f>B305*(F305/360/100)*E305*(J305/100)</f>
        <v/>
      </c>
      <c r="O305" s="4">
        <f>K305-M305+L305-N305</f>
        <v/>
      </c>
    </row>
    <row r="306">
      <c r="A306" s="2" t="inlineStr">
        <is>
          <t>B36150061</t>
        </is>
      </c>
      <c r="B306" s="4" t="n">
        <v>935.3</v>
      </c>
      <c r="C306" s="3" t="n">
        <v>46044</v>
      </c>
      <c r="D306" s="3" t="n">
        <v>46132</v>
      </c>
      <c r="E306" s="2" t="n">
        <v>18</v>
      </c>
      <c r="F306" s="2" t="n">
        <v>20.27</v>
      </c>
      <c r="G306" s="2" t="n">
        <v>1.26</v>
      </c>
      <c r="H306" s="4" t="n">
        <v>11.78</v>
      </c>
      <c r="I306" s="4" t="n">
        <v>9.48</v>
      </c>
      <c r="J306" s="2" t="n">
        <v>20</v>
      </c>
      <c r="K306" s="4" t="n">
        <v>2.4</v>
      </c>
      <c r="L306" s="4" t="n">
        <v>2.15</v>
      </c>
      <c r="M306" s="4">
        <f>B306*(G306/100)*(J306/100)</f>
        <v/>
      </c>
      <c r="N306" s="4">
        <f>B306*(F306/360/100)*E306*(J306/100)</f>
        <v/>
      </c>
      <c r="O306" s="4">
        <f>K306-M306+L306-N306</f>
        <v/>
      </c>
    </row>
    <row r="307">
      <c r="A307" s="2" t="inlineStr">
        <is>
          <t>A59369780</t>
        </is>
      </c>
      <c r="B307" s="4" t="n">
        <v>280.51</v>
      </c>
      <c r="C307" s="3" t="n">
        <v>46024</v>
      </c>
      <c r="D307" s="3" t="n">
        <v>46073</v>
      </c>
      <c r="E307" s="2" t="n">
        <v>38</v>
      </c>
      <c r="F307" s="2" t="n">
        <v>45.34</v>
      </c>
      <c r="G307" s="2" t="n">
        <v>1.94</v>
      </c>
      <c r="H307" s="4" t="n">
        <v>5.44</v>
      </c>
      <c r="I307" s="4" t="n">
        <v>13.42</v>
      </c>
      <c r="J307" s="2" t="n">
        <v>60</v>
      </c>
      <c r="K307" s="4" t="n">
        <v>3.17</v>
      </c>
      <c r="L307" s="4" t="n">
        <v>8.279999999999999</v>
      </c>
      <c r="M307" s="4">
        <f>B307*(G307/100)*(J307/100)</f>
        <v/>
      </c>
      <c r="N307" s="4">
        <f>B307*(F307/360/100)*E307*(J307/100)</f>
        <v/>
      </c>
      <c r="O307" s="4">
        <f>K307-M307+L307-N307</f>
        <v/>
      </c>
    </row>
    <row r="308">
      <c r="A308" s="2" t="inlineStr">
        <is>
          <t>A83977236</t>
        </is>
      </c>
      <c r="B308" s="4" t="n">
        <v>436.22</v>
      </c>
      <c r="C308" s="3" t="n">
        <v>46025</v>
      </c>
      <c r="D308" s="3" t="n">
        <v>46135</v>
      </c>
      <c r="E308" s="2" t="n">
        <v>79</v>
      </c>
      <c r="F308" s="2" t="n">
        <v>10.21</v>
      </c>
      <c r="G308" s="2" t="n">
        <v>0.7</v>
      </c>
      <c r="H308" s="4" t="n">
        <v>3.05</v>
      </c>
      <c r="I308" s="4" t="n">
        <v>9.77</v>
      </c>
      <c r="J308" s="2" t="n">
        <v>40</v>
      </c>
      <c r="K308" s="4" t="n">
        <v>1.11</v>
      </c>
      <c r="L308" s="4" t="n">
        <v>3.66</v>
      </c>
      <c r="M308" s="4">
        <f>B308*(G308/100)*(J308/100)</f>
        <v/>
      </c>
      <c r="N308" s="4">
        <f>B308*(F308/360/100)*E308*(J308/100)</f>
        <v/>
      </c>
      <c r="O308" s="4">
        <f>K308-M308+L308-N308</f>
        <v/>
      </c>
    </row>
    <row r="309">
      <c r="A309" s="2" t="inlineStr">
        <is>
          <t>A75970663</t>
        </is>
      </c>
      <c r="B309" s="4" t="n">
        <v>2811.06</v>
      </c>
      <c r="C309" s="3" t="n">
        <v>46047</v>
      </c>
      <c r="D309" s="3" t="n">
        <v>46229</v>
      </c>
      <c r="E309" s="2" t="n">
        <v>59</v>
      </c>
      <c r="F309" s="2" t="n">
        <v>32.81</v>
      </c>
      <c r="G309" s="2" t="n">
        <v>0.54</v>
      </c>
      <c r="H309" s="4" t="n">
        <v>15.18</v>
      </c>
      <c r="I309" s="4" t="n">
        <v>151.16</v>
      </c>
      <c r="J309" s="2" t="n">
        <v>40</v>
      </c>
      <c r="K309" s="4" t="n">
        <v>5.92</v>
      </c>
      <c r="L309" s="4" t="n">
        <v>60.75</v>
      </c>
      <c r="M309" s="4">
        <f>B309*(G309/100)*(J309/100)</f>
        <v/>
      </c>
      <c r="N309" s="4">
        <f>B309*(F309/360/100)*E309*(J309/100)</f>
        <v/>
      </c>
      <c r="O309" s="4">
        <f>K309-M309+L309-N309</f>
        <v/>
      </c>
    </row>
    <row r="310">
      <c r="A310" s="2" t="inlineStr">
        <is>
          <t>B80863469</t>
        </is>
      </c>
      <c r="B310" s="4" t="n">
        <v>8225.379999999999</v>
      </c>
      <c r="C310" s="3" t="n">
        <v>46036</v>
      </c>
      <c r="D310" s="3" t="n">
        <v>46229</v>
      </c>
      <c r="E310" s="2" t="n">
        <v>12</v>
      </c>
      <c r="F310" s="2" t="n">
        <v>22.64</v>
      </c>
      <c r="G310" s="2" t="n">
        <v>2.14</v>
      </c>
      <c r="H310" s="4" t="n">
        <v>176.02</v>
      </c>
      <c r="I310" s="4" t="n">
        <v>62.07</v>
      </c>
      <c r="J310" s="2" t="n">
        <v>40</v>
      </c>
      <c r="K310" s="4" t="n">
        <v>70.43000000000001</v>
      </c>
      <c r="L310" s="4" t="n">
        <v>24.6</v>
      </c>
      <c r="M310" s="4">
        <f>B310*(G310/100)*(J310/100)</f>
        <v/>
      </c>
      <c r="N310" s="4">
        <f>B310*(F310/360/100)*E310*(J310/100)</f>
        <v/>
      </c>
      <c r="O310" s="4">
        <f>K310-M310+L310-N310</f>
        <v/>
      </c>
    </row>
    <row r="311">
      <c r="A311" s="2" t="inlineStr">
        <is>
          <t>B02008883</t>
        </is>
      </c>
      <c r="B311" s="4" t="n">
        <v>987.36</v>
      </c>
      <c r="C311" s="3" t="n">
        <v>46025</v>
      </c>
      <c r="D311" s="3" t="n">
        <v>46133</v>
      </c>
      <c r="E311" s="2" t="n">
        <v>54</v>
      </c>
      <c r="F311" s="2" t="n">
        <v>33.15</v>
      </c>
      <c r="G311" s="2" t="n">
        <v>2.81</v>
      </c>
      <c r="H311" s="4" t="n">
        <v>27.74</v>
      </c>
      <c r="I311" s="4" t="n">
        <v>49.1</v>
      </c>
      <c r="J311" s="2" t="n">
        <v>70</v>
      </c>
      <c r="K311" s="4" t="n">
        <v>19.46</v>
      </c>
      <c r="L311" s="4" t="n">
        <v>34.38</v>
      </c>
      <c r="M311" s="4">
        <f>B311*(G311/100)*(J311/100)</f>
        <v/>
      </c>
      <c r="N311" s="4">
        <f>B311*(F311/360/100)*E311*(J311/100)</f>
        <v/>
      </c>
      <c r="O311" s="4">
        <f>K311-M311+L311-N311</f>
        <v/>
      </c>
    </row>
    <row r="312">
      <c r="A312" s="2" t="inlineStr">
        <is>
          <t>B12464643</t>
        </is>
      </c>
      <c r="B312" s="4" t="n">
        <v>5176.03</v>
      </c>
      <c r="C312" s="3" t="n">
        <v>46034</v>
      </c>
      <c r="D312" s="3" t="n">
        <v>46135</v>
      </c>
      <c r="E312" s="2" t="n">
        <v>86</v>
      </c>
      <c r="F312" s="2" t="n">
        <v>29.31</v>
      </c>
      <c r="G312" s="2" t="n">
        <v>1.21</v>
      </c>
      <c r="H312" s="4" t="n">
        <v>62.63</v>
      </c>
      <c r="I312" s="4" t="n">
        <v>362.42</v>
      </c>
      <c r="J312" s="2" t="n">
        <v>30</v>
      </c>
      <c r="K312" s="4" t="n">
        <v>19.01</v>
      </c>
      <c r="L312" s="4" t="n">
        <v>108.47</v>
      </c>
      <c r="M312" s="4">
        <f>B312*(G312/100)*(J312/100)</f>
        <v/>
      </c>
      <c r="N312" s="4">
        <f>B312*(F312/360/100)*E312*(J312/100)</f>
        <v/>
      </c>
      <c r="O312" s="4">
        <f>K312-M312+L312-N312</f>
        <v/>
      </c>
    </row>
    <row r="313">
      <c r="A313" s="2" t="inlineStr">
        <is>
          <t>B86280513</t>
        </is>
      </c>
      <c r="B313" s="4" t="n">
        <v>218.07</v>
      </c>
      <c r="C313" s="3" t="n">
        <v>46035</v>
      </c>
      <c r="D313" s="3" t="n">
        <v>46227</v>
      </c>
      <c r="E313" s="2" t="n">
        <v>18</v>
      </c>
      <c r="F313" s="2" t="n">
        <v>44.23</v>
      </c>
      <c r="G313" s="2" t="n">
        <v>0.53</v>
      </c>
      <c r="H313" s="4" t="n">
        <v>1.16</v>
      </c>
      <c r="I313" s="4" t="n">
        <v>4.82</v>
      </c>
      <c r="J313" s="2" t="n">
        <v>50</v>
      </c>
      <c r="K313" s="4" t="n">
        <v>0.74</v>
      </c>
      <c r="L313" s="4" t="n">
        <v>2.16</v>
      </c>
      <c r="M313" s="4">
        <f>B313*(G313/100)*(J313/100)</f>
        <v/>
      </c>
      <c r="N313" s="4">
        <f>B313*(F313/360/100)*E313*(J313/100)</f>
        <v/>
      </c>
      <c r="O313" s="4">
        <f>K313-M313+L313-N313</f>
        <v/>
      </c>
    </row>
    <row r="314">
      <c r="A314" s="2" t="inlineStr">
        <is>
          <t>B53072229</t>
        </is>
      </c>
      <c r="B314" s="4" t="n">
        <v>459.23</v>
      </c>
      <c r="C314" s="3" t="n">
        <v>46050</v>
      </c>
      <c r="D314" s="3" t="n">
        <v>46211</v>
      </c>
      <c r="E314" s="2" t="n">
        <v>15</v>
      </c>
      <c r="F314" s="2" t="n">
        <v>42.27</v>
      </c>
      <c r="G314" s="2" t="n">
        <v>0.96</v>
      </c>
      <c r="H314" s="4" t="n">
        <v>4.41</v>
      </c>
      <c r="I314" s="4" t="n">
        <v>8.09</v>
      </c>
      <c r="J314" s="2" t="n">
        <v>50</v>
      </c>
      <c r="K314" s="4" t="n">
        <v>2.25</v>
      </c>
      <c r="L314" s="4" t="n">
        <v>3.87</v>
      </c>
      <c r="M314" s="4">
        <f>B314*(G314/100)*(J314/100)</f>
        <v/>
      </c>
      <c r="N314" s="4">
        <f>B314*(F314/360/100)*E314*(J314/100)</f>
        <v/>
      </c>
      <c r="O314" s="4">
        <f>K314-M314+L314-N314</f>
        <v/>
      </c>
    </row>
    <row r="315">
      <c r="A315" s="2" t="inlineStr">
        <is>
          <t>A84495282</t>
        </is>
      </c>
      <c r="B315" s="4" t="n">
        <v>340.18</v>
      </c>
      <c r="C315" s="3" t="n">
        <v>46041</v>
      </c>
      <c r="D315" s="3" t="n">
        <v>46207</v>
      </c>
      <c r="E315" s="2" t="n">
        <v>16</v>
      </c>
      <c r="F315" s="2" t="n">
        <v>18.55</v>
      </c>
      <c r="G315" s="2" t="n">
        <v>1.72</v>
      </c>
      <c r="H315" s="4" t="n">
        <v>5.85</v>
      </c>
      <c r="I315" s="4" t="n">
        <v>2.8</v>
      </c>
      <c r="J315" s="2" t="n">
        <v>60</v>
      </c>
      <c r="K315" s="4" t="n">
        <v>3.24</v>
      </c>
      <c r="L315" s="4" t="n">
        <v>1.7</v>
      </c>
      <c r="M315" s="4">
        <f>B315*(G315/100)*(J315/100)</f>
        <v/>
      </c>
      <c r="N315" s="4">
        <f>B315*(F315/360/100)*E315*(J315/100)</f>
        <v/>
      </c>
      <c r="O315" s="4">
        <f>K315-M315+L315-N315</f>
        <v/>
      </c>
    </row>
    <row r="316">
      <c r="A316" s="2" t="inlineStr">
        <is>
          <t>B97925328</t>
        </is>
      </c>
      <c r="B316" s="4" t="n">
        <v>946.96</v>
      </c>
      <c r="C316" s="3" t="n">
        <v>46029</v>
      </c>
      <c r="D316" s="3" t="n">
        <v>46095</v>
      </c>
      <c r="E316" s="2" t="n">
        <v>79</v>
      </c>
      <c r="F316" s="2" t="n">
        <v>46.6</v>
      </c>
      <c r="G316" s="2" t="n">
        <v>1.17</v>
      </c>
      <c r="H316" s="4" t="n">
        <v>11.08</v>
      </c>
      <c r="I316" s="4" t="n">
        <v>96.84</v>
      </c>
      <c r="J316" s="2" t="n">
        <v>60</v>
      </c>
      <c r="K316" s="4" t="n">
        <v>6.49</v>
      </c>
      <c r="L316" s="4" t="n">
        <v>57.87</v>
      </c>
      <c r="M316" s="4">
        <f>B316*(G316/100)*(J316/100)</f>
        <v/>
      </c>
      <c r="N316" s="4">
        <f>B316*(F316/360/100)*E316*(J316/100)</f>
        <v/>
      </c>
      <c r="O316" s="4">
        <f>K316-M316+L316-N316</f>
        <v/>
      </c>
    </row>
    <row r="317">
      <c r="A317" s="2" t="inlineStr">
        <is>
          <t>A48932627</t>
        </is>
      </c>
      <c r="B317" s="4" t="n">
        <v>1579.94</v>
      </c>
      <c r="C317" s="3" t="n">
        <v>46048</v>
      </c>
      <c r="D317" s="3" t="n">
        <v>46077</v>
      </c>
      <c r="E317" s="2" t="n">
        <v>58</v>
      </c>
      <c r="F317" s="2" t="n">
        <v>18.07</v>
      </c>
      <c r="G317" s="2" t="n">
        <v>1.23</v>
      </c>
      <c r="H317" s="4" t="n">
        <v>19.43</v>
      </c>
      <c r="I317" s="4" t="n">
        <v>46</v>
      </c>
      <c r="J317" s="2" t="n">
        <v>70</v>
      </c>
      <c r="K317" s="4" t="n">
        <v>13.71</v>
      </c>
      <c r="L317" s="4" t="n">
        <v>32.4</v>
      </c>
      <c r="M317" s="4">
        <f>B317*(G317/100)*(J317/100)</f>
        <v/>
      </c>
      <c r="N317" s="4">
        <f>B317*(F317/360/100)*E317*(J317/100)</f>
        <v/>
      </c>
      <c r="O317" s="4">
        <f>K317-M317+L317-N317</f>
        <v/>
      </c>
    </row>
    <row r="318">
      <c r="A318" s="2" t="inlineStr">
        <is>
          <t>B25621071</t>
        </is>
      </c>
      <c r="B318" s="4" t="n">
        <v>1811.95</v>
      </c>
      <c r="C318" s="3" t="n">
        <v>46047</v>
      </c>
      <c r="D318" s="3" t="n">
        <v>46070</v>
      </c>
      <c r="E318" s="2" t="n">
        <v>41</v>
      </c>
      <c r="F318" s="2" t="n">
        <v>32.5</v>
      </c>
      <c r="G318" s="2" t="n">
        <v>0.58</v>
      </c>
      <c r="H318" s="4" t="n">
        <v>10.51</v>
      </c>
      <c r="I318" s="4" t="n">
        <v>67.06999999999999</v>
      </c>
      <c r="J318" s="2" t="n">
        <v>50</v>
      </c>
      <c r="K318" s="4" t="n">
        <v>4.97</v>
      </c>
      <c r="L318" s="4" t="n">
        <v>33.6</v>
      </c>
      <c r="M318" s="4">
        <f>B318*(G318/100)*(J318/100)</f>
        <v/>
      </c>
      <c r="N318" s="4">
        <f>B318*(F318/360/100)*E318*(J318/100)</f>
        <v/>
      </c>
      <c r="O318" s="4">
        <f>K318-M318+L318-N318</f>
        <v/>
      </c>
    </row>
    <row r="319">
      <c r="A319" s="2" t="inlineStr">
        <is>
          <t>B17308366</t>
        </is>
      </c>
      <c r="B319" s="4" t="n">
        <v>3778.56</v>
      </c>
      <c r="C319" s="3" t="n">
        <v>46027</v>
      </c>
      <c r="D319" s="3" t="n">
        <v>46121</v>
      </c>
      <c r="E319" s="2" t="n">
        <v>85</v>
      </c>
      <c r="F319" s="2" t="n">
        <v>41.05</v>
      </c>
      <c r="G319" s="2" t="n">
        <v>1</v>
      </c>
      <c r="H319" s="4" t="n">
        <v>37.79</v>
      </c>
      <c r="I319" s="4" t="n">
        <v>366.23</v>
      </c>
      <c r="J319" s="2" t="n">
        <v>60</v>
      </c>
      <c r="K319" s="4" t="n">
        <v>22.46</v>
      </c>
      <c r="L319" s="4" t="n">
        <v>219.64</v>
      </c>
      <c r="M319" s="4">
        <f>B319*(G319/100)*(J319/100)</f>
        <v/>
      </c>
      <c r="N319" s="4">
        <f>B319*(F319/360/100)*E319*(J319/100)</f>
        <v/>
      </c>
      <c r="O319" s="4">
        <f>K319-M319+L319-N319</f>
        <v/>
      </c>
    </row>
    <row r="320">
      <c r="A320" s="2" t="inlineStr">
        <is>
          <t>A66571721</t>
        </is>
      </c>
      <c r="B320" s="4" t="n">
        <v>609.75</v>
      </c>
      <c r="C320" s="3" t="n">
        <v>46030</v>
      </c>
      <c r="D320" s="3" t="n">
        <v>46174</v>
      </c>
      <c r="E320" s="2" t="n">
        <v>27</v>
      </c>
      <c r="F320" s="2" t="n">
        <v>19.39</v>
      </c>
      <c r="G320" s="2" t="n">
        <v>0.83</v>
      </c>
      <c r="H320" s="4" t="n">
        <v>5.06</v>
      </c>
      <c r="I320" s="4" t="n">
        <v>8.869999999999999</v>
      </c>
      <c r="J320" s="2" t="n">
        <v>20</v>
      </c>
      <c r="K320" s="4" t="n">
        <v>0.82</v>
      </c>
      <c r="L320" s="4" t="n">
        <v>1.92</v>
      </c>
      <c r="M320" s="4">
        <f>B320*(G320/100)*(J320/100)</f>
        <v/>
      </c>
      <c r="N320" s="4">
        <f>B320*(F320/360/100)*E320*(J320/100)</f>
        <v/>
      </c>
      <c r="O320" s="4">
        <f>K320-M320+L320-N320</f>
        <v/>
      </c>
    </row>
    <row r="321">
      <c r="A321" s="2" t="inlineStr">
        <is>
          <t>A55635995</t>
        </is>
      </c>
      <c r="B321" s="4" t="n">
        <v>602.5</v>
      </c>
      <c r="C321" s="3" t="n">
        <v>46028</v>
      </c>
      <c r="D321" s="3" t="n">
        <v>46058</v>
      </c>
      <c r="E321" s="2" t="n">
        <v>45</v>
      </c>
      <c r="F321" s="2" t="n">
        <v>19.5</v>
      </c>
      <c r="G321" s="2" t="n">
        <v>2.11</v>
      </c>
      <c r="H321" s="4" t="n">
        <v>12.71</v>
      </c>
      <c r="I321" s="4" t="n">
        <v>14.69</v>
      </c>
      <c r="J321" s="2" t="n">
        <v>40</v>
      </c>
      <c r="K321" s="4" t="n">
        <v>5.11</v>
      </c>
      <c r="L321" s="4" t="n">
        <v>6.07</v>
      </c>
      <c r="M321" s="4">
        <f>B321*(G321/100)*(J321/100)</f>
        <v/>
      </c>
      <c r="N321" s="4">
        <f>B321*(F321/360/100)*E321*(J321/100)</f>
        <v/>
      </c>
      <c r="O321" s="4">
        <f>K321-M321+L321-N321</f>
        <v/>
      </c>
    </row>
    <row r="322">
      <c r="A322" s="2" t="inlineStr">
        <is>
          <t>A14442952</t>
        </is>
      </c>
      <c r="B322" s="4" t="n">
        <v>736.02</v>
      </c>
      <c r="C322" s="3" t="n">
        <v>46036</v>
      </c>
      <c r="D322" s="3" t="n">
        <v>46204</v>
      </c>
      <c r="E322" s="2" t="n">
        <v>77</v>
      </c>
      <c r="F322" s="2" t="n">
        <v>46.52</v>
      </c>
      <c r="G322" s="2" t="n">
        <v>0.53</v>
      </c>
      <c r="H322" s="4" t="n">
        <v>3.9</v>
      </c>
      <c r="I322" s="4" t="n">
        <v>73.23</v>
      </c>
      <c r="J322" s="2" t="n">
        <v>40</v>
      </c>
      <c r="K322" s="4" t="n">
        <v>1.78</v>
      </c>
      <c r="L322" s="4" t="n">
        <v>29.03</v>
      </c>
      <c r="M322" s="4">
        <f>B322*(G322/100)*(J322/100)</f>
        <v/>
      </c>
      <c r="N322" s="4">
        <f>B322*(F322/360/100)*E322*(J322/100)</f>
        <v/>
      </c>
      <c r="O322" s="4">
        <f>K322-M322+L322-N322</f>
        <v/>
      </c>
    </row>
    <row r="323">
      <c r="A323" s="2" t="inlineStr">
        <is>
          <t>B00867074</t>
        </is>
      </c>
      <c r="B323" s="4" t="n">
        <v>310.24</v>
      </c>
      <c r="C323" s="3" t="n">
        <v>46039</v>
      </c>
      <c r="D323" s="3" t="n">
        <v>46090</v>
      </c>
      <c r="E323" s="2" t="n">
        <v>32</v>
      </c>
      <c r="F323" s="2" t="n">
        <v>18.65</v>
      </c>
      <c r="G323" s="2" t="n">
        <v>2.42</v>
      </c>
      <c r="H323" s="4" t="n">
        <v>7.51</v>
      </c>
      <c r="I323" s="4" t="n">
        <v>5.14</v>
      </c>
      <c r="J323" s="2" t="n">
        <v>70</v>
      </c>
      <c r="K323" s="4" t="n">
        <v>5.44</v>
      </c>
      <c r="L323" s="4" t="n">
        <v>3.58</v>
      </c>
      <c r="M323" s="4">
        <f>B323*(G323/100)*(J323/100)</f>
        <v/>
      </c>
      <c r="N323" s="4">
        <f>B323*(F323/360/100)*E323*(J323/100)</f>
        <v/>
      </c>
      <c r="O323" s="4">
        <f>K323-M323+L323-N323</f>
        <v/>
      </c>
    </row>
    <row r="324">
      <c r="A324" s="2" t="inlineStr">
        <is>
          <t>A83320138</t>
        </is>
      </c>
      <c r="B324" s="4" t="n">
        <v>8018.52</v>
      </c>
      <c r="C324" s="3" t="n">
        <v>46026</v>
      </c>
      <c r="D324" s="3" t="n">
        <v>46161</v>
      </c>
      <c r="E324" s="2" t="n">
        <v>31</v>
      </c>
      <c r="F324" s="2" t="n">
        <v>44.58</v>
      </c>
      <c r="G324" s="2" t="n">
        <v>1.49</v>
      </c>
      <c r="H324" s="4" t="n">
        <v>119.48</v>
      </c>
      <c r="I324" s="4" t="n">
        <v>307.82</v>
      </c>
      <c r="J324" s="2" t="n">
        <v>50</v>
      </c>
      <c r="K324" s="4" t="n">
        <v>59.57</v>
      </c>
      <c r="L324" s="4" t="n">
        <v>153.78</v>
      </c>
      <c r="M324" s="4">
        <f>B324*(G324/100)*(J324/100)</f>
        <v/>
      </c>
      <c r="N324" s="4">
        <f>B324*(F324/360/100)*E324*(J324/100)</f>
        <v/>
      </c>
      <c r="O324" s="4">
        <f>K324-M324+L324-N324</f>
        <v/>
      </c>
    </row>
    <row r="325">
      <c r="A325" s="2" t="inlineStr">
        <is>
          <t>A40781447</t>
        </is>
      </c>
      <c r="B325" s="4" t="n">
        <v>920.4</v>
      </c>
      <c r="C325" s="3" t="n">
        <v>46044</v>
      </c>
      <c r="D325" s="3" t="n">
        <v>46228</v>
      </c>
      <c r="E325" s="2" t="n">
        <v>24</v>
      </c>
      <c r="F325" s="2" t="n">
        <v>46.79</v>
      </c>
      <c r="G325" s="2" t="n">
        <v>2.72</v>
      </c>
      <c r="H325" s="4" t="n">
        <v>25.03</v>
      </c>
      <c r="I325" s="4" t="n">
        <v>28.71</v>
      </c>
      <c r="J325" s="2" t="n">
        <v>40</v>
      </c>
      <c r="K325" s="4" t="n">
        <v>10.23</v>
      </c>
      <c r="L325" s="4" t="n">
        <v>11.72</v>
      </c>
      <c r="M325" s="4">
        <f>B325*(G325/100)*(J325/100)</f>
        <v/>
      </c>
      <c r="N325" s="4">
        <f>B325*(F325/360/100)*E325*(J325/100)</f>
        <v/>
      </c>
      <c r="O325" s="4">
        <f>K325-M325+L325-N325</f>
        <v/>
      </c>
    </row>
    <row r="326">
      <c r="A326" s="2" t="inlineStr">
        <is>
          <t>A58428781</t>
        </is>
      </c>
      <c r="B326" s="4" t="n">
        <v>4932.7</v>
      </c>
      <c r="C326" s="3" t="n">
        <v>46037</v>
      </c>
      <c r="D326" s="3" t="n">
        <v>46076</v>
      </c>
      <c r="E326" s="2" t="n">
        <v>64</v>
      </c>
      <c r="F326" s="2" t="n">
        <v>20.45</v>
      </c>
      <c r="G326" s="2" t="n">
        <v>1.46</v>
      </c>
      <c r="H326" s="4" t="n">
        <v>72.02</v>
      </c>
      <c r="I326" s="4" t="n">
        <v>179.33</v>
      </c>
      <c r="J326" s="2" t="n">
        <v>20</v>
      </c>
      <c r="K326" s="4" t="n">
        <v>14.53</v>
      </c>
      <c r="L326" s="4" t="n">
        <v>35.57</v>
      </c>
      <c r="M326" s="4">
        <f>B326*(G326/100)*(J326/100)</f>
        <v/>
      </c>
      <c r="N326" s="4">
        <f>B326*(F326/360/100)*E326*(J326/100)</f>
        <v/>
      </c>
      <c r="O326" s="4">
        <f>K326-M326+L326-N326</f>
        <v/>
      </c>
    </row>
    <row r="327">
      <c r="A327" s="2" t="inlineStr">
        <is>
          <t>B47822749</t>
        </is>
      </c>
      <c r="B327" s="4" t="n">
        <v>566.22</v>
      </c>
      <c r="C327" s="3" t="n">
        <v>46028</v>
      </c>
      <c r="D327" s="3" t="n">
        <v>46067</v>
      </c>
      <c r="E327" s="2" t="n">
        <v>12</v>
      </c>
      <c r="F327" s="2" t="n">
        <v>24.31</v>
      </c>
      <c r="G327" s="2" t="n">
        <v>2.51</v>
      </c>
      <c r="H327" s="4" t="n">
        <v>14.21</v>
      </c>
      <c r="I327" s="4" t="n">
        <v>4.59</v>
      </c>
      <c r="J327" s="2" t="n">
        <v>60</v>
      </c>
      <c r="K327" s="4" t="n">
        <v>8.57</v>
      </c>
      <c r="L327" s="4" t="n">
        <v>2.68</v>
      </c>
      <c r="M327" s="4">
        <f>B327*(G327/100)*(J327/100)</f>
        <v/>
      </c>
      <c r="N327" s="4">
        <f>B327*(F327/360/100)*E327*(J327/100)</f>
        <v/>
      </c>
      <c r="O327" s="4">
        <f>K327-M327+L327-N327</f>
        <v/>
      </c>
    </row>
    <row r="328">
      <c r="A328" s="2" t="inlineStr">
        <is>
          <t>B82570616</t>
        </is>
      </c>
      <c r="B328" s="4" t="n">
        <v>211.63</v>
      </c>
      <c r="C328" s="3" t="n">
        <v>46048</v>
      </c>
      <c r="D328" s="3" t="n">
        <v>46192</v>
      </c>
      <c r="E328" s="2" t="n">
        <v>28</v>
      </c>
      <c r="F328" s="2" t="n">
        <v>12.25</v>
      </c>
      <c r="G328" s="2" t="n">
        <v>1.61</v>
      </c>
      <c r="H328" s="4" t="n">
        <v>3.41</v>
      </c>
      <c r="I328" s="4" t="n">
        <v>2.02</v>
      </c>
      <c r="J328" s="2" t="n">
        <v>70</v>
      </c>
      <c r="K328" s="4" t="n">
        <v>2.33</v>
      </c>
      <c r="L328" s="4" t="n">
        <v>1.3</v>
      </c>
      <c r="M328" s="4">
        <f>B328*(G328/100)*(J328/100)</f>
        <v/>
      </c>
      <c r="N328" s="4">
        <f>B328*(F328/360/100)*E328*(J328/100)</f>
        <v/>
      </c>
      <c r="O328" s="4">
        <f>K328-M328+L328-N328</f>
        <v/>
      </c>
    </row>
    <row r="329">
      <c r="A329" s="2" t="inlineStr">
        <is>
          <t>A26442129</t>
        </is>
      </c>
      <c r="B329" s="4" t="n">
        <v>765.21</v>
      </c>
      <c r="C329" s="3" t="n">
        <v>46038</v>
      </c>
      <c r="D329" s="3" t="n">
        <v>46159</v>
      </c>
      <c r="E329" s="2" t="n">
        <v>43</v>
      </c>
      <c r="F329" s="2" t="n">
        <v>31.84</v>
      </c>
      <c r="G329" s="2" t="n">
        <v>2.21</v>
      </c>
      <c r="H329" s="4" t="n">
        <v>16.91</v>
      </c>
      <c r="I329" s="4" t="n">
        <v>29.1</v>
      </c>
      <c r="J329" s="2" t="n">
        <v>20</v>
      </c>
      <c r="K329" s="4" t="n">
        <v>3.16</v>
      </c>
      <c r="L329" s="4" t="n">
        <v>5.72</v>
      </c>
      <c r="M329" s="4">
        <f>B329*(G329/100)*(J329/100)</f>
        <v/>
      </c>
      <c r="N329" s="4">
        <f>B329*(F329/360/100)*E329*(J329/100)</f>
        <v/>
      </c>
      <c r="O329" s="4">
        <f>K329-M329+L329-N329</f>
        <v/>
      </c>
    </row>
    <row r="330">
      <c r="A330" s="2" t="inlineStr">
        <is>
          <t>A12267650</t>
        </is>
      </c>
      <c r="B330" s="4" t="n">
        <v>418.06</v>
      </c>
      <c r="C330" s="3" t="n">
        <v>46049</v>
      </c>
      <c r="D330" s="3" t="n">
        <v>46181</v>
      </c>
      <c r="E330" s="2" t="n">
        <v>41</v>
      </c>
      <c r="F330" s="2" t="n">
        <v>36.4</v>
      </c>
      <c r="G330" s="2" t="n">
        <v>2.08</v>
      </c>
      <c r="H330" s="4" t="n">
        <v>8.699999999999999</v>
      </c>
      <c r="I330" s="4" t="n">
        <v>17.33</v>
      </c>
      <c r="J330" s="2" t="n">
        <v>60</v>
      </c>
      <c r="K330" s="4" t="n">
        <v>4.98</v>
      </c>
      <c r="L330" s="4" t="n">
        <v>10.18</v>
      </c>
      <c r="M330" s="4">
        <f>B330*(G330/100)*(J330/100)</f>
        <v/>
      </c>
      <c r="N330" s="4">
        <f>B330*(F330/360/100)*E330*(J330/100)</f>
        <v/>
      </c>
      <c r="O330" s="4">
        <f>K330-M330+L330-N330</f>
        <v/>
      </c>
    </row>
    <row r="331">
      <c r="A331" s="2" t="inlineStr">
        <is>
          <t>A34745644</t>
        </is>
      </c>
      <c r="B331" s="4" t="n">
        <v>313.65</v>
      </c>
      <c r="C331" s="3" t="n">
        <v>46037</v>
      </c>
      <c r="D331" s="3" t="n">
        <v>46214</v>
      </c>
      <c r="E331" s="2" t="n">
        <v>22</v>
      </c>
      <c r="F331" s="2" t="n">
        <v>34.89</v>
      </c>
      <c r="G331" s="2" t="n">
        <v>2.4</v>
      </c>
      <c r="H331" s="4" t="n">
        <v>7.53</v>
      </c>
      <c r="I331" s="4" t="n">
        <v>6.69</v>
      </c>
      <c r="J331" s="2" t="n">
        <v>40</v>
      </c>
      <c r="K331" s="4" t="n">
        <v>2.93</v>
      </c>
      <c r="L331" s="4" t="n">
        <v>2.73</v>
      </c>
      <c r="M331" s="4">
        <f>B331*(G331/100)*(J331/100)</f>
        <v/>
      </c>
      <c r="N331" s="4">
        <f>B331*(F331/360/100)*E331*(J331/100)</f>
        <v/>
      </c>
      <c r="O331" s="4">
        <f>K331-M331+L331-N331</f>
        <v/>
      </c>
    </row>
    <row r="332">
      <c r="A332" s="2" t="inlineStr">
        <is>
          <t>A23080403</t>
        </is>
      </c>
      <c r="B332" s="4" t="n">
        <v>518.8200000000001</v>
      </c>
      <c r="C332" s="3" t="n">
        <v>46044</v>
      </c>
      <c r="D332" s="3" t="n">
        <v>46104</v>
      </c>
      <c r="E332" s="2" t="n">
        <v>61</v>
      </c>
      <c r="F332" s="2" t="n">
        <v>38.25</v>
      </c>
      <c r="G332" s="2" t="n">
        <v>1.48</v>
      </c>
      <c r="H332" s="4" t="n">
        <v>7.68</v>
      </c>
      <c r="I332" s="4" t="n">
        <v>33.63</v>
      </c>
      <c r="J332" s="2" t="n">
        <v>30</v>
      </c>
      <c r="K332" s="4" t="n">
        <v>2.47</v>
      </c>
      <c r="L332" s="4" t="n">
        <v>10.07</v>
      </c>
      <c r="M332" s="4">
        <f>B332*(G332/100)*(J332/100)</f>
        <v/>
      </c>
      <c r="N332" s="4">
        <f>B332*(F332/360/100)*E332*(J332/100)</f>
        <v/>
      </c>
      <c r="O332" s="4">
        <f>K332-M332+L332-N332</f>
        <v/>
      </c>
    </row>
    <row r="333">
      <c r="A333" s="2" t="inlineStr">
        <is>
          <t>B03779904</t>
        </is>
      </c>
      <c r="B333" s="4" t="n">
        <v>8813.629999999999</v>
      </c>
      <c r="C333" s="3" t="n">
        <v>46037</v>
      </c>
      <c r="D333" s="3" t="n">
        <v>46102</v>
      </c>
      <c r="E333" s="2" t="n">
        <v>48</v>
      </c>
      <c r="F333" s="2" t="n">
        <v>46.5</v>
      </c>
      <c r="G333" s="2" t="n">
        <v>1.72</v>
      </c>
      <c r="H333" s="4" t="n">
        <v>151.59</v>
      </c>
      <c r="I333" s="4" t="n">
        <v>546.45</v>
      </c>
      <c r="J333" s="2" t="n">
        <v>20</v>
      </c>
      <c r="K333" s="4" t="n">
        <v>30.33</v>
      </c>
      <c r="L333" s="4" t="n">
        <v>109.07</v>
      </c>
      <c r="M333" s="4">
        <f>B333*(G333/100)*(J333/100)</f>
        <v/>
      </c>
      <c r="N333" s="4">
        <f>B333*(F333/360/100)*E333*(J333/100)</f>
        <v/>
      </c>
      <c r="O333" s="4">
        <f>K333-M333+L333-N333</f>
        <v/>
      </c>
    </row>
    <row r="334">
      <c r="A334" s="2" t="inlineStr">
        <is>
          <t>B29630838</t>
        </is>
      </c>
      <c r="B334" s="4" t="n">
        <v>3773.55</v>
      </c>
      <c r="C334" s="3" t="n">
        <v>46035</v>
      </c>
      <c r="D334" s="3" t="n">
        <v>46131</v>
      </c>
      <c r="E334" s="2" t="n">
        <v>43</v>
      </c>
      <c r="F334" s="2" t="n">
        <v>49.96</v>
      </c>
      <c r="G334" s="2" t="n">
        <v>1.2</v>
      </c>
      <c r="H334" s="4" t="n">
        <v>45.28</v>
      </c>
      <c r="I334" s="4" t="n">
        <v>225.18</v>
      </c>
      <c r="J334" s="2" t="n">
        <v>70</v>
      </c>
      <c r="K334" s="4" t="n">
        <v>31.42</v>
      </c>
      <c r="L334" s="4" t="n">
        <v>157.85</v>
      </c>
      <c r="M334" s="4">
        <f>B334*(G334/100)*(J334/100)</f>
        <v/>
      </c>
      <c r="N334" s="4">
        <f>B334*(F334/360/100)*E334*(J334/100)</f>
        <v/>
      </c>
      <c r="O334" s="4">
        <f>K334-M334+L334-N334</f>
        <v/>
      </c>
    </row>
    <row r="335">
      <c r="A335" s="2" t="inlineStr">
        <is>
          <t>A99313980</t>
        </is>
      </c>
      <c r="B335" s="4" t="n">
        <v>5709.15</v>
      </c>
      <c r="C335" s="3" t="n">
        <v>46036</v>
      </c>
      <c r="D335" s="3" t="n">
        <v>46210</v>
      </c>
      <c r="E335" s="2" t="n">
        <v>90</v>
      </c>
      <c r="F335" s="2" t="n">
        <v>13.36</v>
      </c>
      <c r="G335" s="2" t="n">
        <v>2.54</v>
      </c>
      <c r="H335" s="4" t="n">
        <v>145.01</v>
      </c>
      <c r="I335" s="4" t="n">
        <v>190.69</v>
      </c>
      <c r="J335" s="2" t="n">
        <v>30</v>
      </c>
      <c r="K335" s="4" t="n">
        <v>43.76</v>
      </c>
      <c r="L335" s="4" t="n">
        <v>57.33</v>
      </c>
      <c r="M335" s="4">
        <f>B335*(G335/100)*(J335/100)</f>
        <v/>
      </c>
      <c r="N335" s="4">
        <f>B335*(F335/360/100)*E335*(J335/100)</f>
        <v/>
      </c>
      <c r="O335" s="4">
        <f>K335-M335+L335-N335</f>
        <v/>
      </c>
    </row>
    <row r="336">
      <c r="A336" s="2" t="inlineStr">
        <is>
          <t>A34745644</t>
        </is>
      </c>
      <c r="B336" s="4" t="n">
        <v>8318.690000000001</v>
      </c>
      <c r="C336" s="3" t="n">
        <v>46032</v>
      </c>
      <c r="D336" s="3" t="n">
        <v>46165</v>
      </c>
      <c r="E336" s="2" t="n">
        <v>71</v>
      </c>
      <c r="F336" s="2" t="n">
        <v>15.29</v>
      </c>
      <c r="G336" s="2" t="n">
        <v>1.85</v>
      </c>
      <c r="H336" s="4" t="n">
        <v>153.9</v>
      </c>
      <c r="I336" s="4" t="n">
        <v>250.85</v>
      </c>
      <c r="J336" s="2" t="n">
        <v>30</v>
      </c>
      <c r="K336" s="4" t="n">
        <v>46.31</v>
      </c>
      <c r="L336" s="4" t="n">
        <v>75.29000000000001</v>
      </c>
      <c r="M336" s="4">
        <f>B336*(G336/100)*(J336/100)</f>
        <v/>
      </c>
      <c r="N336" s="4">
        <f>B336*(F336/360/100)*E336*(J336/100)</f>
        <v/>
      </c>
      <c r="O336" s="4">
        <f>K336-M336+L336-N336</f>
        <v/>
      </c>
    </row>
    <row r="337">
      <c r="A337" s="2" t="inlineStr">
        <is>
          <t>A92770694</t>
        </is>
      </c>
      <c r="B337" s="4" t="n">
        <v>961.25</v>
      </c>
      <c r="C337" s="3" t="n">
        <v>46050</v>
      </c>
      <c r="D337" s="3" t="n">
        <v>46145</v>
      </c>
      <c r="E337" s="2" t="n">
        <v>86</v>
      </c>
      <c r="F337" s="2" t="n">
        <v>44.54</v>
      </c>
      <c r="G337" s="2" t="n">
        <v>0.88</v>
      </c>
      <c r="H337" s="4" t="n">
        <v>8.460000000000001</v>
      </c>
      <c r="I337" s="4" t="n">
        <v>102.28</v>
      </c>
      <c r="J337" s="2" t="n">
        <v>60</v>
      </c>
      <c r="K337" s="4" t="n">
        <v>5.13</v>
      </c>
      <c r="L337" s="4" t="n">
        <v>61.09</v>
      </c>
      <c r="M337" s="4">
        <f>B337*(G337/100)*(J337/100)</f>
        <v/>
      </c>
      <c r="N337" s="4">
        <f>B337*(F337/360/100)*E337*(J337/100)</f>
        <v/>
      </c>
      <c r="O337" s="4">
        <f>K337-M337+L337-N337</f>
        <v/>
      </c>
    </row>
    <row r="338">
      <c r="A338" s="2" t="inlineStr">
        <is>
          <t>A53939208</t>
        </is>
      </c>
      <c r="B338" s="4" t="n">
        <v>556.78</v>
      </c>
      <c r="C338" s="3" t="n">
        <v>46027</v>
      </c>
      <c r="D338" s="3" t="n">
        <v>46206</v>
      </c>
      <c r="E338" s="2" t="n">
        <v>37</v>
      </c>
      <c r="F338" s="2" t="n">
        <v>23.71</v>
      </c>
      <c r="G338" s="2" t="n">
        <v>0.87</v>
      </c>
      <c r="H338" s="4" t="n">
        <v>4.84</v>
      </c>
      <c r="I338" s="4" t="n">
        <v>13.57</v>
      </c>
      <c r="J338" s="2" t="n">
        <v>60</v>
      </c>
      <c r="K338" s="4" t="n">
        <v>2.74</v>
      </c>
      <c r="L338" s="4" t="n">
        <v>8.25</v>
      </c>
      <c r="M338" s="4">
        <f>B338*(G338/100)*(J338/100)</f>
        <v/>
      </c>
      <c r="N338" s="4">
        <f>B338*(F338/360/100)*E338*(J338/100)</f>
        <v/>
      </c>
      <c r="O338" s="4">
        <f>K338-M338+L338-N338</f>
        <v/>
      </c>
    </row>
    <row r="339">
      <c r="A339" s="2" t="inlineStr">
        <is>
          <t>A95973707</t>
        </is>
      </c>
      <c r="B339" s="4" t="n">
        <v>895.55</v>
      </c>
      <c r="C339" s="3" t="n">
        <v>46029</v>
      </c>
      <c r="D339" s="3" t="n">
        <v>46208</v>
      </c>
      <c r="E339" s="2" t="n">
        <v>54</v>
      </c>
      <c r="F339" s="2" t="n">
        <v>24.75</v>
      </c>
      <c r="G339" s="2" t="n">
        <v>2.81</v>
      </c>
      <c r="H339" s="4" t="n">
        <v>25.16</v>
      </c>
      <c r="I339" s="4" t="n">
        <v>33.25</v>
      </c>
      <c r="J339" s="2" t="n">
        <v>30</v>
      </c>
      <c r="K339" s="4" t="n">
        <v>7.34</v>
      </c>
      <c r="L339" s="4" t="n">
        <v>10.17</v>
      </c>
      <c r="M339" s="4">
        <f>B339*(G339/100)*(J339/100)</f>
        <v/>
      </c>
      <c r="N339" s="4">
        <f>B339*(F339/360/100)*E339*(J339/100)</f>
        <v/>
      </c>
      <c r="O339" s="4">
        <f>K339-M339+L339-N339</f>
        <v/>
      </c>
    </row>
    <row r="340">
      <c r="A340" s="2" t="inlineStr">
        <is>
          <t>B00867074</t>
        </is>
      </c>
      <c r="B340" s="4" t="n">
        <v>4756.09</v>
      </c>
      <c r="C340" s="3" t="n">
        <v>46047</v>
      </c>
      <c r="D340" s="3" t="n">
        <v>46081</v>
      </c>
      <c r="E340" s="2" t="n">
        <v>89</v>
      </c>
      <c r="F340" s="2" t="n">
        <v>27.62</v>
      </c>
      <c r="G340" s="2" t="n">
        <v>2.85</v>
      </c>
      <c r="H340" s="4" t="n">
        <v>135.55</v>
      </c>
      <c r="I340" s="4" t="n">
        <v>324.76</v>
      </c>
      <c r="J340" s="2" t="n">
        <v>70</v>
      </c>
      <c r="K340" s="4" t="n">
        <v>94.8</v>
      </c>
      <c r="L340" s="4" t="n">
        <v>227.14</v>
      </c>
      <c r="M340" s="4">
        <f>B340*(G340/100)*(J340/100)</f>
        <v/>
      </c>
      <c r="N340" s="4">
        <f>B340*(F340/360/100)*E340*(J340/100)</f>
        <v/>
      </c>
      <c r="O340" s="4">
        <f>K340-M340+L340-N340</f>
        <v/>
      </c>
    </row>
    <row r="341">
      <c r="A341" s="2" t="inlineStr">
        <is>
          <t>B00802970</t>
        </is>
      </c>
      <c r="B341" s="4" t="n">
        <v>957.8099999999999</v>
      </c>
      <c r="C341" s="3" t="n">
        <v>46041</v>
      </c>
      <c r="D341" s="3" t="n">
        <v>46109</v>
      </c>
      <c r="E341" s="2" t="n">
        <v>56</v>
      </c>
      <c r="F341" s="2" t="n">
        <v>19.53</v>
      </c>
      <c r="G341" s="2" t="n">
        <v>0.77</v>
      </c>
      <c r="H341" s="4" t="n">
        <v>7.38</v>
      </c>
      <c r="I341" s="4" t="n">
        <v>29.1</v>
      </c>
      <c r="J341" s="2" t="n">
        <v>70</v>
      </c>
      <c r="K341" s="4" t="n">
        <v>4.9</v>
      </c>
      <c r="L341" s="4" t="n">
        <v>20.34</v>
      </c>
      <c r="M341" s="4">
        <f>B341*(G341/100)*(J341/100)</f>
        <v/>
      </c>
      <c r="N341" s="4">
        <f>B341*(F341/360/100)*E341*(J341/100)</f>
        <v/>
      </c>
      <c r="O341" s="4">
        <f>K341-M341+L341-N341</f>
        <v/>
      </c>
    </row>
    <row r="342">
      <c r="A342" s="2" t="inlineStr">
        <is>
          <t>A77907628</t>
        </is>
      </c>
      <c r="B342" s="4" t="n">
        <v>5805.74</v>
      </c>
      <c r="C342" s="3" t="n">
        <v>46032</v>
      </c>
      <c r="D342" s="3" t="n">
        <v>46177</v>
      </c>
      <c r="E342" s="2" t="n">
        <v>40</v>
      </c>
      <c r="F342" s="2" t="n">
        <v>34</v>
      </c>
      <c r="G342" s="2" t="n">
        <v>2.27</v>
      </c>
      <c r="H342" s="4" t="n">
        <v>131.79</v>
      </c>
      <c r="I342" s="4" t="n">
        <v>219.33</v>
      </c>
      <c r="J342" s="2" t="n">
        <v>40</v>
      </c>
      <c r="K342" s="4" t="n">
        <v>52.85</v>
      </c>
      <c r="L342" s="4" t="n">
        <v>87.63</v>
      </c>
      <c r="M342" s="4">
        <f>B342*(G342/100)*(J342/100)</f>
        <v/>
      </c>
      <c r="N342" s="4">
        <f>B342*(F342/360/100)*E342*(J342/100)</f>
        <v/>
      </c>
      <c r="O342" s="4">
        <f>K342-M342+L342-N342</f>
        <v/>
      </c>
    </row>
    <row r="343">
      <c r="A343" s="2" t="inlineStr">
        <is>
          <t>B23345947</t>
        </is>
      </c>
      <c r="B343" s="4" t="n">
        <v>531.76</v>
      </c>
      <c r="C343" s="3" t="n">
        <v>46036</v>
      </c>
      <c r="D343" s="3" t="n">
        <v>46226</v>
      </c>
      <c r="E343" s="2" t="n">
        <v>21</v>
      </c>
      <c r="F343" s="2" t="n">
        <v>13.89</v>
      </c>
      <c r="G343" s="2" t="n">
        <v>1.16</v>
      </c>
      <c r="H343" s="4" t="n">
        <v>6.17</v>
      </c>
      <c r="I343" s="4" t="n">
        <v>4.31</v>
      </c>
      <c r="J343" s="2" t="n">
        <v>40</v>
      </c>
      <c r="K343" s="4" t="n">
        <v>2.18</v>
      </c>
      <c r="L343" s="4" t="n">
        <v>1.84</v>
      </c>
      <c r="M343" s="4">
        <f>B343*(G343/100)*(J343/100)</f>
        <v/>
      </c>
      <c r="N343" s="4">
        <f>B343*(F343/360/100)*E343*(J343/100)</f>
        <v/>
      </c>
      <c r="O343" s="4">
        <f>K343-M343+L343-N343</f>
        <v/>
      </c>
    </row>
    <row r="344">
      <c r="A344" s="2" t="inlineStr">
        <is>
          <t>B87338676</t>
        </is>
      </c>
      <c r="B344" s="4" t="n">
        <v>912.51</v>
      </c>
      <c r="C344" s="3" t="n">
        <v>46044</v>
      </c>
      <c r="D344" s="3" t="n">
        <v>46118</v>
      </c>
      <c r="E344" s="2" t="n">
        <v>75</v>
      </c>
      <c r="F344" s="2" t="n">
        <v>17.75</v>
      </c>
      <c r="G344" s="2" t="n">
        <v>1.76</v>
      </c>
      <c r="H344" s="4" t="n">
        <v>16.06</v>
      </c>
      <c r="I344" s="4" t="n">
        <v>33.74</v>
      </c>
      <c r="J344" s="2" t="n">
        <v>30</v>
      </c>
      <c r="K344" s="4" t="n">
        <v>5.07</v>
      </c>
      <c r="L344" s="4" t="n">
        <v>10.28</v>
      </c>
      <c r="M344" s="4">
        <f>B344*(G344/100)*(J344/100)</f>
        <v/>
      </c>
      <c r="N344" s="4">
        <f>B344*(F344/360/100)*E344*(J344/100)</f>
        <v/>
      </c>
      <c r="O344" s="4">
        <f>K344-M344+L344-N344</f>
        <v/>
      </c>
    </row>
    <row r="345">
      <c r="A345" s="2" t="inlineStr">
        <is>
          <t>B64207507</t>
        </is>
      </c>
      <c r="B345" s="4" t="n">
        <v>238</v>
      </c>
      <c r="C345" s="3" t="n">
        <v>46041</v>
      </c>
      <c r="D345" s="3" t="n">
        <v>46216</v>
      </c>
      <c r="E345" s="2" t="n">
        <v>45</v>
      </c>
      <c r="F345" s="2" t="n">
        <v>16.04</v>
      </c>
      <c r="G345" s="2" t="n">
        <v>1.98</v>
      </c>
      <c r="H345" s="4" t="n">
        <v>4.71</v>
      </c>
      <c r="I345" s="4" t="n">
        <v>4.77</v>
      </c>
      <c r="J345" s="2" t="n">
        <v>50</v>
      </c>
      <c r="K345" s="4" t="n">
        <v>2.24</v>
      </c>
      <c r="L345" s="4" t="n">
        <v>2.65</v>
      </c>
      <c r="M345" s="4">
        <f>B345*(G345/100)*(J345/100)</f>
        <v/>
      </c>
      <c r="N345" s="4">
        <f>B345*(F345/360/100)*E345*(J345/100)</f>
        <v/>
      </c>
      <c r="O345" s="4">
        <f>K345-M345+L345-N345</f>
        <v/>
      </c>
    </row>
    <row r="346">
      <c r="A346" s="2" t="inlineStr">
        <is>
          <t>B50737749</t>
        </is>
      </c>
      <c r="B346" s="4" t="n">
        <v>504.32</v>
      </c>
      <c r="C346" s="3" t="n">
        <v>46024</v>
      </c>
      <c r="D346" s="3" t="n">
        <v>46120</v>
      </c>
      <c r="E346" s="2" t="n">
        <v>69</v>
      </c>
      <c r="F346" s="2" t="n">
        <v>46.2</v>
      </c>
      <c r="G346" s="2" t="n">
        <v>2.97</v>
      </c>
      <c r="H346" s="4" t="n">
        <v>14.98</v>
      </c>
      <c r="I346" s="4" t="n">
        <v>44.66</v>
      </c>
      <c r="J346" s="2" t="n">
        <v>40</v>
      </c>
      <c r="K346" s="4" t="n">
        <v>6.25</v>
      </c>
      <c r="L346" s="4" t="n">
        <v>17.59</v>
      </c>
      <c r="M346" s="4">
        <f>B346*(G346/100)*(J346/100)</f>
        <v/>
      </c>
      <c r="N346" s="4">
        <f>B346*(F346/360/100)*E346*(J346/100)</f>
        <v/>
      </c>
      <c r="O346" s="4">
        <f>K346-M346+L346-N346</f>
        <v/>
      </c>
    </row>
    <row r="347">
      <c r="A347" s="2" t="inlineStr">
        <is>
          <t>A31637699</t>
        </is>
      </c>
      <c r="B347" s="4" t="n">
        <v>659.4</v>
      </c>
      <c r="C347" s="3" t="n">
        <v>46035</v>
      </c>
      <c r="D347" s="3" t="n">
        <v>46218</v>
      </c>
      <c r="E347" s="2" t="n">
        <v>79</v>
      </c>
      <c r="F347" s="2" t="n">
        <v>40.52</v>
      </c>
      <c r="G347" s="2" t="n">
        <v>1.61</v>
      </c>
      <c r="H347" s="4" t="n">
        <v>10.62</v>
      </c>
      <c r="I347" s="4" t="n">
        <v>58.63</v>
      </c>
      <c r="J347" s="2" t="n">
        <v>70</v>
      </c>
      <c r="K347" s="4" t="n">
        <v>7.53</v>
      </c>
      <c r="L347" s="4" t="n">
        <v>40.8</v>
      </c>
      <c r="M347" s="4">
        <f>B347*(G347/100)*(J347/100)</f>
        <v/>
      </c>
      <c r="N347" s="4">
        <f>B347*(F347/360/100)*E347*(J347/100)</f>
        <v/>
      </c>
      <c r="O347" s="4">
        <f>K347-M347+L347-N347</f>
        <v/>
      </c>
    </row>
    <row r="348">
      <c r="A348" s="2" t="inlineStr">
        <is>
          <t>B81360692</t>
        </is>
      </c>
      <c r="B348" s="4" t="n">
        <v>666.64</v>
      </c>
      <c r="C348" s="3" t="n">
        <v>46046</v>
      </c>
      <c r="D348" s="3" t="n">
        <v>46138</v>
      </c>
      <c r="E348" s="2" t="n">
        <v>19</v>
      </c>
      <c r="F348" s="2" t="n">
        <v>16.41</v>
      </c>
      <c r="G348" s="2" t="n">
        <v>2.46</v>
      </c>
      <c r="H348" s="4" t="n">
        <v>16.4</v>
      </c>
      <c r="I348" s="4" t="n">
        <v>5.77</v>
      </c>
      <c r="J348" s="2" t="n">
        <v>30</v>
      </c>
      <c r="K348" s="4" t="n">
        <v>4.97</v>
      </c>
      <c r="L348" s="4" t="n">
        <v>2</v>
      </c>
      <c r="M348" s="4">
        <f>B348*(G348/100)*(J348/100)</f>
        <v/>
      </c>
      <c r="N348" s="4">
        <f>B348*(F348/360/100)*E348*(J348/100)</f>
        <v/>
      </c>
      <c r="O348" s="4">
        <f>K348-M348+L348-N348</f>
        <v/>
      </c>
    </row>
    <row r="349">
      <c r="A349" s="2" t="inlineStr">
        <is>
          <t>B16492856</t>
        </is>
      </c>
      <c r="B349" s="4" t="n">
        <v>662.61</v>
      </c>
      <c r="C349" s="3" t="n">
        <v>46038</v>
      </c>
      <c r="D349" s="3" t="n">
        <v>46062</v>
      </c>
      <c r="E349" s="2" t="n">
        <v>30</v>
      </c>
      <c r="F349" s="2" t="n">
        <v>12.01</v>
      </c>
      <c r="G349" s="2" t="n">
        <v>0.75</v>
      </c>
      <c r="H349" s="4" t="n">
        <v>4.97</v>
      </c>
      <c r="I349" s="4" t="n">
        <v>6.63</v>
      </c>
      <c r="J349" s="2" t="n">
        <v>50</v>
      </c>
      <c r="K349" s="4" t="n">
        <v>2.27</v>
      </c>
      <c r="L349" s="4" t="n">
        <v>3.25</v>
      </c>
      <c r="M349" s="4">
        <f>B349*(G349/100)*(J349/100)</f>
        <v/>
      </c>
      <c r="N349" s="4">
        <f>B349*(F349/360/100)*E349*(J349/100)</f>
        <v/>
      </c>
      <c r="O349" s="4">
        <f>K349-M349+L349-N349</f>
        <v/>
      </c>
    </row>
    <row r="350">
      <c r="A350" s="2" t="inlineStr">
        <is>
          <t>A75740798</t>
        </is>
      </c>
      <c r="B350" s="4" t="n">
        <v>688.45</v>
      </c>
      <c r="C350" s="3" t="n">
        <v>46025</v>
      </c>
      <c r="D350" s="3" t="n">
        <v>46083</v>
      </c>
      <c r="E350" s="2" t="n">
        <v>44</v>
      </c>
      <c r="F350" s="2" t="n">
        <v>45.72</v>
      </c>
      <c r="G350" s="2" t="n">
        <v>2.77</v>
      </c>
      <c r="H350" s="4" t="n">
        <v>19.07</v>
      </c>
      <c r="I350" s="4" t="n">
        <v>38.47</v>
      </c>
      <c r="J350" s="2" t="n">
        <v>30</v>
      </c>
      <c r="K350" s="4" t="n">
        <v>5.46</v>
      </c>
      <c r="L350" s="4" t="n">
        <v>11.56</v>
      </c>
      <c r="M350" s="4">
        <f>B350*(G350/100)*(J350/100)</f>
        <v/>
      </c>
      <c r="N350" s="4">
        <f>B350*(F350/360/100)*E350*(J350/100)</f>
        <v/>
      </c>
      <c r="O350" s="4">
        <f>K350-M350+L350-N350</f>
        <v/>
      </c>
    </row>
    <row r="351">
      <c r="A351" s="2" t="inlineStr">
        <is>
          <t>A06023272</t>
        </is>
      </c>
      <c r="B351" s="4" t="n">
        <v>9163.77</v>
      </c>
      <c r="C351" s="3" t="n">
        <v>46023</v>
      </c>
      <c r="D351" s="3" t="n">
        <v>46144</v>
      </c>
      <c r="E351" s="2" t="n">
        <v>36</v>
      </c>
      <c r="F351" s="2" t="n">
        <v>20.63</v>
      </c>
      <c r="G351" s="2" t="n">
        <v>2.24</v>
      </c>
      <c r="H351" s="4" t="n">
        <v>205.27</v>
      </c>
      <c r="I351" s="4" t="n">
        <v>189.05</v>
      </c>
      <c r="J351" s="2" t="n">
        <v>30</v>
      </c>
      <c r="K351" s="4" t="n">
        <v>61.74</v>
      </c>
      <c r="L351" s="4" t="n">
        <v>56.45</v>
      </c>
      <c r="M351" s="4">
        <f>B351*(G351/100)*(J351/100)</f>
        <v/>
      </c>
      <c r="N351" s="4">
        <f>B351*(F351/360/100)*E351*(J351/100)</f>
        <v/>
      </c>
      <c r="O351" s="4">
        <f>K351-M351+L351-N351</f>
        <v/>
      </c>
    </row>
    <row r="352">
      <c r="A352" s="2" t="inlineStr">
        <is>
          <t>B21061059</t>
        </is>
      </c>
      <c r="B352" s="4" t="n">
        <v>684.03</v>
      </c>
      <c r="C352" s="3" t="n">
        <v>46042</v>
      </c>
      <c r="D352" s="3" t="n">
        <v>46151</v>
      </c>
      <c r="E352" s="2" t="n">
        <v>41</v>
      </c>
      <c r="F352" s="2" t="n">
        <v>26.46</v>
      </c>
      <c r="G352" s="2" t="n">
        <v>0.83</v>
      </c>
      <c r="H352" s="4" t="n">
        <v>5.68</v>
      </c>
      <c r="I352" s="4" t="n">
        <v>20.61</v>
      </c>
      <c r="J352" s="2" t="n">
        <v>20</v>
      </c>
      <c r="K352" s="4" t="n">
        <v>1.39</v>
      </c>
      <c r="L352" s="4" t="n">
        <v>4.4</v>
      </c>
      <c r="M352" s="4">
        <f>B352*(G352/100)*(J352/100)</f>
        <v/>
      </c>
      <c r="N352" s="4">
        <f>B352*(F352/360/100)*E352*(J352/100)</f>
        <v/>
      </c>
      <c r="O352" s="4">
        <f>K352-M352+L352-N352</f>
        <v/>
      </c>
    </row>
    <row r="353">
      <c r="A353" s="2" t="inlineStr">
        <is>
          <t>B50958875</t>
        </is>
      </c>
      <c r="B353" s="4" t="n">
        <v>981.53</v>
      </c>
      <c r="C353" s="3" t="n">
        <v>46033</v>
      </c>
      <c r="D353" s="3" t="n">
        <v>46092</v>
      </c>
      <c r="E353" s="2" t="n">
        <v>42</v>
      </c>
      <c r="F353" s="2" t="n">
        <v>48.6</v>
      </c>
      <c r="G353" s="2" t="n">
        <v>1.71</v>
      </c>
      <c r="H353" s="4" t="n">
        <v>16.78</v>
      </c>
      <c r="I353" s="4" t="n">
        <v>55.65</v>
      </c>
      <c r="J353" s="2" t="n">
        <v>60</v>
      </c>
      <c r="K353" s="4" t="n">
        <v>10.04</v>
      </c>
      <c r="L353" s="4" t="n">
        <v>33.31</v>
      </c>
      <c r="M353" s="4">
        <f>B353*(G353/100)*(J353/100)</f>
        <v/>
      </c>
      <c r="N353" s="4">
        <f>B353*(F353/360/100)*E353*(J353/100)</f>
        <v/>
      </c>
      <c r="O353" s="4">
        <f>K353-M353+L353-N353</f>
        <v/>
      </c>
    </row>
    <row r="354">
      <c r="A354" s="2" t="inlineStr">
        <is>
          <t>A82817723</t>
        </is>
      </c>
      <c r="B354" s="4" t="n">
        <v>157.89</v>
      </c>
      <c r="C354" s="3" t="n">
        <v>46042</v>
      </c>
      <c r="D354" s="3" t="n">
        <v>46212</v>
      </c>
      <c r="E354" s="2" t="n">
        <v>11</v>
      </c>
      <c r="F354" s="2" t="n">
        <v>42.94</v>
      </c>
      <c r="G354" s="2" t="n">
        <v>2.04</v>
      </c>
      <c r="H354" s="4" t="n">
        <v>3.22</v>
      </c>
      <c r="I354" s="4" t="n">
        <v>2.07</v>
      </c>
      <c r="J354" s="2" t="n">
        <v>40</v>
      </c>
      <c r="K354" s="4" t="n">
        <v>1.3</v>
      </c>
      <c r="L354" s="4" t="n">
        <v>0.5600000000000001</v>
      </c>
      <c r="M354" s="4">
        <f>B354*(G354/100)*(J354/100)</f>
        <v/>
      </c>
      <c r="N354" s="4">
        <f>B354*(F354/360/100)*E354*(J354/100)</f>
        <v/>
      </c>
      <c r="O354" s="4">
        <f>K354-M354+L354-N354</f>
        <v/>
      </c>
    </row>
    <row r="355">
      <c r="A355" s="2" t="inlineStr">
        <is>
          <t>A30503948</t>
        </is>
      </c>
      <c r="B355" s="4" t="n">
        <v>9752.709999999999</v>
      </c>
      <c r="C355" s="3" t="n">
        <v>46027</v>
      </c>
      <c r="D355" s="3" t="n">
        <v>46109</v>
      </c>
      <c r="E355" s="2" t="n">
        <v>48</v>
      </c>
      <c r="F355" s="2" t="n">
        <v>46.68</v>
      </c>
      <c r="G355" s="2" t="n">
        <v>1.14</v>
      </c>
      <c r="H355" s="4" t="n">
        <v>111.18</v>
      </c>
      <c r="I355" s="4" t="n">
        <v>607.01</v>
      </c>
      <c r="J355" s="2" t="n">
        <v>60</v>
      </c>
      <c r="K355" s="4" t="n">
        <v>66.73</v>
      </c>
      <c r="L355" s="4" t="n">
        <v>364.44</v>
      </c>
      <c r="M355" s="4">
        <f>B355*(G355/100)*(J355/100)</f>
        <v/>
      </c>
      <c r="N355" s="4">
        <f>B355*(F355/360/100)*E355*(J355/100)</f>
        <v/>
      </c>
      <c r="O355" s="4">
        <f>K355-M355+L355-N355</f>
        <v/>
      </c>
    </row>
    <row r="356">
      <c r="A356" s="2" t="inlineStr">
        <is>
          <t>A56659184</t>
        </is>
      </c>
      <c r="B356" s="4" t="n">
        <v>694.28</v>
      </c>
      <c r="C356" s="3" t="n">
        <v>46036</v>
      </c>
      <c r="D356" s="3" t="n">
        <v>46143</v>
      </c>
      <c r="E356" s="2" t="n">
        <v>54</v>
      </c>
      <c r="F356" s="2" t="n">
        <v>48.78</v>
      </c>
      <c r="G356" s="2" t="n">
        <v>0.67</v>
      </c>
      <c r="H356" s="4" t="n">
        <v>4.65</v>
      </c>
      <c r="I356" s="4" t="n">
        <v>50.8</v>
      </c>
      <c r="J356" s="2" t="n">
        <v>70</v>
      </c>
      <c r="K356" s="4" t="n">
        <v>3.5</v>
      </c>
      <c r="L356" s="4" t="n">
        <v>35.77</v>
      </c>
      <c r="M356" s="4">
        <f>B356*(G356/100)*(J356/100)</f>
        <v/>
      </c>
      <c r="N356" s="4">
        <f>B356*(F356/360/100)*E356*(J356/100)</f>
        <v/>
      </c>
      <c r="O356" s="4">
        <f>K356-M356+L356-N356</f>
        <v/>
      </c>
    </row>
    <row r="357">
      <c r="A357" s="2" t="inlineStr">
        <is>
          <t>B60803962</t>
        </is>
      </c>
      <c r="B357" s="4" t="n">
        <v>9552.360000000001</v>
      </c>
      <c r="C357" s="3" t="n">
        <v>46027</v>
      </c>
      <c r="D357" s="3" t="n">
        <v>46090</v>
      </c>
      <c r="E357" s="2" t="n">
        <v>74</v>
      </c>
      <c r="F357" s="2" t="n">
        <v>43.92</v>
      </c>
      <c r="G357" s="2" t="n">
        <v>1.43</v>
      </c>
      <c r="H357" s="4" t="n">
        <v>136.6</v>
      </c>
      <c r="I357" s="4" t="n">
        <v>862.39</v>
      </c>
      <c r="J357" s="2" t="n">
        <v>20</v>
      </c>
      <c r="K357" s="4" t="n">
        <v>27.24</v>
      </c>
      <c r="L357" s="4" t="n">
        <v>172.29</v>
      </c>
      <c r="M357" s="4">
        <f>B357*(G357/100)*(J357/100)</f>
        <v/>
      </c>
      <c r="N357" s="4">
        <f>B357*(F357/360/100)*E357*(J357/100)</f>
        <v/>
      </c>
      <c r="O357" s="4">
        <f>K357-M357+L357-N357</f>
        <v/>
      </c>
    </row>
    <row r="358">
      <c r="A358" s="2" t="inlineStr">
        <is>
          <t>B52579272</t>
        </is>
      </c>
      <c r="B358" s="4" t="n">
        <v>966.4</v>
      </c>
      <c r="C358" s="3" t="n">
        <v>46047</v>
      </c>
      <c r="D358" s="3" t="n">
        <v>46128</v>
      </c>
      <c r="E358" s="2" t="n">
        <v>13</v>
      </c>
      <c r="F358" s="2" t="n">
        <v>13.64</v>
      </c>
      <c r="G358" s="2" t="n">
        <v>2.37</v>
      </c>
      <c r="H358" s="4" t="n">
        <v>22.9</v>
      </c>
      <c r="I358" s="4" t="n">
        <v>4.76</v>
      </c>
      <c r="J358" s="2" t="n">
        <v>20</v>
      </c>
      <c r="K358" s="4" t="n">
        <v>4.53</v>
      </c>
      <c r="L358" s="4" t="n">
        <v>1.16</v>
      </c>
      <c r="M358" s="4">
        <f>B358*(G358/100)*(J358/100)</f>
        <v/>
      </c>
      <c r="N358" s="4">
        <f>B358*(F358/360/100)*E358*(J358/100)</f>
        <v/>
      </c>
      <c r="O358" s="4">
        <f>K358-M358+L358-N358</f>
        <v/>
      </c>
    </row>
    <row r="359">
      <c r="A359" s="2" t="inlineStr">
        <is>
          <t>B53134368</t>
        </is>
      </c>
      <c r="B359" s="4" t="n">
        <v>914.02</v>
      </c>
      <c r="C359" s="3" t="n">
        <v>46025</v>
      </c>
      <c r="D359" s="3" t="n">
        <v>46136</v>
      </c>
      <c r="E359" s="2" t="n">
        <v>10</v>
      </c>
      <c r="F359" s="2" t="n">
        <v>12.69</v>
      </c>
      <c r="G359" s="2" t="n">
        <v>0.59</v>
      </c>
      <c r="H359" s="4" t="n">
        <v>5.39</v>
      </c>
      <c r="I359" s="4" t="n">
        <v>3.22</v>
      </c>
      <c r="J359" s="2" t="n">
        <v>30</v>
      </c>
      <c r="K359" s="4" t="n">
        <v>1.69</v>
      </c>
      <c r="L359" s="4" t="n">
        <v>1.15</v>
      </c>
      <c r="M359" s="4">
        <f>B359*(G359/100)*(J359/100)</f>
        <v/>
      </c>
      <c r="N359" s="4">
        <f>B359*(F359/360/100)*E359*(J359/100)</f>
        <v/>
      </c>
      <c r="O359" s="4">
        <f>K359-M359+L359-N359</f>
        <v/>
      </c>
    </row>
    <row r="360">
      <c r="A360" s="2" t="inlineStr">
        <is>
          <t>B68875940</t>
        </is>
      </c>
      <c r="B360" s="4" t="n">
        <v>3311.97</v>
      </c>
      <c r="C360" s="3" t="n">
        <v>46030</v>
      </c>
      <c r="D360" s="3" t="n">
        <v>46218</v>
      </c>
      <c r="E360" s="2" t="n">
        <v>57</v>
      </c>
      <c r="F360" s="2" t="n">
        <v>31.72</v>
      </c>
      <c r="G360" s="2" t="n">
        <v>1.06</v>
      </c>
      <c r="H360" s="4" t="n">
        <v>35.11</v>
      </c>
      <c r="I360" s="4" t="n">
        <v>166.34</v>
      </c>
      <c r="J360" s="2" t="n">
        <v>40</v>
      </c>
      <c r="K360" s="4" t="n">
        <v>13.99</v>
      </c>
      <c r="L360" s="4" t="n">
        <v>66.39</v>
      </c>
      <c r="M360" s="4">
        <f>B360*(G360/100)*(J360/100)</f>
        <v/>
      </c>
      <c r="N360" s="4">
        <f>B360*(F360/360/100)*E360*(J360/100)</f>
        <v/>
      </c>
      <c r="O360" s="4">
        <f>K360-M360+L360-N360</f>
        <v/>
      </c>
    </row>
    <row r="361">
      <c r="A361" s="2" t="inlineStr">
        <is>
          <t>B80558786</t>
        </is>
      </c>
      <c r="B361" s="4" t="n">
        <v>237.26</v>
      </c>
      <c r="C361" s="3" t="n">
        <v>46033</v>
      </c>
      <c r="D361" s="3" t="n">
        <v>46088</v>
      </c>
      <c r="E361" s="2" t="n">
        <v>42</v>
      </c>
      <c r="F361" s="2" t="n">
        <v>10.41</v>
      </c>
      <c r="G361" s="2" t="n">
        <v>2.37</v>
      </c>
      <c r="H361" s="4" t="n">
        <v>5.62</v>
      </c>
      <c r="I361" s="4" t="n">
        <v>2.88</v>
      </c>
      <c r="J361" s="2" t="n">
        <v>40</v>
      </c>
      <c r="K361" s="4" t="n">
        <v>1.98</v>
      </c>
      <c r="L361" s="4" t="n">
        <v>1.14</v>
      </c>
      <c r="M361" s="4">
        <f>B361*(G361/100)*(J361/100)</f>
        <v/>
      </c>
      <c r="N361" s="4">
        <f>B361*(F361/360/100)*E361*(J361/100)</f>
        <v/>
      </c>
      <c r="O361" s="4">
        <f>K361-M361+L361-N361</f>
        <v/>
      </c>
    </row>
    <row r="362">
      <c r="A362" s="2" t="inlineStr">
        <is>
          <t>B38637782</t>
        </is>
      </c>
      <c r="B362" s="4" t="n">
        <v>850.78</v>
      </c>
      <c r="C362" s="3" t="n">
        <v>46036</v>
      </c>
      <c r="D362" s="3" t="n">
        <v>46207</v>
      </c>
      <c r="E362" s="2" t="n">
        <v>75</v>
      </c>
      <c r="F362" s="2" t="n">
        <v>47.21</v>
      </c>
      <c r="G362" s="2" t="n">
        <v>2.27</v>
      </c>
      <c r="H362" s="4" t="n">
        <v>19.31</v>
      </c>
      <c r="I362" s="4" t="n">
        <v>83.68000000000001</v>
      </c>
      <c r="J362" s="2" t="n">
        <v>40</v>
      </c>
      <c r="K362" s="4" t="n">
        <v>7.87</v>
      </c>
      <c r="L362" s="4" t="n">
        <v>33.44</v>
      </c>
      <c r="M362" s="4">
        <f>B362*(G362/100)*(J362/100)</f>
        <v/>
      </c>
      <c r="N362" s="4">
        <f>B362*(F362/360/100)*E362*(J362/100)</f>
        <v/>
      </c>
      <c r="O362" s="4">
        <f>K362-M362+L362-N362</f>
        <v/>
      </c>
    </row>
    <row r="363">
      <c r="A363" s="2" t="inlineStr">
        <is>
          <t>B05772234</t>
        </is>
      </c>
      <c r="B363" s="4" t="n">
        <v>530.15</v>
      </c>
      <c r="C363" s="3" t="n">
        <v>46036</v>
      </c>
      <c r="D363" s="3" t="n">
        <v>46211</v>
      </c>
      <c r="E363" s="2" t="n">
        <v>37</v>
      </c>
      <c r="F363" s="2" t="n">
        <v>20.26</v>
      </c>
      <c r="G363" s="2" t="n">
        <v>1.07</v>
      </c>
      <c r="H363" s="4" t="n">
        <v>5.67</v>
      </c>
      <c r="I363" s="4" t="n">
        <v>11.04</v>
      </c>
      <c r="J363" s="2" t="n">
        <v>70</v>
      </c>
      <c r="K363" s="4" t="n">
        <v>4.07</v>
      </c>
      <c r="L363" s="4" t="n">
        <v>7.45</v>
      </c>
      <c r="M363" s="4">
        <f>B363*(G363/100)*(J363/100)</f>
        <v/>
      </c>
      <c r="N363" s="4">
        <f>B363*(F363/360/100)*E363*(J363/100)</f>
        <v/>
      </c>
      <c r="O363" s="4">
        <f>K363-M363+L363-N363</f>
        <v/>
      </c>
    </row>
    <row r="364">
      <c r="A364" s="2" t="inlineStr">
        <is>
          <t>A65846021</t>
        </is>
      </c>
      <c r="B364" s="4" t="n">
        <v>4079.66</v>
      </c>
      <c r="C364" s="3" t="n">
        <v>46035</v>
      </c>
      <c r="D364" s="3" t="n">
        <v>46092</v>
      </c>
      <c r="E364" s="2" t="n">
        <v>75</v>
      </c>
      <c r="F364" s="2" t="n">
        <v>16.54</v>
      </c>
      <c r="G364" s="2" t="n">
        <v>2.05</v>
      </c>
      <c r="H364" s="4" t="n">
        <v>83.63</v>
      </c>
      <c r="I364" s="4" t="n">
        <v>140.58</v>
      </c>
      <c r="J364" s="2" t="n">
        <v>50</v>
      </c>
      <c r="K364" s="4" t="n">
        <v>41.93</v>
      </c>
      <c r="L364" s="4" t="n">
        <v>70.15000000000001</v>
      </c>
      <c r="M364" s="4">
        <f>B364*(G364/100)*(J364/100)</f>
        <v/>
      </c>
      <c r="N364" s="4">
        <f>B364*(F364/360/100)*E364*(J364/100)</f>
        <v/>
      </c>
      <c r="O364" s="4">
        <f>K364-M364+L364-N364</f>
        <v/>
      </c>
    </row>
    <row r="365">
      <c r="A365" s="2" t="inlineStr">
        <is>
          <t>B43920097</t>
        </is>
      </c>
      <c r="B365" s="4" t="n">
        <v>9065.65</v>
      </c>
      <c r="C365" s="3" t="n">
        <v>46043</v>
      </c>
      <c r="D365" s="3" t="n">
        <v>46138</v>
      </c>
      <c r="E365" s="2" t="n">
        <v>86</v>
      </c>
      <c r="F365" s="2" t="n">
        <v>26.3</v>
      </c>
      <c r="G365" s="2" t="n">
        <v>2.86</v>
      </c>
      <c r="H365" s="4" t="n">
        <v>259.28</v>
      </c>
      <c r="I365" s="4" t="n">
        <v>569.5700000000001</v>
      </c>
      <c r="J365" s="2" t="n">
        <v>70</v>
      </c>
      <c r="K365" s="4" t="n">
        <v>181.54</v>
      </c>
      <c r="L365" s="4" t="n">
        <v>398.96</v>
      </c>
      <c r="M365" s="4">
        <f>B365*(G365/100)*(J365/100)</f>
        <v/>
      </c>
      <c r="N365" s="4">
        <f>B365*(F365/360/100)*E365*(J365/100)</f>
        <v/>
      </c>
      <c r="O365" s="4">
        <f>K365-M365+L365-N365</f>
        <v/>
      </c>
    </row>
    <row r="366">
      <c r="A366" s="2" t="inlineStr">
        <is>
          <t>B90104474</t>
        </is>
      </c>
      <c r="B366" s="4" t="n">
        <v>454.35</v>
      </c>
      <c r="C366" s="3" t="n">
        <v>46028</v>
      </c>
      <c r="D366" s="3" t="n">
        <v>46071</v>
      </c>
      <c r="E366" s="2" t="n">
        <v>74</v>
      </c>
      <c r="F366" s="2" t="n">
        <v>39.14</v>
      </c>
      <c r="G366" s="2" t="n">
        <v>1.78</v>
      </c>
      <c r="H366" s="4" t="n">
        <v>8.09</v>
      </c>
      <c r="I366" s="4" t="n">
        <v>36.55</v>
      </c>
      <c r="J366" s="2" t="n">
        <v>50</v>
      </c>
      <c r="K366" s="4" t="n">
        <v>4.34</v>
      </c>
      <c r="L366" s="4" t="n">
        <v>18.49</v>
      </c>
      <c r="M366" s="4">
        <f>B366*(G366/100)*(J366/100)</f>
        <v/>
      </c>
      <c r="N366" s="4">
        <f>B366*(F366/360/100)*E366*(J366/100)</f>
        <v/>
      </c>
      <c r="O366" s="4">
        <f>K366-M366+L366-N366</f>
        <v/>
      </c>
    </row>
    <row r="367">
      <c r="A367" s="2" t="inlineStr">
        <is>
          <t>A82223757</t>
        </is>
      </c>
      <c r="B367" s="4" t="n">
        <v>277.69</v>
      </c>
      <c r="C367" s="3" t="n">
        <v>46038</v>
      </c>
      <c r="D367" s="3" t="n">
        <v>46086</v>
      </c>
      <c r="E367" s="2" t="n">
        <v>12</v>
      </c>
      <c r="F367" s="2" t="n">
        <v>24.6</v>
      </c>
      <c r="G367" s="2" t="n">
        <v>2.65</v>
      </c>
      <c r="H367" s="4" t="n">
        <v>7.36</v>
      </c>
      <c r="I367" s="4" t="n">
        <v>2.28</v>
      </c>
      <c r="J367" s="2" t="n">
        <v>40</v>
      </c>
      <c r="K367" s="4" t="n">
        <v>3.02</v>
      </c>
      <c r="L367" s="4" t="n">
        <v>1.13</v>
      </c>
      <c r="M367" s="4">
        <f>B367*(G367/100)*(J367/100)</f>
        <v/>
      </c>
      <c r="N367" s="4">
        <f>B367*(F367/360/100)*E367*(J367/100)</f>
        <v/>
      </c>
      <c r="O367" s="4">
        <f>K367-M367+L367-N367</f>
        <v/>
      </c>
    </row>
    <row r="368">
      <c r="A368" s="2" t="inlineStr">
        <is>
          <t>B16656758</t>
        </is>
      </c>
      <c r="B368" s="4" t="n">
        <v>4064.46</v>
      </c>
      <c r="C368" s="3" t="n">
        <v>46048</v>
      </c>
      <c r="D368" s="3" t="n">
        <v>46100</v>
      </c>
      <c r="E368" s="2" t="n">
        <v>53</v>
      </c>
      <c r="F368" s="2" t="n">
        <v>33.13</v>
      </c>
      <c r="G368" s="2" t="n">
        <v>2.81</v>
      </c>
      <c r="H368" s="4" t="n">
        <v>114.21</v>
      </c>
      <c r="I368" s="4" t="n">
        <v>198.24</v>
      </c>
      <c r="J368" s="2" t="n">
        <v>70</v>
      </c>
      <c r="K368" s="4" t="n">
        <v>80.04000000000001</v>
      </c>
      <c r="L368" s="4" t="n">
        <v>139.03</v>
      </c>
      <c r="M368" s="4">
        <f>B368*(G368/100)*(J368/100)</f>
        <v/>
      </c>
      <c r="N368" s="4">
        <f>B368*(F368/360/100)*E368*(J368/100)</f>
        <v/>
      </c>
      <c r="O368" s="4">
        <f>K368-M368+L368-N368</f>
        <v/>
      </c>
    </row>
    <row r="369">
      <c r="A369" s="2" t="inlineStr">
        <is>
          <t>A97519892</t>
        </is>
      </c>
      <c r="B369" s="4" t="n">
        <v>590.37</v>
      </c>
      <c r="C369" s="3" t="n">
        <v>46041</v>
      </c>
      <c r="D369" s="3" t="n">
        <v>46163</v>
      </c>
      <c r="E369" s="2" t="n">
        <v>57</v>
      </c>
      <c r="F369" s="2" t="n">
        <v>31.67</v>
      </c>
      <c r="G369" s="2" t="n">
        <v>2.05</v>
      </c>
      <c r="H369" s="4" t="n">
        <v>12.1</v>
      </c>
      <c r="I369" s="4" t="n">
        <v>29.6</v>
      </c>
      <c r="J369" s="2" t="n">
        <v>60</v>
      </c>
      <c r="K369" s="4" t="n">
        <v>7.05</v>
      </c>
      <c r="L369" s="4" t="n">
        <v>17.98</v>
      </c>
      <c r="M369" s="4">
        <f>B369*(G369/100)*(J369/100)</f>
        <v/>
      </c>
      <c r="N369" s="4">
        <f>B369*(F369/360/100)*E369*(J369/100)</f>
        <v/>
      </c>
      <c r="O369" s="4">
        <f>K369-M369+L369-N369</f>
        <v/>
      </c>
    </row>
    <row r="370">
      <c r="A370" s="2" t="inlineStr">
        <is>
          <t>B65881267</t>
        </is>
      </c>
      <c r="B370" s="4" t="n">
        <v>8165.67</v>
      </c>
      <c r="C370" s="3" t="n">
        <v>46049</v>
      </c>
      <c r="D370" s="3" t="n">
        <v>46074</v>
      </c>
      <c r="E370" s="2" t="n">
        <v>61</v>
      </c>
      <c r="F370" s="2" t="n">
        <v>23.14</v>
      </c>
      <c r="G370" s="2" t="n">
        <v>2.88</v>
      </c>
      <c r="H370" s="4" t="n">
        <v>235.17</v>
      </c>
      <c r="I370" s="4" t="n">
        <v>320.17</v>
      </c>
      <c r="J370" s="2" t="n">
        <v>50</v>
      </c>
      <c r="K370" s="4" t="n">
        <v>117.47</v>
      </c>
      <c r="L370" s="4" t="n">
        <v>160.18</v>
      </c>
      <c r="M370" s="4">
        <f>B370*(G370/100)*(J370/100)</f>
        <v/>
      </c>
      <c r="N370" s="4">
        <f>B370*(F370/360/100)*E370*(J370/100)</f>
        <v/>
      </c>
      <c r="O370" s="4">
        <f>K370-M370+L370-N370</f>
        <v/>
      </c>
    </row>
    <row r="371">
      <c r="A371" s="2" t="inlineStr">
        <is>
          <t>B56524964</t>
        </is>
      </c>
      <c r="B371" s="4" t="n">
        <v>965.3</v>
      </c>
      <c r="C371" s="3" t="n">
        <v>46044</v>
      </c>
      <c r="D371" s="3" t="n">
        <v>46061</v>
      </c>
      <c r="E371" s="2" t="n">
        <v>86</v>
      </c>
      <c r="F371" s="2" t="n">
        <v>23.29</v>
      </c>
      <c r="G371" s="2" t="n">
        <v>1.85</v>
      </c>
      <c r="H371" s="4" t="n">
        <v>17.86</v>
      </c>
      <c r="I371" s="4" t="n">
        <v>53.71</v>
      </c>
      <c r="J371" s="2" t="n">
        <v>30</v>
      </c>
      <c r="K371" s="4" t="n">
        <v>5.62</v>
      </c>
      <c r="L371" s="4" t="n">
        <v>16.17</v>
      </c>
      <c r="M371" s="4">
        <f>B371*(G371/100)*(J371/100)</f>
        <v/>
      </c>
      <c r="N371" s="4">
        <f>B371*(F371/360/100)*E371*(J371/100)</f>
        <v/>
      </c>
      <c r="O371" s="4">
        <f>K371-M371+L371-N371</f>
        <v/>
      </c>
    </row>
    <row r="372">
      <c r="A372" s="2" t="inlineStr">
        <is>
          <t>B45343981</t>
        </is>
      </c>
      <c r="B372" s="4" t="n">
        <v>963.5</v>
      </c>
      <c r="C372" s="3" t="n">
        <v>46043</v>
      </c>
      <c r="D372" s="3" t="n">
        <v>46107</v>
      </c>
      <c r="E372" s="2" t="n">
        <v>58</v>
      </c>
      <c r="F372" s="2" t="n">
        <v>37.08</v>
      </c>
      <c r="G372" s="2" t="n">
        <v>1.23</v>
      </c>
      <c r="H372" s="4" t="n">
        <v>11.85</v>
      </c>
      <c r="I372" s="4" t="n">
        <v>57.56</v>
      </c>
      <c r="J372" s="2" t="n">
        <v>30</v>
      </c>
      <c r="K372" s="4" t="n">
        <v>3.53</v>
      </c>
      <c r="L372" s="4" t="n">
        <v>17.15</v>
      </c>
      <c r="M372" s="4">
        <f>B372*(G372/100)*(J372/100)</f>
        <v/>
      </c>
      <c r="N372" s="4">
        <f>B372*(F372/360/100)*E372*(J372/100)</f>
        <v/>
      </c>
      <c r="O372" s="4">
        <f>K372-M372+L372-N372</f>
        <v/>
      </c>
    </row>
    <row r="373">
      <c r="A373" s="2" t="inlineStr">
        <is>
          <t>A45284342</t>
        </is>
      </c>
      <c r="B373" s="4" t="n">
        <v>172.45</v>
      </c>
      <c r="C373" s="3" t="n">
        <v>46040</v>
      </c>
      <c r="D373" s="3" t="n">
        <v>46098</v>
      </c>
      <c r="E373" s="2" t="n">
        <v>15</v>
      </c>
      <c r="F373" s="2" t="n">
        <v>13.43</v>
      </c>
      <c r="G373" s="2" t="n">
        <v>1.52</v>
      </c>
      <c r="H373" s="4" t="n">
        <v>2.62</v>
      </c>
      <c r="I373" s="4" t="n">
        <v>0.97</v>
      </c>
      <c r="J373" s="2" t="n">
        <v>60</v>
      </c>
      <c r="K373" s="4" t="n">
        <v>1.49</v>
      </c>
      <c r="L373" s="4" t="n">
        <v>0.32</v>
      </c>
      <c r="M373" s="4">
        <f>B373*(G373/100)*(J373/100)</f>
        <v/>
      </c>
      <c r="N373" s="4">
        <f>B373*(F373/360/100)*E373*(J373/100)</f>
        <v/>
      </c>
      <c r="O373" s="4">
        <f>K373-M373+L373-N373</f>
        <v/>
      </c>
    </row>
    <row r="374">
      <c r="A374" s="2" t="inlineStr">
        <is>
          <t>A07170179</t>
        </is>
      </c>
      <c r="B374" s="4" t="n">
        <v>373.22</v>
      </c>
      <c r="C374" s="3" t="n">
        <v>46049</v>
      </c>
      <c r="D374" s="3" t="n">
        <v>46127</v>
      </c>
      <c r="E374" s="2" t="n">
        <v>60</v>
      </c>
      <c r="F374" s="2" t="n">
        <v>46.99</v>
      </c>
      <c r="G374" s="2" t="n">
        <v>2.34</v>
      </c>
      <c r="H374" s="4" t="n">
        <v>8.73</v>
      </c>
      <c r="I374" s="4" t="n">
        <v>29.23</v>
      </c>
      <c r="J374" s="2" t="n">
        <v>50</v>
      </c>
      <c r="K374" s="4" t="n">
        <v>4.35</v>
      </c>
      <c r="L374" s="4" t="n">
        <v>14.49</v>
      </c>
      <c r="M374" s="4">
        <f>B374*(G374/100)*(J374/100)</f>
        <v/>
      </c>
      <c r="N374" s="4">
        <f>B374*(F374/360/100)*E374*(J374/100)</f>
        <v/>
      </c>
      <c r="O374" s="4">
        <f>K374-M374+L374-N374</f>
        <v/>
      </c>
    </row>
    <row r="375">
      <c r="A375" s="2" t="inlineStr">
        <is>
          <t>A81768175</t>
        </is>
      </c>
      <c r="B375" s="4" t="n">
        <v>4875.84</v>
      </c>
      <c r="C375" s="3" t="n">
        <v>46032</v>
      </c>
      <c r="D375" s="3" t="n">
        <v>46124</v>
      </c>
      <c r="E375" s="2" t="n">
        <v>55</v>
      </c>
      <c r="F375" s="2" t="n">
        <v>31.91</v>
      </c>
      <c r="G375" s="2" t="n">
        <v>2.96</v>
      </c>
      <c r="H375" s="4" t="n">
        <v>144.32</v>
      </c>
      <c r="I375" s="4" t="n">
        <v>237.7</v>
      </c>
      <c r="J375" s="2" t="n">
        <v>50</v>
      </c>
      <c r="K375" s="4" t="n">
        <v>72.04000000000001</v>
      </c>
      <c r="L375" s="4" t="n">
        <v>118.57</v>
      </c>
      <c r="M375" s="4">
        <f>B375*(G375/100)*(J375/100)</f>
        <v/>
      </c>
      <c r="N375" s="4">
        <f>B375*(F375/360/100)*E375*(J375/100)</f>
        <v/>
      </c>
      <c r="O375" s="4">
        <f>K375-M375+L375-N375</f>
        <v/>
      </c>
    </row>
    <row r="376">
      <c r="A376" s="2" t="inlineStr">
        <is>
          <t>A89366401</t>
        </is>
      </c>
      <c r="B376" s="4" t="n">
        <v>966.4</v>
      </c>
      <c r="C376" s="3" t="n">
        <v>46047</v>
      </c>
      <c r="D376" s="3" t="n">
        <v>46156</v>
      </c>
      <c r="E376" s="2" t="n">
        <v>13</v>
      </c>
      <c r="F376" s="2" t="n">
        <v>40.66</v>
      </c>
      <c r="G376" s="2" t="n">
        <v>0.63</v>
      </c>
      <c r="H376" s="4" t="n">
        <v>6.09</v>
      </c>
      <c r="I376" s="4" t="n">
        <v>14.19</v>
      </c>
      <c r="J376" s="2" t="n">
        <v>60</v>
      </c>
      <c r="K376" s="4" t="n">
        <v>3.41</v>
      </c>
      <c r="L376" s="4" t="n">
        <v>8.49</v>
      </c>
      <c r="M376" s="4">
        <f>B376*(G376/100)*(J376/100)</f>
        <v/>
      </c>
      <c r="N376" s="4">
        <f>B376*(F376/360/100)*E376*(J376/100)</f>
        <v/>
      </c>
      <c r="O376" s="4">
        <f>K376-M376+L376-N376</f>
        <v/>
      </c>
    </row>
    <row r="377">
      <c r="A377" s="2" t="inlineStr">
        <is>
          <t>B13092319</t>
        </is>
      </c>
      <c r="B377" s="4" t="n">
        <v>741.12</v>
      </c>
      <c r="C377" s="3" t="n">
        <v>46046</v>
      </c>
      <c r="D377" s="3" t="n">
        <v>46229</v>
      </c>
      <c r="E377" s="2" t="n">
        <v>30</v>
      </c>
      <c r="F377" s="2" t="n">
        <v>40.23</v>
      </c>
      <c r="G377" s="2" t="n">
        <v>0.61</v>
      </c>
      <c r="H377" s="4" t="n">
        <v>4.52</v>
      </c>
      <c r="I377" s="4" t="n">
        <v>24.85</v>
      </c>
      <c r="J377" s="2" t="n">
        <v>60</v>
      </c>
      <c r="K377" s="4" t="n">
        <v>2.48</v>
      </c>
      <c r="L377" s="4" t="n">
        <v>14.61</v>
      </c>
      <c r="M377" s="4">
        <f>B377*(G377/100)*(J377/100)</f>
        <v/>
      </c>
      <c r="N377" s="4">
        <f>B377*(F377/360/100)*E377*(J377/100)</f>
        <v/>
      </c>
      <c r="O377" s="4">
        <f>K377-M377+L377-N377</f>
        <v/>
      </c>
    </row>
    <row r="378">
      <c r="A378" s="2" t="inlineStr">
        <is>
          <t>B31847530</t>
        </is>
      </c>
      <c r="B378" s="4" t="n">
        <v>448.22</v>
      </c>
      <c r="C378" s="3" t="n">
        <v>46038</v>
      </c>
      <c r="D378" s="3" t="n">
        <v>46094</v>
      </c>
      <c r="E378" s="2" t="n">
        <v>37</v>
      </c>
      <c r="F378" s="2" t="n">
        <v>30.1</v>
      </c>
      <c r="G378" s="2" t="n">
        <v>2.6</v>
      </c>
      <c r="H378" s="4" t="n">
        <v>11.65</v>
      </c>
      <c r="I378" s="4" t="n">
        <v>13.87</v>
      </c>
      <c r="J378" s="2" t="n">
        <v>70</v>
      </c>
      <c r="K378" s="4" t="n">
        <v>8.25</v>
      </c>
      <c r="L378" s="4" t="n">
        <v>9.5</v>
      </c>
      <c r="M378" s="4">
        <f>B378*(G378/100)*(J378/100)</f>
        <v/>
      </c>
      <c r="N378" s="4">
        <f>B378*(F378/360/100)*E378*(J378/100)</f>
        <v/>
      </c>
      <c r="O378" s="4">
        <f>K378-M378+L378-N378</f>
        <v/>
      </c>
    </row>
    <row r="379">
      <c r="A379" s="2" t="inlineStr">
        <is>
          <t>B53134368</t>
        </is>
      </c>
      <c r="B379" s="4" t="n">
        <v>4153.54</v>
      </c>
      <c r="C379" s="3" t="n">
        <v>46046</v>
      </c>
      <c r="D379" s="3" t="n">
        <v>46178</v>
      </c>
      <c r="E379" s="2" t="n">
        <v>70</v>
      </c>
      <c r="F379" s="2" t="n">
        <v>35.13</v>
      </c>
      <c r="G379" s="2" t="n">
        <v>0.95</v>
      </c>
      <c r="H379" s="4" t="n">
        <v>39.46</v>
      </c>
      <c r="I379" s="4" t="n">
        <v>283.72</v>
      </c>
      <c r="J379" s="2" t="n">
        <v>30</v>
      </c>
      <c r="K379" s="4" t="n">
        <v>12.1</v>
      </c>
      <c r="L379" s="4" t="n">
        <v>85</v>
      </c>
      <c r="M379" s="4">
        <f>B379*(G379/100)*(J379/100)</f>
        <v/>
      </c>
      <c r="N379" s="4">
        <f>B379*(F379/360/100)*E379*(J379/100)</f>
        <v/>
      </c>
      <c r="O379" s="4">
        <f>K379-M379+L379-N379</f>
        <v/>
      </c>
    </row>
    <row r="380">
      <c r="A380" s="2" t="inlineStr">
        <is>
          <t>B50421489</t>
        </is>
      </c>
      <c r="B380" s="4" t="n">
        <v>566.99</v>
      </c>
      <c r="C380" s="3" t="n">
        <v>46029</v>
      </c>
      <c r="D380" s="3" t="n">
        <v>46149</v>
      </c>
      <c r="E380" s="2" t="n">
        <v>40</v>
      </c>
      <c r="F380" s="2" t="n">
        <v>22.05</v>
      </c>
      <c r="G380" s="2" t="n">
        <v>2.64</v>
      </c>
      <c r="H380" s="4" t="n">
        <v>14.97</v>
      </c>
      <c r="I380" s="4" t="n">
        <v>13.89</v>
      </c>
      <c r="J380" s="2" t="n">
        <v>40</v>
      </c>
      <c r="K380" s="4" t="n">
        <v>6.13</v>
      </c>
      <c r="L380" s="4" t="n">
        <v>5.49</v>
      </c>
      <c r="M380" s="4">
        <f>B380*(G380/100)*(J380/100)</f>
        <v/>
      </c>
      <c r="N380" s="4">
        <f>B380*(F380/360/100)*E380*(J380/100)</f>
        <v/>
      </c>
      <c r="O380" s="4">
        <f>K380-M380+L380-N380</f>
        <v/>
      </c>
    </row>
    <row r="381">
      <c r="A381" s="2" t="inlineStr">
        <is>
          <t>A38794533</t>
        </is>
      </c>
      <c r="B381" s="4" t="n">
        <v>632.6</v>
      </c>
      <c r="C381" s="3" t="n">
        <v>46033</v>
      </c>
      <c r="D381" s="3" t="n">
        <v>46195</v>
      </c>
      <c r="E381" s="2" t="n">
        <v>20</v>
      </c>
      <c r="F381" s="2" t="n">
        <v>41.52</v>
      </c>
      <c r="G381" s="2" t="n">
        <v>2.39</v>
      </c>
      <c r="H381" s="4" t="n">
        <v>15.12</v>
      </c>
      <c r="I381" s="4" t="n">
        <v>14.59</v>
      </c>
      <c r="J381" s="2" t="n">
        <v>60</v>
      </c>
      <c r="K381" s="4" t="n">
        <v>9.02</v>
      </c>
      <c r="L381" s="4" t="n">
        <v>8.66</v>
      </c>
      <c r="M381" s="4">
        <f>B381*(G381/100)*(J381/100)</f>
        <v/>
      </c>
      <c r="N381" s="4">
        <f>B381*(F381/360/100)*E381*(J381/100)</f>
        <v/>
      </c>
      <c r="O381" s="4">
        <f>K381-M381+L381-N381</f>
        <v/>
      </c>
    </row>
    <row r="382">
      <c r="A382" s="2" t="inlineStr">
        <is>
          <t>A44282657</t>
        </is>
      </c>
      <c r="B382" s="4" t="n">
        <v>6598.43</v>
      </c>
      <c r="C382" s="3" t="n">
        <v>46049</v>
      </c>
      <c r="D382" s="3" t="n">
        <v>46067</v>
      </c>
      <c r="E382" s="2" t="n">
        <v>78</v>
      </c>
      <c r="F382" s="2" t="n">
        <v>38</v>
      </c>
      <c r="G382" s="2" t="n">
        <v>1.83</v>
      </c>
      <c r="H382" s="4" t="n">
        <v>120.75</v>
      </c>
      <c r="I382" s="4" t="n">
        <v>543.27</v>
      </c>
      <c r="J382" s="2" t="n">
        <v>70</v>
      </c>
      <c r="K382" s="4" t="n">
        <v>84.39</v>
      </c>
      <c r="L382" s="4" t="n">
        <v>380.39</v>
      </c>
      <c r="M382" s="4">
        <f>B382*(G382/100)*(J382/100)</f>
        <v/>
      </c>
      <c r="N382" s="4">
        <f>B382*(F382/360/100)*E382*(J382/100)</f>
        <v/>
      </c>
      <c r="O382" s="4">
        <f>K382-M382+L382-N382</f>
        <v/>
      </c>
    </row>
    <row r="383">
      <c r="A383" s="2" t="inlineStr">
        <is>
          <t>B05772234</t>
        </is>
      </c>
      <c r="B383" s="4" t="n">
        <v>9633.34</v>
      </c>
      <c r="C383" s="3" t="n">
        <v>46038</v>
      </c>
      <c r="D383" s="3" t="n">
        <v>46127</v>
      </c>
      <c r="E383" s="2" t="n">
        <v>53</v>
      </c>
      <c r="F383" s="2" t="n">
        <v>47.19</v>
      </c>
      <c r="G383" s="2" t="n">
        <v>1.9</v>
      </c>
      <c r="H383" s="4" t="n">
        <v>183.03</v>
      </c>
      <c r="I383" s="4" t="n">
        <v>669.27</v>
      </c>
      <c r="J383" s="2" t="n">
        <v>20</v>
      </c>
      <c r="K383" s="4" t="n">
        <v>36.77</v>
      </c>
      <c r="L383" s="4" t="n">
        <v>133.89</v>
      </c>
      <c r="M383" s="4">
        <f>B383*(G383/100)*(J383/100)</f>
        <v/>
      </c>
      <c r="N383" s="4">
        <f>B383*(F383/360/100)*E383*(J383/100)</f>
        <v/>
      </c>
      <c r="O383" s="4">
        <f>K383-M383+L383-N383</f>
        <v/>
      </c>
    </row>
    <row r="384">
      <c r="A384" s="2" t="inlineStr">
        <is>
          <t>A69638537</t>
        </is>
      </c>
      <c r="B384" s="4" t="n">
        <v>8435.35</v>
      </c>
      <c r="C384" s="3" t="n">
        <v>46023</v>
      </c>
      <c r="D384" s="3" t="n">
        <v>46150</v>
      </c>
      <c r="E384" s="2" t="n">
        <v>23</v>
      </c>
      <c r="F384" s="2" t="n">
        <v>28.06</v>
      </c>
      <c r="G384" s="2" t="n">
        <v>1.27</v>
      </c>
      <c r="H384" s="4" t="n">
        <v>107.13</v>
      </c>
      <c r="I384" s="4" t="n">
        <v>151.22</v>
      </c>
      <c r="J384" s="2" t="n">
        <v>30</v>
      </c>
      <c r="K384" s="4" t="n">
        <v>32.44</v>
      </c>
      <c r="L384" s="4" t="n">
        <v>45.32</v>
      </c>
      <c r="M384" s="4">
        <f>B384*(G384/100)*(J384/100)</f>
        <v/>
      </c>
      <c r="N384" s="4">
        <f>B384*(F384/360/100)*E384*(J384/100)</f>
        <v/>
      </c>
      <c r="O384" s="4">
        <f>K384-M384+L384-N384</f>
        <v/>
      </c>
    </row>
    <row r="385">
      <c r="A385" s="2" t="inlineStr">
        <is>
          <t>A83294252</t>
        </is>
      </c>
      <c r="B385" s="4" t="n">
        <v>9348.59</v>
      </c>
      <c r="C385" s="3" t="n">
        <v>46039</v>
      </c>
      <c r="D385" s="3" t="n">
        <v>46187</v>
      </c>
      <c r="E385" s="2" t="n">
        <v>71</v>
      </c>
      <c r="F385" s="2" t="n">
        <v>19.51</v>
      </c>
      <c r="G385" s="2" t="n">
        <v>2.3</v>
      </c>
      <c r="H385" s="4" t="n">
        <v>215.02</v>
      </c>
      <c r="I385" s="4" t="n">
        <v>359.72</v>
      </c>
      <c r="J385" s="2" t="n">
        <v>70</v>
      </c>
      <c r="K385" s="4" t="n">
        <v>150.27</v>
      </c>
      <c r="L385" s="4" t="n">
        <v>251.67</v>
      </c>
      <c r="M385" s="4">
        <f>B385*(G385/100)*(J385/100)</f>
        <v/>
      </c>
      <c r="N385" s="4">
        <f>B385*(F385/360/100)*E385*(J385/100)</f>
        <v/>
      </c>
      <c r="O385" s="4">
        <f>K385-M385+L385-N385</f>
        <v/>
      </c>
    </row>
    <row r="386">
      <c r="A386" s="2" t="inlineStr">
        <is>
          <t>B09080092</t>
        </is>
      </c>
      <c r="B386" s="4" t="n">
        <v>163.97</v>
      </c>
      <c r="C386" s="3" t="n">
        <v>46027</v>
      </c>
      <c r="D386" s="3" t="n">
        <v>46108</v>
      </c>
      <c r="E386" s="2" t="n">
        <v>49</v>
      </c>
      <c r="F386" s="2" t="n">
        <v>23.32</v>
      </c>
      <c r="G386" s="2" t="n">
        <v>0.92</v>
      </c>
      <c r="H386" s="4" t="n">
        <v>1.51</v>
      </c>
      <c r="I386" s="4" t="n">
        <v>5.2</v>
      </c>
      <c r="J386" s="2" t="n">
        <v>60</v>
      </c>
      <c r="K386" s="4" t="n">
        <v>0.87</v>
      </c>
      <c r="L386" s="4" t="n">
        <v>2.84</v>
      </c>
      <c r="M386" s="4">
        <f>B386*(G386/100)*(J386/100)</f>
        <v/>
      </c>
      <c r="N386" s="4">
        <f>B386*(F386/360/100)*E386*(J386/100)</f>
        <v/>
      </c>
      <c r="O386" s="4">
        <f>K386-M386+L386-N386</f>
        <v/>
      </c>
    </row>
    <row r="387">
      <c r="A387" s="2" t="inlineStr">
        <is>
          <t>B22634073</t>
        </is>
      </c>
      <c r="B387" s="4" t="n">
        <v>849.87</v>
      </c>
      <c r="C387" s="3" t="n">
        <v>46043</v>
      </c>
      <c r="D387" s="3" t="n">
        <v>46134</v>
      </c>
      <c r="E387" s="2" t="n">
        <v>87</v>
      </c>
      <c r="F387" s="2" t="n">
        <v>35.16</v>
      </c>
      <c r="G387" s="2" t="n">
        <v>1.06</v>
      </c>
      <c r="H387" s="4" t="n">
        <v>9.01</v>
      </c>
      <c r="I387" s="4" t="n">
        <v>72.20999999999999</v>
      </c>
      <c r="J387" s="2" t="n">
        <v>20</v>
      </c>
      <c r="K387" s="4" t="n">
        <v>2.01</v>
      </c>
      <c r="L387" s="4" t="n">
        <v>14.56</v>
      </c>
      <c r="M387" s="4">
        <f>B387*(G387/100)*(J387/100)</f>
        <v/>
      </c>
      <c r="N387" s="4">
        <f>B387*(F387/360/100)*E387*(J387/100)</f>
        <v/>
      </c>
      <c r="O387" s="4">
        <f>K387-M387+L387-N387</f>
        <v/>
      </c>
    </row>
    <row r="388">
      <c r="A388" s="2" t="inlineStr">
        <is>
          <t>B57933667</t>
        </is>
      </c>
      <c r="B388" s="4" t="n">
        <v>308.69</v>
      </c>
      <c r="C388" s="3" t="n">
        <v>46044</v>
      </c>
      <c r="D388" s="3" t="n">
        <v>46128</v>
      </c>
      <c r="E388" s="2" t="n">
        <v>64</v>
      </c>
      <c r="F388" s="2" t="n">
        <v>11.81</v>
      </c>
      <c r="G388" s="2" t="n">
        <v>2.98</v>
      </c>
      <c r="H388" s="4" t="n">
        <v>9.199999999999999</v>
      </c>
      <c r="I388" s="4" t="n">
        <v>6.48</v>
      </c>
      <c r="J388" s="2" t="n">
        <v>60</v>
      </c>
      <c r="K388" s="4" t="n">
        <v>5.8</v>
      </c>
      <c r="L388" s="4" t="n">
        <v>3.97</v>
      </c>
      <c r="M388" s="4">
        <f>B388*(G388/100)*(J388/100)</f>
        <v/>
      </c>
      <c r="N388" s="4">
        <f>B388*(F388/360/100)*E388*(J388/100)</f>
        <v/>
      </c>
      <c r="O388" s="4">
        <f>K388-M388+L388-N388</f>
        <v/>
      </c>
    </row>
    <row r="389">
      <c r="A389" s="2" t="inlineStr">
        <is>
          <t>A53322806</t>
        </is>
      </c>
      <c r="B389" s="4" t="n">
        <v>9060.549999999999</v>
      </c>
      <c r="C389" s="3" t="n">
        <v>46049</v>
      </c>
      <c r="D389" s="3" t="n">
        <v>46134</v>
      </c>
      <c r="E389" s="2" t="n">
        <v>82</v>
      </c>
      <c r="F389" s="2" t="n">
        <v>49.07</v>
      </c>
      <c r="G389" s="2" t="n">
        <v>1.63</v>
      </c>
      <c r="H389" s="4" t="n">
        <v>147.69</v>
      </c>
      <c r="I389" s="4" t="n">
        <v>1012.7</v>
      </c>
      <c r="J389" s="2" t="n">
        <v>70</v>
      </c>
      <c r="K389" s="4" t="n">
        <v>103.58</v>
      </c>
      <c r="L389" s="4" t="n">
        <v>709.0599999999999</v>
      </c>
      <c r="M389" s="4">
        <f>B389*(G389/100)*(J389/100)</f>
        <v/>
      </c>
      <c r="N389" s="4">
        <f>B389*(F389/360/100)*E389*(J389/100)</f>
        <v/>
      </c>
      <c r="O389" s="4">
        <f>K389-M389+L389-N389</f>
        <v/>
      </c>
    </row>
    <row r="390">
      <c r="A390" s="2" t="inlineStr">
        <is>
          <t>B04131692</t>
        </is>
      </c>
      <c r="B390" s="4" t="n">
        <v>6609.33</v>
      </c>
      <c r="C390" s="3" t="n">
        <v>46026</v>
      </c>
      <c r="D390" s="3" t="n">
        <v>46231</v>
      </c>
      <c r="E390" s="2" t="n">
        <v>39</v>
      </c>
      <c r="F390" s="2" t="n">
        <v>36.14</v>
      </c>
      <c r="G390" s="2" t="n">
        <v>0.87</v>
      </c>
      <c r="H390" s="4" t="n">
        <v>57.5</v>
      </c>
      <c r="I390" s="4" t="n">
        <v>258.77</v>
      </c>
      <c r="J390" s="2" t="n">
        <v>20</v>
      </c>
      <c r="K390" s="4" t="n">
        <v>11.27</v>
      </c>
      <c r="L390" s="4" t="n">
        <v>52.01</v>
      </c>
      <c r="M390" s="4">
        <f>B390*(G390/100)*(J390/100)</f>
        <v/>
      </c>
      <c r="N390" s="4">
        <f>B390*(F390/360/100)*E390*(J390/100)</f>
        <v/>
      </c>
      <c r="O390" s="4">
        <f>K390-M390+L390-N390</f>
        <v/>
      </c>
    </row>
    <row r="391">
      <c r="A391" s="2" t="inlineStr">
        <is>
          <t>B16552567</t>
        </is>
      </c>
      <c r="B391" s="4" t="n">
        <v>353.83</v>
      </c>
      <c r="C391" s="3" t="n">
        <v>46038</v>
      </c>
      <c r="D391" s="3" t="n">
        <v>46218</v>
      </c>
      <c r="E391" s="2" t="n">
        <v>33</v>
      </c>
      <c r="F391" s="2" t="n">
        <v>19.42</v>
      </c>
      <c r="G391" s="2" t="n">
        <v>2.29</v>
      </c>
      <c r="H391" s="4" t="n">
        <v>8.1</v>
      </c>
      <c r="I391" s="4" t="n">
        <v>6.3</v>
      </c>
      <c r="J391" s="2" t="n">
        <v>40</v>
      </c>
      <c r="K391" s="4" t="n">
        <v>3.15</v>
      </c>
      <c r="L391" s="4" t="n">
        <v>2.8</v>
      </c>
      <c r="M391" s="4">
        <f>B391*(G391/100)*(J391/100)</f>
        <v/>
      </c>
      <c r="N391" s="4">
        <f>B391*(F391/360/100)*E391*(J391/100)</f>
        <v/>
      </c>
      <c r="O391" s="4">
        <f>K391-M391+L391-N391</f>
        <v/>
      </c>
    </row>
    <row r="392">
      <c r="A392" s="2" t="inlineStr">
        <is>
          <t>B58873524</t>
        </is>
      </c>
      <c r="B392" s="4" t="n">
        <v>9192.049999999999</v>
      </c>
      <c r="C392" s="3" t="n">
        <v>46025</v>
      </c>
      <c r="D392" s="3" t="n">
        <v>46215</v>
      </c>
      <c r="E392" s="2" t="n">
        <v>48</v>
      </c>
      <c r="F392" s="2" t="n">
        <v>27.3</v>
      </c>
      <c r="G392" s="2" t="n">
        <v>2.32</v>
      </c>
      <c r="H392" s="4" t="n">
        <v>213.26</v>
      </c>
      <c r="I392" s="4" t="n">
        <v>334.59</v>
      </c>
      <c r="J392" s="2" t="n">
        <v>60</v>
      </c>
      <c r="K392" s="4" t="n">
        <v>128.19</v>
      </c>
      <c r="L392" s="4" t="n">
        <v>200.91</v>
      </c>
      <c r="M392" s="4">
        <f>B392*(G392/100)*(J392/100)</f>
        <v/>
      </c>
      <c r="N392" s="4">
        <f>B392*(F392/360/100)*E392*(J392/100)</f>
        <v/>
      </c>
      <c r="O392" s="4">
        <f>K392-M392+L392-N392</f>
        <v/>
      </c>
    </row>
    <row r="393">
      <c r="A393" s="2" t="inlineStr">
        <is>
          <t>B52579272</t>
        </is>
      </c>
      <c r="B393" s="4" t="n">
        <v>201.28</v>
      </c>
      <c r="C393" s="3" t="n">
        <v>46039</v>
      </c>
      <c r="D393" s="3" t="n">
        <v>46116</v>
      </c>
      <c r="E393" s="2" t="n">
        <v>58</v>
      </c>
      <c r="F393" s="2" t="n">
        <v>46.14</v>
      </c>
      <c r="G393" s="2" t="n">
        <v>0.75</v>
      </c>
      <c r="H393" s="4" t="n">
        <v>1.51</v>
      </c>
      <c r="I393" s="4" t="n">
        <v>14.96</v>
      </c>
      <c r="J393" s="2" t="n">
        <v>30</v>
      </c>
      <c r="K393" s="4" t="n">
        <v>0.57</v>
      </c>
      <c r="L393" s="4" t="n">
        <v>4.75</v>
      </c>
      <c r="M393" s="4">
        <f>B393*(G393/100)*(J393/100)</f>
        <v/>
      </c>
      <c r="N393" s="4">
        <f>B393*(F393/360/100)*E393*(J393/100)</f>
        <v/>
      </c>
      <c r="O393" s="4">
        <f>K393-M393+L393-N393</f>
        <v/>
      </c>
    </row>
    <row r="394">
      <c r="A394" s="2" t="inlineStr">
        <is>
          <t>B65377603</t>
        </is>
      </c>
      <c r="B394" s="4" t="n">
        <v>828.66</v>
      </c>
      <c r="C394" s="3" t="n">
        <v>46036</v>
      </c>
      <c r="D394" s="3" t="n">
        <v>46178</v>
      </c>
      <c r="E394" s="2" t="n">
        <v>78</v>
      </c>
      <c r="F394" s="2" t="n">
        <v>32.98</v>
      </c>
      <c r="G394" s="2" t="n">
        <v>1.62</v>
      </c>
      <c r="H394" s="4" t="n">
        <v>13.42</v>
      </c>
      <c r="I394" s="4" t="n">
        <v>59.21</v>
      </c>
      <c r="J394" s="2" t="n">
        <v>50</v>
      </c>
      <c r="K394" s="4" t="n">
        <v>6.97</v>
      </c>
      <c r="L394" s="4" t="n">
        <v>29.81</v>
      </c>
      <c r="M394" s="4">
        <f>B394*(G394/100)*(J394/100)</f>
        <v/>
      </c>
      <c r="N394" s="4">
        <f>B394*(F394/360/100)*E394*(J394/100)</f>
        <v/>
      </c>
      <c r="O394" s="4">
        <f>K394-M394+L394-N394</f>
        <v/>
      </c>
    </row>
    <row r="395">
      <c r="A395" s="2" t="inlineStr">
        <is>
          <t>A62809818</t>
        </is>
      </c>
      <c r="B395" s="4" t="n">
        <v>645.03</v>
      </c>
      <c r="C395" s="3" t="n">
        <v>46040</v>
      </c>
      <c r="D395" s="3" t="n">
        <v>46082</v>
      </c>
      <c r="E395" s="2" t="n">
        <v>50</v>
      </c>
      <c r="F395" s="2" t="n">
        <v>27.88</v>
      </c>
      <c r="G395" s="2" t="n">
        <v>1.25</v>
      </c>
      <c r="H395" s="4" t="n">
        <v>8.06</v>
      </c>
      <c r="I395" s="4" t="n">
        <v>24.98</v>
      </c>
      <c r="J395" s="2" t="n">
        <v>70</v>
      </c>
      <c r="K395" s="4" t="n">
        <v>5.79</v>
      </c>
      <c r="L395" s="4" t="n">
        <v>17.65</v>
      </c>
      <c r="M395" s="4">
        <f>B395*(G395/100)*(J395/100)</f>
        <v/>
      </c>
      <c r="N395" s="4">
        <f>B395*(F395/360/100)*E395*(J395/100)</f>
        <v/>
      </c>
      <c r="O395" s="4">
        <f>K395-M395+L395-N395</f>
        <v/>
      </c>
    </row>
    <row r="396">
      <c r="A396" s="2" t="inlineStr">
        <is>
          <t>A33058693</t>
        </is>
      </c>
      <c r="B396" s="4" t="n">
        <v>679.47</v>
      </c>
      <c r="C396" s="3" t="n">
        <v>46043</v>
      </c>
      <c r="D396" s="3" t="n">
        <v>46132</v>
      </c>
      <c r="E396" s="2" t="n">
        <v>30</v>
      </c>
      <c r="F396" s="2" t="n">
        <v>25.81</v>
      </c>
      <c r="G396" s="2" t="n">
        <v>2.51</v>
      </c>
      <c r="H396" s="4" t="n">
        <v>17.05</v>
      </c>
      <c r="I396" s="4" t="n">
        <v>14.61</v>
      </c>
      <c r="J396" s="2" t="n">
        <v>40</v>
      </c>
      <c r="K396" s="4" t="n">
        <v>6.93</v>
      </c>
      <c r="L396" s="4" t="n">
        <v>5.58</v>
      </c>
      <c r="M396" s="4">
        <f>B396*(G396/100)*(J396/100)</f>
        <v/>
      </c>
      <c r="N396" s="4">
        <f>B396*(F396/360/100)*E396*(J396/100)</f>
        <v/>
      </c>
      <c r="O396" s="4">
        <f>K396-M396+L396-N396</f>
        <v/>
      </c>
    </row>
    <row r="397">
      <c r="A397" s="2" t="inlineStr">
        <is>
          <t>A87790879</t>
        </is>
      </c>
      <c r="B397" s="4" t="n">
        <v>645.3200000000001</v>
      </c>
      <c r="C397" s="3" t="n">
        <v>46024</v>
      </c>
      <c r="D397" s="3" t="n">
        <v>46058</v>
      </c>
      <c r="E397" s="2" t="n">
        <v>68</v>
      </c>
      <c r="F397" s="2" t="n">
        <v>27.04</v>
      </c>
      <c r="G397" s="2" t="n">
        <v>2.17</v>
      </c>
      <c r="H397" s="4" t="n">
        <v>14</v>
      </c>
      <c r="I397" s="4" t="n">
        <v>32.96</v>
      </c>
      <c r="J397" s="2" t="n">
        <v>20</v>
      </c>
      <c r="K397" s="4" t="n">
        <v>2.72</v>
      </c>
      <c r="L397" s="4" t="n">
        <v>6.81</v>
      </c>
      <c r="M397" s="4">
        <f>B397*(G397/100)*(J397/100)</f>
        <v/>
      </c>
      <c r="N397" s="4">
        <f>B397*(F397/360/100)*E397*(J397/100)</f>
        <v/>
      </c>
      <c r="O397" s="4">
        <f>K397-M397+L397-N397</f>
        <v/>
      </c>
    </row>
    <row r="398">
      <c r="A398" s="2" t="inlineStr">
        <is>
          <t>B73219548</t>
        </is>
      </c>
      <c r="B398" s="4" t="n">
        <v>5008.01</v>
      </c>
      <c r="C398" s="3" t="n">
        <v>46023</v>
      </c>
      <c r="D398" s="3" t="n">
        <v>46210</v>
      </c>
      <c r="E398" s="2" t="n">
        <v>36</v>
      </c>
      <c r="F398" s="2" t="n">
        <v>11.18</v>
      </c>
      <c r="G398" s="2" t="n">
        <v>0.58</v>
      </c>
      <c r="H398" s="4" t="n">
        <v>29.05</v>
      </c>
      <c r="I398" s="4" t="n">
        <v>55.99</v>
      </c>
      <c r="J398" s="2" t="n">
        <v>60</v>
      </c>
      <c r="K398" s="4" t="n">
        <v>17.46</v>
      </c>
      <c r="L398" s="4" t="n">
        <v>33.75</v>
      </c>
      <c r="M398" s="4">
        <f>B398*(G398/100)*(J398/100)</f>
        <v/>
      </c>
      <c r="N398" s="4">
        <f>B398*(F398/360/100)*E398*(J398/100)</f>
        <v/>
      </c>
      <c r="O398" s="4">
        <f>K398-M398+L398-N398</f>
        <v/>
      </c>
    </row>
    <row r="399">
      <c r="A399" s="2" t="inlineStr">
        <is>
          <t>A53673252</t>
        </is>
      </c>
      <c r="B399" s="4" t="n">
        <v>953.24</v>
      </c>
      <c r="C399" s="3" t="n">
        <v>46035</v>
      </c>
      <c r="D399" s="3" t="n">
        <v>46132</v>
      </c>
      <c r="E399" s="2" t="n">
        <v>26</v>
      </c>
      <c r="F399" s="2" t="n">
        <v>45.89</v>
      </c>
      <c r="G399" s="2" t="n">
        <v>0.97</v>
      </c>
      <c r="H399" s="4" t="n">
        <v>9.25</v>
      </c>
      <c r="I399" s="4" t="n">
        <v>31.59</v>
      </c>
      <c r="J399" s="2" t="n">
        <v>30</v>
      </c>
      <c r="K399" s="4" t="n">
        <v>3.06</v>
      </c>
      <c r="L399" s="4" t="n">
        <v>9.539999999999999</v>
      </c>
      <c r="M399" s="4">
        <f>B399*(G399/100)*(J399/100)</f>
        <v/>
      </c>
      <c r="N399" s="4">
        <f>B399*(F399/360/100)*E399*(J399/100)</f>
        <v/>
      </c>
      <c r="O399" s="4">
        <f>K399-M399+L399-N399</f>
        <v/>
      </c>
    </row>
    <row r="400">
      <c r="A400" s="2" t="inlineStr">
        <is>
          <t>A71535854</t>
        </is>
      </c>
      <c r="B400" s="4" t="n">
        <v>9385.219999999999</v>
      </c>
      <c r="C400" s="3" t="n">
        <v>46025</v>
      </c>
      <c r="D400" s="3" t="n">
        <v>46187</v>
      </c>
      <c r="E400" s="2" t="n">
        <v>33</v>
      </c>
      <c r="F400" s="2" t="n">
        <v>18.78</v>
      </c>
      <c r="G400" s="2" t="n">
        <v>1.73</v>
      </c>
      <c r="H400" s="4" t="n">
        <v>162.36</v>
      </c>
      <c r="I400" s="4" t="n">
        <v>161.57</v>
      </c>
      <c r="J400" s="2" t="n">
        <v>70</v>
      </c>
      <c r="K400" s="4" t="n">
        <v>113.53</v>
      </c>
      <c r="L400" s="4" t="n">
        <v>113.05</v>
      </c>
      <c r="M400" s="4">
        <f>B400*(G400/100)*(J400/100)</f>
        <v/>
      </c>
      <c r="N400" s="4">
        <f>B400*(F400/360/100)*E400*(J400/100)</f>
        <v/>
      </c>
      <c r="O400" s="4">
        <f>K400-M400+L400-N400</f>
        <v/>
      </c>
    </row>
    <row r="401">
      <c r="A401" s="2" t="inlineStr">
        <is>
          <t>A34982925</t>
        </is>
      </c>
      <c r="B401" s="4" t="n">
        <v>981.48</v>
      </c>
      <c r="C401" s="3" t="n">
        <v>46023</v>
      </c>
      <c r="D401" s="3" t="n">
        <v>46212</v>
      </c>
      <c r="E401" s="2" t="n">
        <v>20</v>
      </c>
      <c r="F401" s="2" t="n">
        <v>37.09</v>
      </c>
      <c r="G401" s="2" t="n">
        <v>1.76</v>
      </c>
      <c r="H401" s="4" t="n">
        <v>17.27</v>
      </c>
      <c r="I401" s="4" t="n">
        <v>20.22</v>
      </c>
      <c r="J401" s="2" t="n">
        <v>30</v>
      </c>
      <c r="K401" s="4" t="n">
        <v>5.48</v>
      </c>
      <c r="L401" s="4" t="n">
        <v>5.92</v>
      </c>
      <c r="M401" s="4">
        <f>B401*(G401/100)*(J401/100)</f>
        <v/>
      </c>
      <c r="N401" s="4">
        <f>B401*(F401/360/100)*E401*(J401/100)</f>
        <v/>
      </c>
      <c r="O401" s="4">
        <f>K401-M401+L401-N401</f>
        <v/>
      </c>
    </row>
    <row r="402">
      <c r="A402" s="2" t="inlineStr">
        <is>
          <t>A87369793</t>
        </is>
      </c>
      <c r="B402" s="4" t="n">
        <v>5961.68</v>
      </c>
      <c r="C402" s="3" t="n">
        <v>46026</v>
      </c>
      <c r="D402" s="3" t="n">
        <v>46145</v>
      </c>
      <c r="E402" s="2" t="n">
        <v>33</v>
      </c>
      <c r="F402" s="2" t="n">
        <v>44.56</v>
      </c>
      <c r="G402" s="2" t="n">
        <v>1.61</v>
      </c>
      <c r="H402" s="4" t="n">
        <v>95.98</v>
      </c>
      <c r="I402" s="4" t="n">
        <v>243.51</v>
      </c>
      <c r="J402" s="2" t="n">
        <v>40</v>
      </c>
      <c r="K402" s="4" t="n">
        <v>38.35</v>
      </c>
      <c r="L402" s="4" t="n">
        <v>97.3</v>
      </c>
      <c r="M402" s="4">
        <f>B402*(G402/100)*(J402/100)</f>
        <v/>
      </c>
      <c r="N402" s="4">
        <f>B402*(F402/360/100)*E402*(J402/100)</f>
        <v/>
      </c>
      <c r="O402" s="4">
        <f>K402-M402+L402-N402</f>
        <v/>
      </c>
    </row>
    <row r="403">
      <c r="A403" s="2" t="inlineStr">
        <is>
          <t>B71738399</t>
        </is>
      </c>
      <c r="B403" s="4" t="n">
        <v>8251.889999999999</v>
      </c>
      <c r="C403" s="3" t="n">
        <v>46035</v>
      </c>
      <c r="D403" s="3" t="n">
        <v>46218</v>
      </c>
      <c r="E403" s="2" t="n">
        <v>38</v>
      </c>
      <c r="F403" s="2" t="n">
        <v>28.4</v>
      </c>
      <c r="G403" s="2" t="n">
        <v>1.29</v>
      </c>
      <c r="H403" s="4" t="n">
        <v>106.45</v>
      </c>
      <c r="I403" s="4" t="n">
        <v>247.37</v>
      </c>
      <c r="J403" s="2" t="n">
        <v>70</v>
      </c>
      <c r="K403" s="4" t="n">
        <v>74.66</v>
      </c>
      <c r="L403" s="4" t="n">
        <v>173.28</v>
      </c>
      <c r="M403" s="4">
        <f>B403*(G403/100)*(J403/100)</f>
        <v/>
      </c>
      <c r="N403" s="4">
        <f>B403*(F403/360/100)*E403*(J403/100)</f>
        <v/>
      </c>
      <c r="O403" s="4">
        <f>K403-M403+L403-N403</f>
        <v/>
      </c>
    </row>
    <row r="404">
      <c r="A404" s="2" t="inlineStr">
        <is>
          <t>B64401496</t>
        </is>
      </c>
      <c r="B404" s="4" t="n">
        <v>873.15</v>
      </c>
      <c r="C404" s="3" t="n">
        <v>46032</v>
      </c>
      <c r="D404" s="3" t="n">
        <v>46187</v>
      </c>
      <c r="E404" s="2" t="n">
        <v>60</v>
      </c>
      <c r="F404" s="2" t="n">
        <v>36.75</v>
      </c>
      <c r="G404" s="2" t="n">
        <v>0.98</v>
      </c>
      <c r="H404" s="4" t="n">
        <v>8.56</v>
      </c>
      <c r="I404" s="4" t="n">
        <v>53.48</v>
      </c>
      <c r="J404" s="2" t="n">
        <v>40</v>
      </c>
      <c r="K404" s="4" t="n">
        <v>3.26</v>
      </c>
      <c r="L404" s="4" t="n">
        <v>21.44</v>
      </c>
      <c r="M404" s="4">
        <f>B404*(G404/100)*(J404/100)</f>
        <v/>
      </c>
      <c r="N404" s="4">
        <f>B404*(F404/360/100)*E404*(J404/100)</f>
        <v/>
      </c>
      <c r="O404" s="4">
        <f>K404-M404+L404-N404</f>
        <v/>
      </c>
    </row>
    <row r="405">
      <c r="A405" s="2" t="inlineStr">
        <is>
          <t>A29295437</t>
        </is>
      </c>
      <c r="B405" s="4" t="n">
        <v>393.3</v>
      </c>
      <c r="C405" s="3" t="n">
        <v>46028</v>
      </c>
      <c r="D405" s="3" t="n">
        <v>46091</v>
      </c>
      <c r="E405" s="2" t="n">
        <v>84</v>
      </c>
      <c r="F405" s="2" t="n">
        <v>49.66</v>
      </c>
      <c r="G405" s="2" t="n">
        <v>2.23</v>
      </c>
      <c r="H405" s="4" t="n">
        <v>8.77</v>
      </c>
      <c r="I405" s="4" t="n">
        <v>45.57</v>
      </c>
      <c r="J405" s="2" t="n">
        <v>40</v>
      </c>
      <c r="K405" s="4" t="n">
        <v>3.72</v>
      </c>
      <c r="L405" s="4" t="n">
        <v>18.13</v>
      </c>
      <c r="M405" s="4">
        <f>B405*(G405/100)*(J405/100)</f>
        <v/>
      </c>
      <c r="N405" s="4">
        <f>B405*(F405/360/100)*E405*(J405/100)</f>
        <v/>
      </c>
      <c r="O405" s="4">
        <f>K405-M405+L405-N405</f>
        <v/>
      </c>
    </row>
    <row r="406">
      <c r="A406" s="2" t="inlineStr">
        <is>
          <t>A09361757</t>
        </is>
      </c>
      <c r="B406" s="4" t="n">
        <v>3596.16</v>
      </c>
      <c r="C406" s="3" t="n">
        <v>46034</v>
      </c>
      <c r="D406" s="3" t="n">
        <v>46210</v>
      </c>
      <c r="E406" s="2" t="n">
        <v>41</v>
      </c>
      <c r="F406" s="2" t="n">
        <v>27.01</v>
      </c>
      <c r="G406" s="2" t="n">
        <v>1.7</v>
      </c>
      <c r="H406" s="4" t="n">
        <v>61.13</v>
      </c>
      <c r="I406" s="4" t="n">
        <v>110.62</v>
      </c>
      <c r="J406" s="2" t="n">
        <v>30</v>
      </c>
      <c r="K406" s="4" t="n">
        <v>18.59</v>
      </c>
      <c r="L406" s="4" t="n">
        <v>32.92</v>
      </c>
      <c r="M406" s="4">
        <f>B406*(G406/100)*(J406/100)</f>
        <v/>
      </c>
      <c r="N406" s="4">
        <f>B406*(F406/360/100)*E406*(J406/100)</f>
        <v/>
      </c>
      <c r="O406" s="4">
        <f>K406-M406+L406-N406</f>
        <v/>
      </c>
    </row>
    <row r="407">
      <c r="A407" s="2" t="inlineStr">
        <is>
          <t>B59508945</t>
        </is>
      </c>
      <c r="B407" s="4" t="n">
        <v>383.71</v>
      </c>
      <c r="C407" s="3" t="n">
        <v>46049</v>
      </c>
      <c r="D407" s="3" t="n">
        <v>46219</v>
      </c>
      <c r="E407" s="2" t="n">
        <v>15</v>
      </c>
      <c r="F407" s="2" t="n">
        <v>21.16</v>
      </c>
      <c r="G407" s="2" t="n">
        <v>1.13</v>
      </c>
      <c r="H407" s="4" t="n">
        <v>4.34</v>
      </c>
      <c r="I407" s="4" t="n">
        <v>3.38</v>
      </c>
      <c r="J407" s="2" t="n">
        <v>50</v>
      </c>
      <c r="K407" s="4" t="n">
        <v>1.98</v>
      </c>
      <c r="L407" s="4" t="n">
        <v>1.42</v>
      </c>
      <c r="M407" s="4">
        <f>B407*(G407/100)*(J407/100)</f>
        <v/>
      </c>
      <c r="N407" s="4">
        <f>B407*(F407/360/100)*E407*(J407/100)</f>
        <v/>
      </c>
      <c r="O407" s="4">
        <f>K407-M407+L407-N407</f>
        <v/>
      </c>
    </row>
    <row r="408">
      <c r="A408" s="2" t="inlineStr">
        <is>
          <t>A88641215</t>
        </is>
      </c>
      <c r="B408" s="4" t="n">
        <v>248.82</v>
      </c>
      <c r="C408" s="3" t="n">
        <v>46044</v>
      </c>
      <c r="D408" s="3" t="n">
        <v>46120</v>
      </c>
      <c r="E408" s="2" t="n">
        <v>53</v>
      </c>
      <c r="F408" s="2" t="n">
        <v>38.71</v>
      </c>
      <c r="G408" s="2" t="n">
        <v>2.07</v>
      </c>
      <c r="H408" s="4" t="n">
        <v>5.15</v>
      </c>
      <c r="I408" s="4" t="n">
        <v>14.18</v>
      </c>
      <c r="J408" s="2" t="n">
        <v>40</v>
      </c>
      <c r="K408" s="4" t="n">
        <v>2.18</v>
      </c>
      <c r="L408" s="4" t="n">
        <v>5.66</v>
      </c>
      <c r="M408" s="4">
        <f>B408*(G408/100)*(J408/100)</f>
        <v/>
      </c>
      <c r="N408" s="4">
        <f>B408*(F408/360/100)*E408*(J408/100)</f>
        <v/>
      </c>
      <c r="O408" s="4">
        <f>K408-M408+L408-N408</f>
        <v/>
      </c>
    </row>
    <row r="409">
      <c r="A409" s="2" t="inlineStr">
        <is>
          <t>A64349113</t>
        </is>
      </c>
      <c r="B409" s="4" t="n">
        <v>780.76</v>
      </c>
      <c r="C409" s="3" t="n">
        <v>46041</v>
      </c>
      <c r="D409" s="3" t="n">
        <v>46209</v>
      </c>
      <c r="E409" s="2" t="n">
        <v>77</v>
      </c>
      <c r="F409" s="2" t="n">
        <v>27.83</v>
      </c>
      <c r="G409" s="2" t="n">
        <v>0.76</v>
      </c>
      <c r="H409" s="4" t="n">
        <v>5.93</v>
      </c>
      <c r="I409" s="4" t="n">
        <v>46.47</v>
      </c>
      <c r="J409" s="2" t="n">
        <v>60</v>
      </c>
      <c r="K409" s="4" t="n">
        <v>3.37</v>
      </c>
      <c r="L409" s="4" t="n">
        <v>28.03</v>
      </c>
      <c r="M409" s="4">
        <f>B409*(G409/100)*(J409/100)</f>
        <v/>
      </c>
      <c r="N409" s="4">
        <f>B409*(F409/360/100)*E409*(J409/100)</f>
        <v/>
      </c>
      <c r="O409" s="4">
        <f>K409-M409+L409-N409</f>
        <v/>
      </c>
    </row>
    <row r="410">
      <c r="A410" s="2" t="inlineStr">
        <is>
          <t>B57710045</t>
        </is>
      </c>
      <c r="B410" s="4" t="n">
        <v>256.48</v>
      </c>
      <c r="C410" s="3" t="n">
        <v>46043</v>
      </c>
      <c r="D410" s="3" t="n">
        <v>46181</v>
      </c>
      <c r="E410" s="2" t="n">
        <v>51</v>
      </c>
      <c r="F410" s="2" t="n">
        <v>24.11</v>
      </c>
      <c r="G410" s="2" t="n">
        <v>1.68</v>
      </c>
      <c r="H410" s="4" t="n">
        <v>4.31</v>
      </c>
      <c r="I410" s="4" t="n">
        <v>8.76</v>
      </c>
      <c r="J410" s="2" t="n">
        <v>70</v>
      </c>
      <c r="K410" s="4" t="n">
        <v>2.72</v>
      </c>
      <c r="L410" s="4" t="n">
        <v>6.04</v>
      </c>
      <c r="M410" s="4">
        <f>B410*(G410/100)*(J410/100)</f>
        <v/>
      </c>
      <c r="N410" s="4">
        <f>B410*(F410/360/100)*E410*(J410/100)</f>
        <v/>
      </c>
      <c r="O410" s="4">
        <f>K410-M410+L410-N410</f>
        <v/>
      </c>
    </row>
    <row r="411">
      <c r="A411" s="2" t="inlineStr">
        <is>
          <t>B09652862</t>
        </is>
      </c>
      <c r="B411" s="4" t="n">
        <v>4699.44</v>
      </c>
      <c r="C411" s="3" t="n">
        <v>46039</v>
      </c>
      <c r="D411" s="3" t="n">
        <v>46196</v>
      </c>
      <c r="E411" s="2" t="n">
        <v>39</v>
      </c>
      <c r="F411" s="2" t="n">
        <v>43.37</v>
      </c>
      <c r="G411" s="2" t="n">
        <v>2.49</v>
      </c>
      <c r="H411" s="4" t="n">
        <v>117.02</v>
      </c>
      <c r="I411" s="4" t="n">
        <v>220.8</v>
      </c>
      <c r="J411" s="2" t="n">
        <v>30</v>
      </c>
      <c r="K411" s="4" t="n">
        <v>34.98</v>
      </c>
      <c r="L411" s="4" t="n">
        <v>66.15000000000001</v>
      </c>
      <c r="M411" s="4">
        <f>B411*(G411/100)*(J411/100)</f>
        <v/>
      </c>
      <c r="N411" s="4">
        <f>B411*(F411/360/100)*E411*(J411/100)</f>
        <v/>
      </c>
      <c r="O411" s="4">
        <f>K411-M411+L411-N411</f>
        <v/>
      </c>
    </row>
    <row r="412">
      <c r="A412" s="2" t="inlineStr">
        <is>
          <t>A05454986</t>
        </is>
      </c>
      <c r="B412" s="4" t="n">
        <v>8751.77</v>
      </c>
      <c r="C412" s="3" t="n">
        <v>46023</v>
      </c>
      <c r="D412" s="3" t="n">
        <v>46165</v>
      </c>
      <c r="E412" s="2" t="n">
        <v>50</v>
      </c>
      <c r="F412" s="2" t="n">
        <v>10.79</v>
      </c>
      <c r="G412" s="2" t="n">
        <v>0.7</v>
      </c>
      <c r="H412" s="4" t="n">
        <v>61.26</v>
      </c>
      <c r="I412" s="4" t="n">
        <v>131.15</v>
      </c>
      <c r="J412" s="2" t="n">
        <v>50</v>
      </c>
      <c r="K412" s="4" t="n">
        <v>30.62</v>
      </c>
      <c r="L412" s="4" t="n">
        <v>65.81999999999999</v>
      </c>
      <c r="M412" s="4">
        <f>B412*(G412/100)*(J412/100)</f>
        <v/>
      </c>
      <c r="N412" s="4">
        <f>B412*(F412/360/100)*E412*(J412/100)</f>
        <v/>
      </c>
      <c r="O412" s="4">
        <f>K412-M412+L412-N412</f>
        <v/>
      </c>
    </row>
    <row r="413">
      <c r="A413" s="2" t="inlineStr">
        <is>
          <t>A83294252</t>
        </is>
      </c>
      <c r="B413" s="4" t="n">
        <v>366.04</v>
      </c>
      <c r="C413" s="3" t="n">
        <v>46030</v>
      </c>
      <c r="D413" s="3" t="n">
        <v>46117</v>
      </c>
      <c r="E413" s="2" t="n">
        <v>36</v>
      </c>
      <c r="F413" s="2" t="n">
        <v>31.54</v>
      </c>
      <c r="G413" s="2" t="n">
        <v>2.7</v>
      </c>
      <c r="H413" s="4" t="n">
        <v>9.880000000000001</v>
      </c>
      <c r="I413" s="4" t="n">
        <v>11.54</v>
      </c>
      <c r="J413" s="2" t="n">
        <v>30</v>
      </c>
      <c r="K413" s="4" t="n">
        <v>2.7</v>
      </c>
      <c r="L413" s="4" t="n">
        <v>3.54</v>
      </c>
      <c r="M413" s="4">
        <f>B413*(G413/100)*(J413/100)</f>
        <v/>
      </c>
      <c r="N413" s="4">
        <f>B413*(F413/360/100)*E413*(J413/100)</f>
        <v/>
      </c>
      <c r="O413" s="4">
        <f>K413-M413+L413-N413</f>
        <v/>
      </c>
    </row>
    <row r="414">
      <c r="A414" s="2" t="inlineStr">
        <is>
          <t>A46991051</t>
        </is>
      </c>
      <c r="B414" s="4" t="n">
        <v>685.1799999999999</v>
      </c>
      <c r="C414" s="3" t="n">
        <v>46025</v>
      </c>
      <c r="D414" s="3" t="n">
        <v>46208</v>
      </c>
      <c r="E414" s="2" t="n">
        <v>70</v>
      </c>
      <c r="F414" s="2" t="n">
        <v>49.26</v>
      </c>
      <c r="G414" s="2" t="n">
        <v>2.88</v>
      </c>
      <c r="H414" s="4" t="n">
        <v>19.73</v>
      </c>
      <c r="I414" s="4" t="n">
        <v>65.63</v>
      </c>
      <c r="J414" s="2" t="n">
        <v>60</v>
      </c>
      <c r="K414" s="4" t="n">
        <v>11.74</v>
      </c>
      <c r="L414" s="4" t="n">
        <v>39.48</v>
      </c>
      <c r="M414" s="4">
        <f>B414*(G414/100)*(J414/100)</f>
        <v/>
      </c>
      <c r="N414" s="4">
        <f>B414*(F414/360/100)*E414*(J414/100)</f>
        <v/>
      </c>
      <c r="O414" s="4">
        <f>K414-M414+L414-N414</f>
        <v/>
      </c>
    </row>
    <row r="415">
      <c r="A415" s="2" t="inlineStr">
        <is>
          <t>B89382373</t>
        </is>
      </c>
      <c r="B415" s="4" t="n">
        <v>571.64</v>
      </c>
      <c r="C415" s="3" t="n">
        <v>46046</v>
      </c>
      <c r="D415" s="3" t="n">
        <v>46168</v>
      </c>
      <c r="E415" s="2" t="n">
        <v>90</v>
      </c>
      <c r="F415" s="2" t="n">
        <v>25.34</v>
      </c>
      <c r="G415" s="2" t="n">
        <v>0.96</v>
      </c>
      <c r="H415" s="4" t="n">
        <v>5.49</v>
      </c>
      <c r="I415" s="4" t="n">
        <v>36.21</v>
      </c>
      <c r="J415" s="2" t="n">
        <v>70</v>
      </c>
      <c r="K415" s="4" t="n">
        <v>4.05</v>
      </c>
      <c r="L415" s="4" t="n">
        <v>25.27</v>
      </c>
      <c r="M415" s="4">
        <f>B415*(G415/100)*(J415/100)</f>
        <v/>
      </c>
      <c r="N415" s="4">
        <f>B415*(F415/360/100)*E415*(J415/100)</f>
        <v/>
      </c>
      <c r="O415" s="4">
        <f>K415-M415+L415-N415</f>
        <v/>
      </c>
    </row>
    <row r="416">
      <c r="A416" s="2" t="inlineStr">
        <is>
          <t>A77482351</t>
        </is>
      </c>
      <c r="B416" s="4" t="n">
        <v>936.34</v>
      </c>
      <c r="C416" s="3" t="n">
        <v>46034</v>
      </c>
      <c r="D416" s="3" t="n">
        <v>46225</v>
      </c>
      <c r="E416" s="2" t="n">
        <v>17</v>
      </c>
      <c r="F416" s="2" t="n">
        <v>24.67</v>
      </c>
      <c r="G416" s="2" t="n">
        <v>1.71</v>
      </c>
      <c r="H416" s="4" t="n">
        <v>16.01</v>
      </c>
      <c r="I416" s="4" t="n">
        <v>10.91</v>
      </c>
      <c r="J416" s="2" t="n">
        <v>20</v>
      </c>
      <c r="K416" s="4" t="n">
        <v>3.08</v>
      </c>
      <c r="L416" s="4" t="n">
        <v>2.13</v>
      </c>
      <c r="M416" s="4">
        <f>B416*(G416/100)*(J416/100)</f>
        <v/>
      </c>
      <c r="N416" s="4">
        <f>B416*(F416/360/100)*E416*(J416/100)</f>
        <v/>
      </c>
      <c r="O416" s="4">
        <f>K416-M416+L416-N416</f>
        <v/>
      </c>
    </row>
    <row r="417">
      <c r="A417" s="2" t="inlineStr">
        <is>
          <t>A15344900</t>
        </is>
      </c>
      <c r="B417" s="4" t="n">
        <v>162.76</v>
      </c>
      <c r="C417" s="3" t="n">
        <v>46039</v>
      </c>
      <c r="D417" s="3" t="n">
        <v>46175</v>
      </c>
      <c r="E417" s="2" t="n">
        <v>32</v>
      </c>
      <c r="F417" s="2" t="n">
        <v>24.31</v>
      </c>
      <c r="G417" s="2" t="n">
        <v>0.66</v>
      </c>
      <c r="H417" s="4" t="n">
        <v>1.07</v>
      </c>
      <c r="I417" s="4" t="n">
        <v>3.52</v>
      </c>
      <c r="J417" s="2" t="n">
        <v>50</v>
      </c>
      <c r="K417" s="4" t="n">
        <v>0.37</v>
      </c>
      <c r="L417" s="4" t="n">
        <v>1.62</v>
      </c>
      <c r="M417" s="4">
        <f>B417*(G417/100)*(J417/100)</f>
        <v/>
      </c>
      <c r="N417" s="4">
        <f>B417*(F417/360/100)*E417*(J417/100)</f>
        <v/>
      </c>
      <c r="O417" s="4">
        <f>K417-M417+L417-N417</f>
        <v/>
      </c>
    </row>
    <row r="418">
      <c r="A418" s="2" t="inlineStr">
        <is>
          <t>A64935709</t>
        </is>
      </c>
      <c r="B418" s="4" t="n">
        <v>742.15</v>
      </c>
      <c r="C418" s="3" t="n">
        <v>46049</v>
      </c>
      <c r="D418" s="3" t="n">
        <v>46125</v>
      </c>
      <c r="E418" s="2" t="n">
        <v>60</v>
      </c>
      <c r="F418" s="2" t="n">
        <v>41.11</v>
      </c>
      <c r="G418" s="2" t="n">
        <v>1.61</v>
      </c>
      <c r="H418" s="4" t="n">
        <v>11.95</v>
      </c>
      <c r="I418" s="4" t="n">
        <v>50.85</v>
      </c>
      <c r="J418" s="2" t="n">
        <v>20</v>
      </c>
      <c r="K418" s="4" t="n">
        <v>2.35</v>
      </c>
      <c r="L418" s="4" t="n">
        <v>10.27</v>
      </c>
      <c r="M418" s="4">
        <f>B418*(G418/100)*(J418/100)</f>
        <v/>
      </c>
      <c r="N418" s="4">
        <f>B418*(F418/360/100)*E418*(J418/100)</f>
        <v/>
      </c>
      <c r="O418" s="4">
        <f>K418-M418+L418-N418</f>
        <v/>
      </c>
    </row>
    <row r="419">
      <c r="A419" s="2" t="inlineStr">
        <is>
          <t>A59031137</t>
        </is>
      </c>
      <c r="B419" s="4" t="n">
        <v>366.18</v>
      </c>
      <c r="C419" s="3" t="n">
        <v>46043</v>
      </c>
      <c r="D419" s="3" t="n">
        <v>46083</v>
      </c>
      <c r="E419" s="2" t="n">
        <v>60</v>
      </c>
      <c r="F419" s="2" t="n">
        <v>14.19</v>
      </c>
      <c r="G419" s="2" t="n">
        <v>2.59</v>
      </c>
      <c r="H419" s="4" t="n">
        <v>9.48</v>
      </c>
      <c r="I419" s="4" t="n">
        <v>8.66</v>
      </c>
      <c r="J419" s="2" t="n">
        <v>40</v>
      </c>
      <c r="K419" s="4" t="n">
        <v>4.02</v>
      </c>
      <c r="L419" s="4" t="n">
        <v>3.61</v>
      </c>
      <c r="M419" s="4">
        <f>B419*(G419/100)*(J419/100)</f>
        <v/>
      </c>
      <c r="N419" s="4">
        <f>B419*(F419/360/100)*E419*(J419/100)</f>
        <v/>
      </c>
      <c r="O419" s="4">
        <f>K419-M419+L419-N419</f>
        <v/>
      </c>
    </row>
    <row r="420">
      <c r="A420" s="2" t="inlineStr">
        <is>
          <t>A64349113</t>
        </is>
      </c>
      <c r="B420" s="4" t="n">
        <v>449.91</v>
      </c>
      <c r="C420" s="3" t="n">
        <v>46026</v>
      </c>
      <c r="D420" s="3" t="n">
        <v>46086</v>
      </c>
      <c r="E420" s="2" t="n">
        <v>85</v>
      </c>
      <c r="F420" s="2" t="n">
        <v>31.32</v>
      </c>
      <c r="G420" s="2" t="n">
        <v>2.66</v>
      </c>
      <c r="H420" s="4" t="n">
        <v>11.97</v>
      </c>
      <c r="I420" s="4" t="n">
        <v>33.27</v>
      </c>
      <c r="J420" s="2" t="n">
        <v>40</v>
      </c>
      <c r="K420" s="4" t="n">
        <v>4.76</v>
      </c>
      <c r="L420" s="4" t="n">
        <v>13.32</v>
      </c>
      <c r="M420" s="4">
        <f>B420*(G420/100)*(J420/100)</f>
        <v/>
      </c>
      <c r="N420" s="4">
        <f>B420*(F420/360/100)*E420*(J420/100)</f>
        <v/>
      </c>
      <c r="O420" s="4">
        <f>K420-M420+L420-N420</f>
        <v/>
      </c>
    </row>
    <row r="421">
      <c r="A421" s="2" t="inlineStr">
        <is>
          <t>A08097624</t>
        </is>
      </c>
      <c r="B421" s="4" t="n">
        <v>196.57</v>
      </c>
      <c r="C421" s="3" t="n">
        <v>46032</v>
      </c>
      <c r="D421" s="3" t="n">
        <v>46147</v>
      </c>
      <c r="E421" s="2" t="n">
        <v>83</v>
      </c>
      <c r="F421" s="2" t="n">
        <v>48.98</v>
      </c>
      <c r="G421" s="2" t="n">
        <v>2.24</v>
      </c>
      <c r="H421" s="4" t="n">
        <v>4.4</v>
      </c>
      <c r="I421" s="4" t="n">
        <v>22.2</v>
      </c>
      <c r="J421" s="2" t="n">
        <v>60</v>
      </c>
      <c r="K421" s="4" t="n">
        <v>2.78</v>
      </c>
      <c r="L421" s="4" t="n">
        <v>13.34</v>
      </c>
      <c r="M421" s="4">
        <f>B421*(G421/100)*(J421/100)</f>
        <v/>
      </c>
      <c r="N421" s="4">
        <f>B421*(F421/360/100)*E421*(J421/100)</f>
        <v/>
      </c>
      <c r="O421" s="4">
        <f>K421-M421+L421-N421</f>
        <v/>
      </c>
    </row>
    <row r="422">
      <c r="A422" s="2" t="inlineStr">
        <is>
          <t>A37570540</t>
        </is>
      </c>
      <c r="B422" s="4" t="n">
        <v>390.61</v>
      </c>
      <c r="C422" s="3" t="n">
        <v>46026</v>
      </c>
      <c r="D422" s="3" t="n">
        <v>46181</v>
      </c>
      <c r="E422" s="2" t="n">
        <v>58</v>
      </c>
      <c r="F422" s="2" t="n">
        <v>32.26</v>
      </c>
      <c r="G422" s="2" t="n">
        <v>1</v>
      </c>
      <c r="H422" s="4" t="n">
        <v>3.91</v>
      </c>
      <c r="I422" s="4" t="n">
        <v>20.3</v>
      </c>
      <c r="J422" s="2" t="n">
        <v>30</v>
      </c>
      <c r="K422" s="4" t="n">
        <v>1.43</v>
      </c>
      <c r="L422" s="4" t="n">
        <v>6</v>
      </c>
      <c r="M422" s="4">
        <f>B422*(G422/100)*(J422/100)</f>
        <v/>
      </c>
      <c r="N422" s="4">
        <f>B422*(F422/360/100)*E422*(J422/100)</f>
        <v/>
      </c>
      <c r="O422" s="4">
        <f>K422-M422+L422-N422</f>
        <v/>
      </c>
    </row>
    <row r="423">
      <c r="A423" s="2" t="inlineStr">
        <is>
          <t>A14358012</t>
        </is>
      </c>
      <c r="B423" s="4" t="n">
        <v>8637.559999999999</v>
      </c>
      <c r="C423" s="3" t="n">
        <v>46028</v>
      </c>
      <c r="D423" s="3" t="n">
        <v>46217</v>
      </c>
      <c r="E423" s="2" t="n">
        <v>80</v>
      </c>
      <c r="F423" s="2" t="n">
        <v>48.36</v>
      </c>
      <c r="G423" s="2" t="n">
        <v>0.85</v>
      </c>
      <c r="H423" s="4" t="n">
        <v>73.42</v>
      </c>
      <c r="I423" s="4" t="n">
        <v>928.25</v>
      </c>
      <c r="J423" s="2" t="n">
        <v>30</v>
      </c>
      <c r="K423" s="4" t="n">
        <v>21.96</v>
      </c>
      <c r="L423" s="4" t="n">
        <v>278.32</v>
      </c>
      <c r="M423" s="4">
        <f>B423*(G423/100)*(J423/100)</f>
        <v/>
      </c>
      <c r="N423" s="4">
        <f>B423*(F423/360/100)*E423*(J423/100)</f>
        <v/>
      </c>
      <c r="O423" s="4">
        <f>K423-M423+L423-N423</f>
        <v/>
      </c>
    </row>
    <row r="424">
      <c r="A424" s="2" t="inlineStr">
        <is>
          <t>B97041895</t>
        </is>
      </c>
      <c r="B424" s="4" t="n">
        <v>165.19</v>
      </c>
      <c r="C424" s="3" t="n">
        <v>46033</v>
      </c>
      <c r="D424" s="3" t="n">
        <v>46167</v>
      </c>
      <c r="E424" s="2" t="n">
        <v>60</v>
      </c>
      <c r="F424" s="2" t="n">
        <v>35.5</v>
      </c>
      <c r="G424" s="2" t="n">
        <v>1.62</v>
      </c>
      <c r="H424" s="4" t="n">
        <v>2.68</v>
      </c>
      <c r="I424" s="4" t="n">
        <v>9.77</v>
      </c>
      <c r="J424" s="2" t="n">
        <v>60</v>
      </c>
      <c r="K424" s="4" t="n">
        <v>1.39</v>
      </c>
      <c r="L424" s="4" t="n">
        <v>5.75</v>
      </c>
      <c r="M424" s="4">
        <f>B424*(G424/100)*(J424/100)</f>
        <v/>
      </c>
      <c r="N424" s="4">
        <f>B424*(F424/360/100)*E424*(J424/100)</f>
        <v/>
      </c>
      <c r="O424" s="4">
        <f>K424-M424+L424-N424</f>
        <v/>
      </c>
    </row>
    <row r="425">
      <c r="A425" s="2" t="inlineStr">
        <is>
          <t>B72294548</t>
        </is>
      </c>
      <c r="B425" s="4" t="n">
        <v>585.28</v>
      </c>
      <c r="C425" s="3" t="n">
        <v>46044</v>
      </c>
      <c r="D425" s="3" t="n">
        <v>46166</v>
      </c>
      <c r="E425" s="2" t="n">
        <v>10</v>
      </c>
      <c r="F425" s="2" t="n">
        <v>24.35</v>
      </c>
      <c r="G425" s="2" t="n">
        <v>2.29</v>
      </c>
      <c r="H425" s="4" t="n">
        <v>13.4</v>
      </c>
      <c r="I425" s="4" t="n">
        <v>3.96</v>
      </c>
      <c r="J425" s="2" t="n">
        <v>50</v>
      </c>
      <c r="K425" s="4" t="n">
        <v>6.42</v>
      </c>
      <c r="L425" s="4" t="n">
        <v>2.16</v>
      </c>
      <c r="M425" s="4">
        <f>B425*(G425/100)*(J425/100)</f>
        <v/>
      </c>
      <c r="N425" s="4">
        <f>B425*(F425/360/100)*E425*(J425/100)</f>
        <v/>
      </c>
      <c r="O425" s="4">
        <f>K425-M425+L425-N425</f>
        <v/>
      </c>
    </row>
    <row r="426">
      <c r="A426" s="2" t="inlineStr">
        <is>
          <t>B66756052</t>
        </is>
      </c>
      <c r="B426" s="4" t="n">
        <v>998.4</v>
      </c>
      <c r="C426" s="3" t="n">
        <v>46030</v>
      </c>
      <c r="D426" s="3" t="n">
        <v>46070</v>
      </c>
      <c r="E426" s="2" t="n">
        <v>34</v>
      </c>
      <c r="F426" s="2" t="n">
        <v>14.8</v>
      </c>
      <c r="G426" s="2" t="n">
        <v>1.03</v>
      </c>
      <c r="H426" s="4" t="n">
        <v>10.28</v>
      </c>
      <c r="I426" s="4" t="n">
        <v>13.96</v>
      </c>
      <c r="J426" s="2" t="n">
        <v>40</v>
      </c>
      <c r="K426" s="4" t="n">
        <v>3.89</v>
      </c>
      <c r="L426" s="4" t="n">
        <v>5.87</v>
      </c>
      <c r="M426" s="4">
        <f>B426*(G426/100)*(J426/100)</f>
        <v/>
      </c>
      <c r="N426" s="4">
        <f>B426*(F426/360/100)*E426*(J426/100)</f>
        <v/>
      </c>
      <c r="O426" s="4">
        <f>K426-M426+L426-N426</f>
        <v/>
      </c>
    </row>
    <row r="427">
      <c r="A427" s="2" t="inlineStr">
        <is>
          <t>A53324468</t>
        </is>
      </c>
      <c r="B427" s="4" t="n">
        <v>2069.67</v>
      </c>
      <c r="C427" s="3" t="n">
        <v>46040</v>
      </c>
      <c r="D427" s="3" t="n">
        <v>46089</v>
      </c>
      <c r="E427" s="2" t="n">
        <v>50</v>
      </c>
      <c r="F427" s="2" t="n">
        <v>27.79</v>
      </c>
      <c r="G427" s="2" t="n">
        <v>1.35</v>
      </c>
      <c r="H427" s="4" t="n">
        <v>27.94</v>
      </c>
      <c r="I427" s="4" t="n">
        <v>79.88</v>
      </c>
      <c r="J427" s="2" t="n">
        <v>40</v>
      </c>
      <c r="K427" s="4" t="n">
        <v>10.88</v>
      </c>
      <c r="L427" s="4" t="n">
        <v>31.87</v>
      </c>
      <c r="M427" s="4">
        <f>B427*(G427/100)*(J427/100)</f>
        <v/>
      </c>
      <c r="N427" s="4">
        <f>B427*(F427/360/100)*E427*(J427/100)</f>
        <v/>
      </c>
      <c r="O427" s="4">
        <f>K427-M427+L427-N427</f>
        <v/>
      </c>
    </row>
    <row r="428">
      <c r="A428" s="2" t="inlineStr">
        <is>
          <t>A43195305</t>
        </is>
      </c>
      <c r="B428" s="4" t="n">
        <v>723.96</v>
      </c>
      <c r="C428" s="3" t="n">
        <v>46030</v>
      </c>
      <c r="D428" s="3" t="n">
        <v>46125</v>
      </c>
      <c r="E428" s="2" t="n">
        <v>86</v>
      </c>
      <c r="F428" s="2" t="n">
        <v>42.01</v>
      </c>
      <c r="G428" s="2" t="n">
        <v>0.66</v>
      </c>
      <c r="H428" s="4" t="n">
        <v>4.78</v>
      </c>
      <c r="I428" s="4" t="n">
        <v>72.65000000000001</v>
      </c>
      <c r="J428" s="2" t="n">
        <v>40</v>
      </c>
      <c r="K428" s="4" t="n">
        <v>1.95</v>
      </c>
      <c r="L428" s="4" t="n">
        <v>29.35</v>
      </c>
      <c r="M428" s="4">
        <f>B428*(G428/100)*(J428/100)</f>
        <v/>
      </c>
      <c r="N428" s="4">
        <f>B428*(F428/360/100)*E428*(J428/100)</f>
        <v/>
      </c>
      <c r="O428" s="4">
        <f>K428-M428+L428-N428</f>
        <v/>
      </c>
    </row>
    <row r="429">
      <c r="A429" s="2" t="inlineStr">
        <is>
          <t>A61795318</t>
        </is>
      </c>
      <c r="B429" s="4" t="n">
        <v>108.72</v>
      </c>
      <c r="C429" s="3" t="n">
        <v>46042</v>
      </c>
      <c r="D429" s="3" t="n">
        <v>46069</v>
      </c>
      <c r="E429" s="2" t="n">
        <v>14</v>
      </c>
      <c r="F429" s="2" t="n">
        <v>36.02</v>
      </c>
      <c r="G429" s="2" t="n">
        <v>2.93</v>
      </c>
      <c r="H429" s="4" t="n">
        <v>3.19</v>
      </c>
      <c r="I429" s="4" t="n">
        <v>1.52</v>
      </c>
      <c r="J429" s="2" t="n">
        <v>70</v>
      </c>
      <c r="K429" s="4" t="n">
        <v>2.02</v>
      </c>
      <c r="L429" s="4" t="n">
        <v>1.04</v>
      </c>
      <c r="M429" s="4">
        <f>B429*(G429/100)*(J429/100)</f>
        <v/>
      </c>
      <c r="N429" s="4">
        <f>B429*(F429/360/100)*E429*(J429/100)</f>
        <v/>
      </c>
      <c r="O429" s="4">
        <f>K429-M429+L429-N429</f>
        <v/>
      </c>
    </row>
    <row r="430">
      <c r="A430" s="2" t="inlineStr">
        <is>
          <t>A75878906</t>
        </is>
      </c>
      <c r="B430" s="4" t="n">
        <v>818.74</v>
      </c>
      <c r="C430" s="3" t="n">
        <v>46024</v>
      </c>
      <c r="D430" s="3" t="n">
        <v>46228</v>
      </c>
      <c r="E430" s="2" t="n">
        <v>51</v>
      </c>
      <c r="F430" s="2" t="n">
        <v>40.93</v>
      </c>
      <c r="G430" s="2" t="n">
        <v>2.17</v>
      </c>
      <c r="H430" s="4" t="n">
        <v>17.77</v>
      </c>
      <c r="I430" s="4" t="n">
        <v>47.47</v>
      </c>
      <c r="J430" s="2" t="n">
        <v>60</v>
      </c>
      <c r="K430" s="4" t="n">
        <v>10.41</v>
      </c>
      <c r="L430" s="4" t="n">
        <v>28.32</v>
      </c>
      <c r="M430" s="4">
        <f>B430*(G430/100)*(J430/100)</f>
        <v/>
      </c>
      <c r="N430" s="4">
        <f>B430*(F430/360/100)*E430*(J430/100)</f>
        <v/>
      </c>
      <c r="O430" s="4">
        <f>K430-M430+L430-N430</f>
        <v/>
      </c>
    </row>
    <row r="431">
      <c r="A431" s="2" t="inlineStr">
        <is>
          <t>B52720300</t>
        </is>
      </c>
      <c r="B431" s="4" t="n">
        <v>7761.54</v>
      </c>
      <c r="C431" s="3" t="n">
        <v>46025</v>
      </c>
      <c r="D431" s="3" t="n">
        <v>46170</v>
      </c>
      <c r="E431" s="2" t="n">
        <v>60</v>
      </c>
      <c r="F431" s="2" t="n">
        <v>41.85</v>
      </c>
      <c r="G431" s="2" t="n">
        <v>0.64</v>
      </c>
      <c r="H431" s="4" t="n">
        <v>49.67</v>
      </c>
      <c r="I431" s="4" t="n">
        <v>541.37</v>
      </c>
      <c r="J431" s="2" t="n">
        <v>20</v>
      </c>
      <c r="K431" s="4" t="n">
        <v>10.15</v>
      </c>
      <c r="L431" s="4" t="n">
        <v>108.36</v>
      </c>
      <c r="M431" s="4">
        <f>B431*(G431/100)*(J431/100)</f>
        <v/>
      </c>
      <c r="N431" s="4">
        <f>B431*(F431/360/100)*E431*(J431/100)</f>
        <v/>
      </c>
      <c r="O431" s="4">
        <f>K431-M431+L431-N431</f>
        <v/>
      </c>
    </row>
    <row r="432">
      <c r="A432" s="2" t="inlineStr">
        <is>
          <t>A08053188</t>
        </is>
      </c>
      <c r="B432" s="4" t="n">
        <v>211.19</v>
      </c>
      <c r="C432" s="3" t="n">
        <v>46042</v>
      </c>
      <c r="D432" s="3" t="n">
        <v>46108</v>
      </c>
      <c r="E432" s="2" t="n">
        <v>14</v>
      </c>
      <c r="F432" s="2" t="n">
        <v>45.66</v>
      </c>
      <c r="G432" s="2" t="n">
        <v>2.53</v>
      </c>
      <c r="H432" s="4" t="n">
        <v>5.34</v>
      </c>
      <c r="I432" s="4" t="n">
        <v>3.75</v>
      </c>
      <c r="J432" s="2" t="n">
        <v>30</v>
      </c>
      <c r="K432" s="4" t="n">
        <v>1.74</v>
      </c>
      <c r="L432" s="4" t="n">
        <v>1.26</v>
      </c>
      <c r="M432" s="4">
        <f>B432*(G432/100)*(J432/100)</f>
        <v/>
      </c>
      <c r="N432" s="4">
        <f>B432*(F432/360/100)*E432*(J432/100)</f>
        <v/>
      </c>
      <c r="O432" s="4">
        <f>K432-M432+L432-N432</f>
        <v/>
      </c>
    </row>
    <row r="433">
      <c r="A433" s="2" t="inlineStr">
        <is>
          <t>A91563398</t>
        </is>
      </c>
      <c r="B433" s="4" t="n">
        <v>935.67</v>
      </c>
      <c r="C433" s="3" t="n">
        <v>46024</v>
      </c>
      <c r="D433" s="3" t="n">
        <v>46165</v>
      </c>
      <c r="E433" s="2" t="n">
        <v>54</v>
      </c>
      <c r="F433" s="2" t="n">
        <v>48.98</v>
      </c>
      <c r="G433" s="2" t="n">
        <v>0.84</v>
      </c>
      <c r="H433" s="4" t="n">
        <v>7.86</v>
      </c>
      <c r="I433" s="4" t="n">
        <v>68.73999999999999</v>
      </c>
      <c r="J433" s="2" t="n">
        <v>60</v>
      </c>
      <c r="K433" s="4" t="n">
        <v>4.99</v>
      </c>
      <c r="L433" s="4" t="n">
        <v>41.37</v>
      </c>
      <c r="M433" s="4">
        <f>B433*(G433/100)*(J433/100)</f>
        <v/>
      </c>
      <c r="N433" s="4">
        <f>B433*(F433/360/100)*E433*(J433/100)</f>
        <v/>
      </c>
      <c r="O433" s="4">
        <f>K433-M433+L433-N433</f>
        <v/>
      </c>
    </row>
    <row r="434">
      <c r="A434" s="2" t="inlineStr">
        <is>
          <t>A04551909</t>
        </is>
      </c>
      <c r="B434" s="4" t="n">
        <v>1476.43</v>
      </c>
      <c r="C434" s="3" t="n">
        <v>46046</v>
      </c>
      <c r="D434" s="3" t="n">
        <v>46151</v>
      </c>
      <c r="E434" s="2" t="n">
        <v>81</v>
      </c>
      <c r="F434" s="2" t="n">
        <v>12.04</v>
      </c>
      <c r="G434" s="2" t="n">
        <v>1.85</v>
      </c>
      <c r="H434" s="4" t="n">
        <v>27.31</v>
      </c>
      <c r="I434" s="4" t="n">
        <v>40</v>
      </c>
      <c r="J434" s="2" t="n">
        <v>50</v>
      </c>
      <c r="K434" s="4" t="n">
        <v>13.82</v>
      </c>
      <c r="L434" s="4" t="n">
        <v>19.74</v>
      </c>
      <c r="M434" s="4">
        <f>B434*(G434/100)*(J434/100)</f>
        <v/>
      </c>
      <c r="N434" s="4">
        <f>B434*(F434/360/100)*E434*(J434/100)</f>
        <v/>
      </c>
      <c r="O434" s="4">
        <f>K434-M434+L434-N434</f>
        <v/>
      </c>
    </row>
    <row r="435">
      <c r="A435" s="2" t="inlineStr">
        <is>
          <t>A73888019</t>
        </is>
      </c>
      <c r="B435" s="4" t="n">
        <v>593.97</v>
      </c>
      <c r="C435" s="3" t="n">
        <v>46033</v>
      </c>
      <c r="D435" s="3" t="n">
        <v>46130</v>
      </c>
      <c r="E435" s="2" t="n">
        <v>42</v>
      </c>
      <c r="F435" s="2" t="n">
        <v>19.03</v>
      </c>
      <c r="G435" s="2" t="n">
        <v>1.13</v>
      </c>
      <c r="H435" s="4" t="n">
        <v>6.71</v>
      </c>
      <c r="I435" s="4" t="n">
        <v>13.19</v>
      </c>
      <c r="J435" s="2" t="n">
        <v>70</v>
      </c>
      <c r="K435" s="4" t="n">
        <v>4.84</v>
      </c>
      <c r="L435" s="4" t="n">
        <v>9.380000000000001</v>
      </c>
      <c r="M435" s="4">
        <f>B435*(G435/100)*(J435/100)</f>
        <v/>
      </c>
      <c r="N435" s="4">
        <f>B435*(F435/360/100)*E435*(J435/100)</f>
        <v/>
      </c>
      <c r="O435" s="4">
        <f>K435-M435+L435-N435</f>
        <v/>
      </c>
    </row>
    <row r="436">
      <c r="A436" s="2" t="inlineStr">
        <is>
          <t>A45943465</t>
        </is>
      </c>
      <c r="B436" s="4" t="n">
        <v>6047.71</v>
      </c>
      <c r="C436" s="3" t="n">
        <v>46023</v>
      </c>
      <c r="D436" s="3" t="n">
        <v>46180</v>
      </c>
      <c r="E436" s="2" t="n">
        <v>64</v>
      </c>
      <c r="F436" s="2" t="n">
        <v>38.24</v>
      </c>
      <c r="G436" s="2" t="n">
        <v>2.08</v>
      </c>
      <c r="H436" s="4" t="n">
        <v>125.79</v>
      </c>
      <c r="I436" s="4" t="n">
        <v>411.14</v>
      </c>
      <c r="J436" s="2" t="n">
        <v>70</v>
      </c>
      <c r="K436" s="4" t="n">
        <v>88.27</v>
      </c>
      <c r="L436" s="4" t="n">
        <v>288.08</v>
      </c>
      <c r="M436" s="4">
        <f>B436*(G436/100)*(J436/100)</f>
        <v/>
      </c>
      <c r="N436" s="4">
        <f>B436*(F436/360/100)*E436*(J436/100)</f>
        <v/>
      </c>
      <c r="O436" s="4">
        <f>K436-M436+L436-N436</f>
        <v/>
      </c>
    </row>
    <row r="437">
      <c r="A437" s="2" t="inlineStr">
        <is>
          <t>A62059817</t>
        </is>
      </c>
      <c r="B437" s="4" t="n">
        <v>974.27</v>
      </c>
      <c r="C437" s="3" t="n">
        <v>46028</v>
      </c>
      <c r="D437" s="3" t="n">
        <v>46187</v>
      </c>
      <c r="E437" s="2" t="n">
        <v>54</v>
      </c>
      <c r="F437" s="2" t="n">
        <v>11.54</v>
      </c>
      <c r="G437" s="2" t="n">
        <v>2.79</v>
      </c>
      <c r="H437" s="4" t="n">
        <v>27.18</v>
      </c>
      <c r="I437" s="4" t="n">
        <v>16.86</v>
      </c>
      <c r="J437" s="2" t="n">
        <v>30</v>
      </c>
      <c r="K437" s="4" t="n">
        <v>7.98</v>
      </c>
      <c r="L437" s="4" t="n">
        <v>4.9</v>
      </c>
      <c r="M437" s="4">
        <f>B437*(G437/100)*(J437/100)</f>
        <v/>
      </c>
      <c r="N437" s="4">
        <f>B437*(F437/360/100)*E437*(J437/100)</f>
        <v/>
      </c>
      <c r="O437" s="4">
        <f>K437-M437+L437-N437</f>
        <v/>
      </c>
    </row>
    <row r="438">
      <c r="A438" s="2" t="inlineStr">
        <is>
          <t>B25484607</t>
        </is>
      </c>
      <c r="B438" s="4" t="n">
        <v>521.36</v>
      </c>
      <c r="C438" s="3" t="n">
        <v>46037</v>
      </c>
      <c r="D438" s="3" t="n">
        <v>46088</v>
      </c>
      <c r="E438" s="2" t="n">
        <v>76</v>
      </c>
      <c r="F438" s="2" t="n">
        <v>19.22</v>
      </c>
      <c r="G438" s="2" t="n">
        <v>0.76</v>
      </c>
      <c r="H438" s="4" t="n">
        <v>3.96</v>
      </c>
      <c r="I438" s="4" t="n">
        <v>21.15</v>
      </c>
      <c r="J438" s="2" t="n">
        <v>30</v>
      </c>
      <c r="K438" s="4" t="n">
        <v>1.02</v>
      </c>
      <c r="L438" s="4" t="n">
        <v>6.07</v>
      </c>
      <c r="M438" s="4">
        <f>B438*(G438/100)*(J438/100)</f>
        <v/>
      </c>
      <c r="N438" s="4">
        <f>B438*(F438/360/100)*E438*(J438/100)</f>
        <v/>
      </c>
      <c r="O438" s="4">
        <f>K438-M438+L438-N438</f>
        <v/>
      </c>
    </row>
    <row r="439">
      <c r="A439" s="2" t="inlineStr">
        <is>
          <t>B16656758</t>
        </is>
      </c>
      <c r="B439" s="4" t="n">
        <v>640.04</v>
      </c>
      <c r="C439" s="3" t="n">
        <v>46037</v>
      </c>
      <c r="D439" s="3" t="n">
        <v>46076</v>
      </c>
      <c r="E439" s="2" t="n">
        <v>77</v>
      </c>
      <c r="F439" s="2" t="n">
        <v>22</v>
      </c>
      <c r="G439" s="2" t="n">
        <v>1.26</v>
      </c>
      <c r="H439" s="4" t="n">
        <v>8.06</v>
      </c>
      <c r="I439" s="4" t="n">
        <v>30.12</v>
      </c>
      <c r="J439" s="2" t="n">
        <v>20</v>
      </c>
      <c r="K439" s="4" t="n">
        <v>1.74</v>
      </c>
      <c r="L439" s="4" t="n">
        <v>5.96</v>
      </c>
      <c r="M439" s="4">
        <f>B439*(G439/100)*(J439/100)</f>
        <v/>
      </c>
      <c r="N439" s="4">
        <f>B439*(F439/360/100)*E439*(J439/100)</f>
        <v/>
      </c>
      <c r="O439" s="4">
        <f>K439-M439+L439-N439</f>
        <v/>
      </c>
    </row>
    <row r="440">
      <c r="A440" s="2" t="inlineStr">
        <is>
          <t>A91945379</t>
        </is>
      </c>
      <c r="B440" s="4" t="n">
        <v>350.2</v>
      </c>
      <c r="C440" s="3" t="n">
        <v>46025</v>
      </c>
      <c r="D440" s="3" t="n">
        <v>46139</v>
      </c>
      <c r="E440" s="2" t="n">
        <v>32</v>
      </c>
      <c r="F440" s="2" t="n">
        <v>47.03</v>
      </c>
      <c r="G440" s="2" t="n">
        <v>2.66</v>
      </c>
      <c r="H440" s="4" t="n">
        <v>9.32</v>
      </c>
      <c r="I440" s="4" t="n">
        <v>14.64</v>
      </c>
      <c r="J440" s="2" t="n">
        <v>30</v>
      </c>
      <c r="K440" s="4" t="n">
        <v>2.61</v>
      </c>
      <c r="L440" s="4" t="n">
        <v>4.17</v>
      </c>
      <c r="M440" s="4">
        <f>B440*(G440/100)*(J440/100)</f>
        <v/>
      </c>
      <c r="N440" s="4">
        <f>B440*(F440/360/100)*E440*(J440/100)</f>
        <v/>
      </c>
      <c r="O440" s="4">
        <f>K440-M440+L440-N440</f>
        <v/>
      </c>
    </row>
    <row r="441">
      <c r="A441" s="2" t="inlineStr">
        <is>
          <t>A71156127</t>
        </is>
      </c>
      <c r="B441" s="4" t="n">
        <v>4320.94</v>
      </c>
      <c r="C441" s="3" t="n">
        <v>46032</v>
      </c>
      <c r="D441" s="3" t="n">
        <v>46119</v>
      </c>
      <c r="E441" s="2" t="n">
        <v>69</v>
      </c>
      <c r="F441" s="2" t="n">
        <v>18</v>
      </c>
      <c r="G441" s="2" t="n">
        <v>2.21</v>
      </c>
      <c r="H441" s="4" t="n">
        <v>95.48999999999999</v>
      </c>
      <c r="I441" s="4" t="n">
        <v>149.07</v>
      </c>
      <c r="J441" s="2" t="n">
        <v>30</v>
      </c>
      <c r="K441" s="4" t="n">
        <v>28.63</v>
      </c>
      <c r="L441" s="4" t="n">
        <v>44.84</v>
      </c>
      <c r="M441" s="4">
        <f>B441*(G441/100)*(J441/100)</f>
        <v/>
      </c>
      <c r="N441" s="4">
        <f>B441*(F441/360/100)*E441*(J441/100)</f>
        <v/>
      </c>
      <c r="O441" s="4">
        <f>K441-M441+L441-N441</f>
        <v/>
      </c>
    </row>
    <row r="442">
      <c r="A442" s="2" t="inlineStr">
        <is>
          <t>B59741128</t>
        </is>
      </c>
      <c r="B442" s="4" t="n">
        <v>100.95</v>
      </c>
      <c r="C442" s="3" t="n">
        <v>46036</v>
      </c>
      <c r="D442" s="3" t="n">
        <v>46055</v>
      </c>
      <c r="E442" s="2" t="n">
        <v>61</v>
      </c>
      <c r="F442" s="2" t="n">
        <v>38.52</v>
      </c>
      <c r="G442" s="2" t="n">
        <v>1.15</v>
      </c>
      <c r="H442" s="4" t="n">
        <v>1.16</v>
      </c>
      <c r="I442" s="4" t="n">
        <v>6.59</v>
      </c>
      <c r="J442" s="2" t="n">
        <v>70</v>
      </c>
      <c r="K442" s="4" t="n">
        <v>0.61</v>
      </c>
      <c r="L442" s="4" t="n">
        <v>4.84</v>
      </c>
      <c r="M442" s="4">
        <f>B442*(G442/100)*(J442/100)</f>
        <v/>
      </c>
      <c r="N442" s="4">
        <f>B442*(F442/360/100)*E442*(J442/100)</f>
        <v/>
      </c>
      <c r="O442" s="4">
        <f>K442-M442+L442-N442</f>
        <v/>
      </c>
    </row>
    <row r="443">
      <c r="A443" s="2" t="inlineStr">
        <is>
          <t>A89085019</t>
        </is>
      </c>
      <c r="B443" s="4" t="n">
        <v>941.41</v>
      </c>
      <c r="C443" s="3" t="n">
        <v>46027</v>
      </c>
      <c r="D443" s="3" t="n">
        <v>46065</v>
      </c>
      <c r="E443" s="2" t="n">
        <v>60</v>
      </c>
      <c r="F443" s="2" t="n">
        <v>45.45</v>
      </c>
      <c r="G443" s="2" t="n">
        <v>0.59</v>
      </c>
      <c r="H443" s="4" t="n">
        <v>5.55</v>
      </c>
      <c r="I443" s="4" t="n">
        <v>71.31</v>
      </c>
      <c r="J443" s="2" t="n">
        <v>70</v>
      </c>
      <c r="K443" s="4" t="n">
        <v>3.84</v>
      </c>
      <c r="L443" s="4" t="n">
        <v>49.67</v>
      </c>
      <c r="M443" s="4">
        <f>B443*(G443/100)*(J443/100)</f>
        <v/>
      </c>
      <c r="N443" s="4">
        <f>B443*(F443/360/100)*E443*(J443/100)</f>
        <v/>
      </c>
      <c r="O443" s="4">
        <f>K443-M443+L443-N443</f>
        <v/>
      </c>
    </row>
    <row r="444">
      <c r="A444" s="2" t="inlineStr">
        <is>
          <t>A42022168</t>
        </is>
      </c>
      <c r="B444" s="4" t="n">
        <v>568.86</v>
      </c>
      <c r="C444" s="3" t="n">
        <v>46036</v>
      </c>
      <c r="D444" s="3" t="n">
        <v>46132</v>
      </c>
      <c r="E444" s="2" t="n">
        <v>34</v>
      </c>
      <c r="F444" s="2" t="n">
        <v>25.22</v>
      </c>
      <c r="G444" s="2" t="n">
        <v>2</v>
      </c>
      <c r="H444" s="4" t="n">
        <v>11.38</v>
      </c>
      <c r="I444" s="4" t="n">
        <v>13.55</v>
      </c>
      <c r="J444" s="2" t="n">
        <v>30</v>
      </c>
      <c r="K444" s="4" t="n">
        <v>3.25</v>
      </c>
      <c r="L444" s="4" t="n">
        <v>4.36</v>
      </c>
      <c r="M444" s="4">
        <f>B444*(G444/100)*(J444/100)</f>
        <v/>
      </c>
      <c r="N444" s="4">
        <f>B444*(F444/360/100)*E444*(J444/100)</f>
        <v/>
      </c>
      <c r="O444" s="4">
        <f>K444-M444+L444-N444</f>
        <v/>
      </c>
    </row>
    <row r="445">
      <c r="A445" s="2" t="inlineStr">
        <is>
          <t>A54080045</t>
        </is>
      </c>
      <c r="B445" s="4" t="n">
        <v>9692.629999999999</v>
      </c>
      <c r="C445" s="3" t="n">
        <v>46031</v>
      </c>
      <c r="D445" s="3" t="n">
        <v>46194</v>
      </c>
      <c r="E445" s="2" t="n">
        <v>35</v>
      </c>
      <c r="F445" s="2" t="n">
        <v>16.84</v>
      </c>
      <c r="G445" s="2" t="n">
        <v>2.6</v>
      </c>
      <c r="H445" s="4" t="n">
        <v>252.01</v>
      </c>
      <c r="I445" s="4" t="n">
        <v>158.69</v>
      </c>
      <c r="J445" s="2" t="n">
        <v>50</v>
      </c>
      <c r="K445" s="4" t="n">
        <v>125.77</v>
      </c>
      <c r="L445" s="4" t="n">
        <v>79.05</v>
      </c>
      <c r="M445" s="4">
        <f>B445*(G445/100)*(J445/100)</f>
        <v/>
      </c>
      <c r="N445" s="4">
        <f>B445*(F445/360/100)*E445*(J445/100)</f>
        <v/>
      </c>
      <c r="O445" s="4">
        <f>K445-M445+L445-N445</f>
        <v/>
      </c>
    </row>
    <row r="446">
      <c r="A446" s="2" t="inlineStr">
        <is>
          <t>A11123351</t>
        </is>
      </c>
      <c r="B446" s="4" t="n">
        <v>8464.58</v>
      </c>
      <c r="C446" s="3" t="n">
        <v>46042</v>
      </c>
      <c r="D446" s="3" t="n">
        <v>46118</v>
      </c>
      <c r="E446" s="2" t="n">
        <v>66</v>
      </c>
      <c r="F446" s="2" t="n">
        <v>21.07</v>
      </c>
      <c r="G446" s="2" t="n">
        <v>1.06</v>
      </c>
      <c r="H446" s="4" t="n">
        <v>89.72</v>
      </c>
      <c r="I446" s="4" t="n">
        <v>326.97</v>
      </c>
      <c r="J446" s="2" t="n">
        <v>30</v>
      </c>
      <c r="K446" s="4" t="n">
        <v>26.8</v>
      </c>
      <c r="L446" s="4" t="n">
        <v>98.31999999999999</v>
      </c>
      <c r="M446" s="4">
        <f>B446*(G446/100)*(J446/100)</f>
        <v/>
      </c>
      <c r="N446" s="4">
        <f>B446*(F446/360/100)*E446*(J446/100)</f>
        <v/>
      </c>
      <c r="O446" s="4">
        <f>K446-M446+L446-N446</f>
        <v/>
      </c>
    </row>
    <row r="447">
      <c r="A447" s="2" t="inlineStr">
        <is>
          <t>A12729333</t>
        </is>
      </c>
      <c r="B447" s="4" t="n">
        <v>225.15</v>
      </c>
      <c r="C447" s="3" t="n">
        <v>46042</v>
      </c>
      <c r="D447" s="3" t="n">
        <v>46107</v>
      </c>
      <c r="E447" s="2" t="n">
        <v>18</v>
      </c>
      <c r="F447" s="2" t="n">
        <v>44.2</v>
      </c>
      <c r="G447" s="2" t="n">
        <v>1.94</v>
      </c>
      <c r="H447" s="4" t="n">
        <v>4.37</v>
      </c>
      <c r="I447" s="4" t="n">
        <v>4.98</v>
      </c>
      <c r="J447" s="2" t="n">
        <v>20</v>
      </c>
      <c r="K447" s="4" t="n">
        <v>0.8</v>
      </c>
      <c r="L447" s="4" t="n">
        <v>1.06</v>
      </c>
      <c r="M447" s="4">
        <f>B447*(G447/100)*(J447/100)</f>
        <v/>
      </c>
      <c r="N447" s="4">
        <f>B447*(F447/360/100)*E447*(J447/100)</f>
        <v/>
      </c>
      <c r="O447" s="4">
        <f>K447-M447+L447-N447</f>
        <v/>
      </c>
    </row>
    <row r="448">
      <c r="A448" s="2" t="inlineStr">
        <is>
          <t>B01119043</t>
        </is>
      </c>
      <c r="B448" s="4" t="n">
        <v>347.15</v>
      </c>
      <c r="C448" s="3" t="n">
        <v>46031</v>
      </c>
      <c r="D448" s="3" t="n">
        <v>46135</v>
      </c>
      <c r="E448" s="2" t="n">
        <v>14</v>
      </c>
      <c r="F448" s="2" t="n">
        <v>38.09</v>
      </c>
      <c r="G448" s="2" t="n">
        <v>2.99</v>
      </c>
      <c r="H448" s="4" t="n">
        <v>10.38</v>
      </c>
      <c r="I448" s="4" t="n">
        <v>5.14</v>
      </c>
      <c r="J448" s="2" t="n">
        <v>70</v>
      </c>
      <c r="K448" s="4" t="n">
        <v>7.49</v>
      </c>
      <c r="L448" s="4" t="n">
        <v>3.51</v>
      </c>
      <c r="M448" s="4">
        <f>B448*(G448/100)*(J448/100)</f>
        <v/>
      </c>
      <c r="N448" s="4">
        <f>B448*(F448/360/100)*E448*(J448/100)</f>
        <v/>
      </c>
      <c r="O448" s="4">
        <f>K448-M448+L448-N448</f>
        <v/>
      </c>
    </row>
    <row r="449">
      <c r="A449" s="2" t="inlineStr">
        <is>
          <t>A00142489</t>
        </is>
      </c>
      <c r="B449" s="4" t="n">
        <v>137.99</v>
      </c>
      <c r="C449" s="3" t="n">
        <v>46036</v>
      </c>
      <c r="D449" s="3" t="n">
        <v>46056</v>
      </c>
      <c r="E449" s="2" t="n">
        <v>26</v>
      </c>
      <c r="F449" s="2" t="n">
        <v>36.04</v>
      </c>
      <c r="G449" s="2" t="n">
        <v>0.9399999999999999</v>
      </c>
      <c r="H449" s="4" t="n">
        <v>1.3</v>
      </c>
      <c r="I449" s="4" t="n">
        <v>3.59</v>
      </c>
      <c r="J449" s="2" t="n">
        <v>40</v>
      </c>
      <c r="K449" s="4" t="n">
        <v>0.39</v>
      </c>
      <c r="L449" s="4" t="n">
        <v>1.47</v>
      </c>
      <c r="M449" s="4">
        <f>B449*(G449/100)*(J449/100)</f>
        <v/>
      </c>
      <c r="N449" s="4">
        <f>B449*(F449/360/100)*E449*(J449/100)</f>
        <v/>
      </c>
      <c r="O449" s="4">
        <f>K449-M449+L449-N449</f>
        <v/>
      </c>
    </row>
    <row r="450">
      <c r="A450" s="2" t="inlineStr">
        <is>
          <t>A55284133</t>
        </is>
      </c>
      <c r="B450" s="4" t="n">
        <v>303.04</v>
      </c>
      <c r="C450" s="3" t="n">
        <v>46040</v>
      </c>
      <c r="D450" s="3" t="n">
        <v>46060</v>
      </c>
      <c r="E450" s="2" t="n">
        <v>90</v>
      </c>
      <c r="F450" s="2" t="n">
        <v>28.32</v>
      </c>
      <c r="G450" s="2" t="n">
        <v>1.46</v>
      </c>
      <c r="H450" s="4" t="n">
        <v>4.42</v>
      </c>
      <c r="I450" s="4" t="n">
        <v>21.46</v>
      </c>
      <c r="J450" s="2" t="n">
        <v>30</v>
      </c>
      <c r="K450" s="4" t="n">
        <v>1.62</v>
      </c>
      <c r="L450" s="4" t="n">
        <v>6.57</v>
      </c>
      <c r="M450" s="4">
        <f>B450*(G450/100)*(J450/100)</f>
        <v/>
      </c>
      <c r="N450" s="4">
        <f>B450*(F450/360/100)*E450*(J450/100)</f>
        <v/>
      </c>
      <c r="O450" s="4">
        <f>K450-M450+L450-N450</f>
        <v/>
      </c>
    </row>
    <row r="451">
      <c r="A451" s="2" t="inlineStr">
        <is>
          <t>A06129247</t>
        </is>
      </c>
      <c r="B451" s="4" t="n">
        <v>9437.67</v>
      </c>
      <c r="C451" s="3" t="n">
        <v>46039</v>
      </c>
      <c r="D451" s="3" t="n">
        <v>46098</v>
      </c>
      <c r="E451" s="2" t="n">
        <v>71</v>
      </c>
      <c r="F451" s="2" t="n">
        <v>15.67</v>
      </c>
      <c r="G451" s="2" t="n">
        <v>0.5600000000000001</v>
      </c>
      <c r="H451" s="4" t="n">
        <v>52.85</v>
      </c>
      <c r="I451" s="4" t="n">
        <v>291.67</v>
      </c>
      <c r="J451" s="2" t="n">
        <v>30</v>
      </c>
      <c r="K451" s="4" t="n">
        <v>16</v>
      </c>
      <c r="L451" s="4" t="n">
        <v>87.34999999999999</v>
      </c>
      <c r="M451" s="4">
        <f>B451*(G451/100)*(J451/100)</f>
        <v/>
      </c>
      <c r="N451" s="4">
        <f>B451*(F451/360/100)*E451*(J451/100)</f>
        <v/>
      </c>
      <c r="O451" s="4">
        <f>K451-M451+L451-N451</f>
        <v/>
      </c>
    </row>
    <row r="452">
      <c r="A452" s="2" t="inlineStr">
        <is>
          <t>B29890451</t>
        </is>
      </c>
      <c r="B452" s="4" t="n">
        <v>856.22</v>
      </c>
      <c r="C452" s="3" t="n">
        <v>46044</v>
      </c>
      <c r="D452" s="3" t="n">
        <v>46188</v>
      </c>
      <c r="E452" s="2" t="n">
        <v>28</v>
      </c>
      <c r="F452" s="2" t="n">
        <v>16.6</v>
      </c>
      <c r="G452" s="2" t="n">
        <v>1.16</v>
      </c>
      <c r="H452" s="4" t="n">
        <v>9.93</v>
      </c>
      <c r="I452" s="4" t="n">
        <v>11.05</v>
      </c>
      <c r="J452" s="2" t="n">
        <v>40</v>
      </c>
      <c r="K452" s="4" t="n">
        <v>4.19</v>
      </c>
      <c r="L452" s="4" t="n">
        <v>4.27</v>
      </c>
      <c r="M452" s="4">
        <f>B452*(G452/100)*(J452/100)</f>
        <v/>
      </c>
      <c r="N452" s="4">
        <f>B452*(F452/360/100)*E452*(J452/100)</f>
        <v/>
      </c>
      <c r="O452" s="4">
        <f>K452-M452+L452-N452</f>
        <v/>
      </c>
    </row>
    <row r="453">
      <c r="A453" s="2" t="inlineStr">
        <is>
          <t>A14295487</t>
        </is>
      </c>
      <c r="B453" s="4" t="n">
        <v>886.35</v>
      </c>
      <c r="C453" s="3" t="n">
        <v>46049</v>
      </c>
      <c r="D453" s="3" t="n">
        <v>46196</v>
      </c>
      <c r="E453" s="2" t="n">
        <v>70</v>
      </c>
      <c r="F453" s="2" t="n">
        <v>19.91</v>
      </c>
      <c r="G453" s="2" t="n">
        <v>1.24</v>
      </c>
      <c r="H453" s="4" t="n">
        <v>10.99</v>
      </c>
      <c r="I453" s="4" t="n">
        <v>34.31</v>
      </c>
      <c r="J453" s="2" t="n">
        <v>50</v>
      </c>
      <c r="K453" s="4" t="n">
        <v>5.35</v>
      </c>
      <c r="L453" s="4" t="n">
        <v>16.96</v>
      </c>
      <c r="M453" s="4">
        <f>B453*(G453/100)*(J453/100)</f>
        <v/>
      </c>
      <c r="N453" s="4">
        <f>B453*(F453/360/100)*E453*(J453/100)</f>
        <v/>
      </c>
      <c r="O453" s="4">
        <f>K453-M453+L453-N453</f>
        <v/>
      </c>
    </row>
    <row r="454">
      <c r="A454" s="2" t="inlineStr">
        <is>
          <t>A20493835</t>
        </is>
      </c>
      <c r="B454" s="4" t="n">
        <v>879.03</v>
      </c>
      <c r="C454" s="3" t="n">
        <v>46034</v>
      </c>
      <c r="D454" s="3" t="n">
        <v>46121</v>
      </c>
      <c r="E454" s="2" t="n">
        <v>42</v>
      </c>
      <c r="F454" s="2" t="n">
        <v>45.82</v>
      </c>
      <c r="G454" s="2" t="n">
        <v>2.98</v>
      </c>
      <c r="H454" s="4" t="n">
        <v>26.2</v>
      </c>
      <c r="I454" s="4" t="n">
        <v>46.99</v>
      </c>
      <c r="J454" s="2" t="n">
        <v>40</v>
      </c>
      <c r="K454" s="4" t="n">
        <v>10.3</v>
      </c>
      <c r="L454" s="4" t="n">
        <v>18.54</v>
      </c>
      <c r="M454" s="4">
        <f>B454*(G454/100)*(J454/100)</f>
        <v/>
      </c>
      <c r="N454" s="4">
        <f>B454*(F454/360/100)*E454*(J454/100)</f>
        <v/>
      </c>
      <c r="O454" s="4">
        <f>K454-M454+L454-N454</f>
        <v/>
      </c>
    </row>
    <row r="455">
      <c r="A455" s="2" t="inlineStr">
        <is>
          <t>A53673252</t>
        </is>
      </c>
      <c r="B455" s="4" t="n">
        <v>8515.67</v>
      </c>
      <c r="C455" s="3" t="n">
        <v>46050</v>
      </c>
      <c r="D455" s="3" t="n">
        <v>46109</v>
      </c>
      <c r="E455" s="2" t="n">
        <v>44</v>
      </c>
      <c r="F455" s="2" t="n">
        <v>40.34</v>
      </c>
      <c r="G455" s="2" t="n">
        <v>1.23</v>
      </c>
      <c r="H455" s="4" t="n">
        <v>104.74</v>
      </c>
      <c r="I455" s="4" t="n">
        <v>419.86</v>
      </c>
      <c r="J455" s="2" t="n">
        <v>60</v>
      </c>
      <c r="K455" s="4" t="n">
        <v>63.06</v>
      </c>
      <c r="L455" s="4" t="n">
        <v>251.85</v>
      </c>
      <c r="M455" s="4">
        <f>B455*(G455/100)*(J455/100)</f>
        <v/>
      </c>
      <c r="N455" s="4">
        <f>B455*(F455/360/100)*E455*(J455/100)</f>
        <v/>
      </c>
      <c r="O455" s="4">
        <f>K455-M455+L455-N455</f>
        <v/>
      </c>
    </row>
    <row r="456">
      <c r="A456" s="2" t="inlineStr">
        <is>
          <t>B48716368</t>
        </is>
      </c>
      <c r="B456" s="4" t="n">
        <v>790.73</v>
      </c>
      <c r="C456" s="3" t="n">
        <v>46049</v>
      </c>
      <c r="D456" s="3" t="n">
        <v>46065</v>
      </c>
      <c r="E456" s="2" t="n">
        <v>70</v>
      </c>
      <c r="F456" s="2" t="n">
        <v>24.58</v>
      </c>
      <c r="G456" s="2" t="n">
        <v>1.88</v>
      </c>
      <c r="H456" s="4" t="n">
        <v>14.87</v>
      </c>
      <c r="I456" s="4" t="n">
        <v>37.79</v>
      </c>
      <c r="J456" s="2" t="n">
        <v>60</v>
      </c>
      <c r="K456" s="4" t="n">
        <v>9.119999999999999</v>
      </c>
      <c r="L456" s="4" t="n">
        <v>22.54</v>
      </c>
      <c r="M456" s="4">
        <f>B456*(G456/100)*(J456/100)</f>
        <v/>
      </c>
      <c r="N456" s="4">
        <f>B456*(F456/360/100)*E456*(J456/100)</f>
        <v/>
      </c>
      <c r="O456" s="4">
        <f>K456-M456+L456-N456</f>
        <v/>
      </c>
    </row>
    <row r="457">
      <c r="A457" s="2" t="inlineStr">
        <is>
          <t>A83320138</t>
        </is>
      </c>
      <c r="B457" s="4" t="n">
        <v>908.67</v>
      </c>
      <c r="C457" s="3" t="n">
        <v>46035</v>
      </c>
      <c r="D457" s="3" t="n">
        <v>46056</v>
      </c>
      <c r="E457" s="2" t="n">
        <v>70</v>
      </c>
      <c r="F457" s="2" t="n">
        <v>18.15</v>
      </c>
      <c r="G457" s="2" t="n">
        <v>1.71</v>
      </c>
      <c r="H457" s="4" t="n">
        <v>15.54</v>
      </c>
      <c r="I457" s="4" t="n">
        <v>32.07</v>
      </c>
      <c r="J457" s="2" t="n">
        <v>20</v>
      </c>
      <c r="K457" s="4" t="n">
        <v>3.24</v>
      </c>
      <c r="L457" s="4" t="n">
        <v>6.33</v>
      </c>
      <c r="M457" s="4">
        <f>B457*(G457/100)*(J457/100)</f>
        <v/>
      </c>
      <c r="N457" s="4">
        <f>B457*(F457/360/100)*E457*(J457/100)</f>
        <v/>
      </c>
      <c r="O457" s="4">
        <f>K457-M457+L457-N457</f>
        <v/>
      </c>
    </row>
    <row r="458">
      <c r="A458" s="2" t="inlineStr">
        <is>
          <t>B24639776</t>
        </is>
      </c>
      <c r="B458" s="4" t="n">
        <v>666.85</v>
      </c>
      <c r="C458" s="3" t="n">
        <v>46038</v>
      </c>
      <c r="D458" s="3" t="n">
        <v>46136</v>
      </c>
      <c r="E458" s="2" t="n">
        <v>26</v>
      </c>
      <c r="F458" s="2" t="n">
        <v>20.32</v>
      </c>
      <c r="G458" s="2" t="n">
        <v>2.99</v>
      </c>
      <c r="H458" s="4" t="n">
        <v>19.94</v>
      </c>
      <c r="I458" s="4" t="n">
        <v>9.789999999999999</v>
      </c>
      <c r="J458" s="2" t="n">
        <v>50</v>
      </c>
      <c r="K458" s="4" t="n">
        <v>10.11</v>
      </c>
      <c r="L458" s="4" t="n">
        <v>4.76</v>
      </c>
      <c r="M458" s="4">
        <f>B458*(G458/100)*(J458/100)</f>
        <v/>
      </c>
      <c r="N458" s="4">
        <f>B458*(F458/360/100)*E458*(J458/100)</f>
        <v/>
      </c>
      <c r="O458" s="4">
        <f>K458-M458+L458-N458</f>
        <v/>
      </c>
    </row>
    <row r="459">
      <c r="A459" s="2" t="inlineStr">
        <is>
          <t>A76453834</t>
        </is>
      </c>
      <c r="B459" s="4" t="n">
        <v>458.18</v>
      </c>
      <c r="C459" s="3" t="n">
        <v>46041</v>
      </c>
      <c r="D459" s="3" t="n">
        <v>46068</v>
      </c>
      <c r="E459" s="2" t="n">
        <v>32</v>
      </c>
      <c r="F459" s="2" t="n">
        <v>44.66</v>
      </c>
      <c r="G459" s="2" t="n">
        <v>2.61</v>
      </c>
      <c r="H459" s="4" t="n">
        <v>11.96</v>
      </c>
      <c r="I459" s="4" t="n">
        <v>18.19</v>
      </c>
      <c r="J459" s="2" t="n">
        <v>60</v>
      </c>
      <c r="K459" s="4" t="n">
        <v>6.88</v>
      </c>
      <c r="L459" s="4" t="n">
        <v>10.75</v>
      </c>
      <c r="M459" s="4">
        <f>B459*(G459/100)*(J459/100)</f>
        <v/>
      </c>
      <c r="N459" s="4">
        <f>B459*(F459/360/100)*E459*(J459/100)</f>
        <v/>
      </c>
      <c r="O459" s="4">
        <f>K459-M459+L459-N459</f>
        <v/>
      </c>
    </row>
    <row r="460">
      <c r="A460" s="2" t="inlineStr">
        <is>
          <t>B20491298</t>
        </is>
      </c>
      <c r="B460" s="4" t="n">
        <v>884.15</v>
      </c>
      <c r="C460" s="3" t="n">
        <v>46042</v>
      </c>
      <c r="D460" s="3" t="n">
        <v>46054</v>
      </c>
      <c r="E460" s="2" t="n">
        <v>50</v>
      </c>
      <c r="F460" s="2" t="n">
        <v>39.64</v>
      </c>
      <c r="G460" s="2" t="n">
        <v>2.53</v>
      </c>
      <c r="H460" s="4" t="n">
        <v>22.37</v>
      </c>
      <c r="I460" s="4" t="n">
        <v>48.68</v>
      </c>
      <c r="J460" s="2" t="n">
        <v>40</v>
      </c>
      <c r="K460" s="4" t="n">
        <v>8.93</v>
      </c>
      <c r="L460" s="4" t="n">
        <v>19.36</v>
      </c>
      <c r="M460" s="4">
        <f>B460*(G460/100)*(J460/100)</f>
        <v/>
      </c>
      <c r="N460" s="4">
        <f>B460*(F460/360/100)*E460*(J460/100)</f>
        <v/>
      </c>
      <c r="O460" s="4">
        <f>K460-M460+L460-N460</f>
        <v/>
      </c>
    </row>
    <row r="461">
      <c r="A461" s="2" t="inlineStr">
        <is>
          <t>A94663659</t>
        </is>
      </c>
      <c r="B461" s="4" t="n">
        <v>751.22</v>
      </c>
      <c r="C461" s="3" t="n">
        <v>46040</v>
      </c>
      <c r="D461" s="3" t="n">
        <v>46162</v>
      </c>
      <c r="E461" s="2" t="n">
        <v>63</v>
      </c>
      <c r="F461" s="2" t="n">
        <v>12.45</v>
      </c>
      <c r="G461" s="2" t="n">
        <v>0.8</v>
      </c>
      <c r="H461" s="4" t="n">
        <v>6.01</v>
      </c>
      <c r="I461" s="4" t="n">
        <v>16.37</v>
      </c>
      <c r="J461" s="2" t="n">
        <v>70</v>
      </c>
      <c r="K461" s="4" t="n">
        <v>4.05</v>
      </c>
      <c r="L461" s="4" t="n">
        <v>11.41</v>
      </c>
      <c r="M461" s="4">
        <f>B461*(G461/100)*(J461/100)</f>
        <v/>
      </c>
      <c r="N461" s="4">
        <f>B461*(F461/360/100)*E461*(J461/100)</f>
        <v/>
      </c>
      <c r="O461" s="4">
        <f>K461-M461+L461-N461</f>
        <v/>
      </c>
    </row>
    <row r="462">
      <c r="A462" s="2" t="inlineStr">
        <is>
          <t>B34437896</t>
        </is>
      </c>
      <c r="B462" s="4" t="n">
        <v>689.87</v>
      </c>
      <c r="C462" s="3" t="n">
        <v>46025</v>
      </c>
      <c r="D462" s="3" t="n">
        <v>46091</v>
      </c>
      <c r="E462" s="2" t="n">
        <v>57</v>
      </c>
      <c r="F462" s="2" t="n">
        <v>38.18</v>
      </c>
      <c r="G462" s="2" t="n">
        <v>1.68</v>
      </c>
      <c r="H462" s="4" t="n">
        <v>11.59</v>
      </c>
      <c r="I462" s="4" t="n">
        <v>41.7</v>
      </c>
      <c r="J462" s="2" t="n">
        <v>30</v>
      </c>
      <c r="K462" s="4" t="n">
        <v>3.72</v>
      </c>
      <c r="L462" s="4" t="n">
        <v>12.74</v>
      </c>
      <c r="M462" s="4">
        <f>B462*(G462/100)*(J462/100)</f>
        <v/>
      </c>
      <c r="N462" s="4">
        <f>B462*(F462/360/100)*E462*(J462/100)</f>
        <v/>
      </c>
      <c r="O462" s="4">
        <f>K462-M462+L462-N462</f>
        <v/>
      </c>
    </row>
    <row r="463">
      <c r="A463" s="2" t="inlineStr">
        <is>
          <t>A85619710</t>
        </is>
      </c>
      <c r="B463" s="4" t="n">
        <v>1652.84</v>
      </c>
      <c r="C463" s="3" t="n">
        <v>46046</v>
      </c>
      <c r="D463" s="3" t="n">
        <v>46201</v>
      </c>
      <c r="E463" s="2" t="n">
        <v>72</v>
      </c>
      <c r="F463" s="2" t="n">
        <v>45.83</v>
      </c>
      <c r="G463" s="2" t="n">
        <v>2.05</v>
      </c>
      <c r="H463" s="4" t="n">
        <v>33.88</v>
      </c>
      <c r="I463" s="4" t="n">
        <v>151.5</v>
      </c>
      <c r="J463" s="2" t="n">
        <v>50</v>
      </c>
      <c r="K463" s="4" t="n">
        <v>17.09</v>
      </c>
      <c r="L463" s="4" t="n">
        <v>75.61</v>
      </c>
      <c r="M463" s="4">
        <f>B463*(G463/100)*(J463/100)</f>
        <v/>
      </c>
      <c r="N463" s="4">
        <f>B463*(F463/360/100)*E463*(J463/100)</f>
        <v/>
      </c>
      <c r="O463" s="4">
        <f>K463-M463+L463-N463</f>
        <v/>
      </c>
    </row>
    <row r="464">
      <c r="A464" s="2" t="inlineStr">
        <is>
          <t>B53134368</t>
        </is>
      </c>
      <c r="B464" s="4" t="n">
        <v>432.19</v>
      </c>
      <c r="C464" s="3" t="n">
        <v>46033</v>
      </c>
      <c r="D464" s="3" t="n">
        <v>46126</v>
      </c>
      <c r="E464" s="2" t="n">
        <v>43</v>
      </c>
      <c r="F464" s="2" t="n">
        <v>39.07</v>
      </c>
      <c r="G464" s="2" t="n">
        <v>0.88</v>
      </c>
      <c r="H464" s="4" t="n">
        <v>3.8</v>
      </c>
      <c r="I464" s="4" t="n">
        <v>20.17</v>
      </c>
      <c r="J464" s="2" t="n">
        <v>70</v>
      </c>
      <c r="K464" s="4" t="n">
        <v>2.75</v>
      </c>
      <c r="L464" s="4" t="n">
        <v>14.08</v>
      </c>
      <c r="M464" s="4">
        <f>B464*(G464/100)*(J464/100)</f>
        <v/>
      </c>
      <c r="N464" s="4">
        <f>B464*(F464/360/100)*E464*(J464/100)</f>
        <v/>
      </c>
      <c r="O464" s="4">
        <f>K464-M464+L464-N464</f>
        <v/>
      </c>
    </row>
    <row r="465">
      <c r="A465" s="2" t="inlineStr">
        <is>
          <t>B64401496</t>
        </is>
      </c>
      <c r="B465" s="4" t="n">
        <v>400.2</v>
      </c>
      <c r="C465" s="3" t="n">
        <v>46034</v>
      </c>
      <c r="D465" s="3" t="n">
        <v>46081</v>
      </c>
      <c r="E465" s="2" t="n">
        <v>83</v>
      </c>
      <c r="F465" s="2" t="n">
        <v>28.33</v>
      </c>
      <c r="G465" s="2" t="n">
        <v>2.02</v>
      </c>
      <c r="H465" s="4" t="n">
        <v>8.08</v>
      </c>
      <c r="I465" s="4" t="n">
        <v>26.14</v>
      </c>
      <c r="J465" s="2" t="n">
        <v>60</v>
      </c>
      <c r="K465" s="4" t="n">
        <v>4.81</v>
      </c>
      <c r="L465" s="4" t="n">
        <v>15.66</v>
      </c>
      <c r="M465" s="4">
        <f>B465*(G465/100)*(J465/100)</f>
        <v/>
      </c>
      <c r="N465" s="4">
        <f>B465*(F465/360/100)*E465*(J465/100)</f>
        <v/>
      </c>
      <c r="O465" s="4">
        <f>K465-M465+L465-N465</f>
        <v/>
      </c>
    </row>
    <row r="466">
      <c r="A466" s="2" t="inlineStr">
        <is>
          <t>A75127506</t>
        </is>
      </c>
      <c r="B466" s="4" t="n">
        <v>924.1</v>
      </c>
      <c r="C466" s="3" t="n">
        <v>46031</v>
      </c>
      <c r="D466" s="3" t="n">
        <v>46073</v>
      </c>
      <c r="E466" s="2" t="n">
        <v>80</v>
      </c>
      <c r="F466" s="2" t="n">
        <v>24.16</v>
      </c>
      <c r="G466" s="2" t="n">
        <v>1.58</v>
      </c>
      <c r="H466" s="4" t="n">
        <v>14.6</v>
      </c>
      <c r="I466" s="4" t="n">
        <v>49.61</v>
      </c>
      <c r="J466" s="2" t="n">
        <v>30</v>
      </c>
      <c r="K466" s="4" t="n">
        <v>4.33</v>
      </c>
      <c r="L466" s="4" t="n">
        <v>15.03</v>
      </c>
      <c r="M466" s="4">
        <f>B466*(G466/100)*(J466/100)</f>
        <v/>
      </c>
      <c r="N466" s="4">
        <f>B466*(F466/360/100)*E466*(J466/100)</f>
        <v/>
      </c>
      <c r="O466" s="4">
        <f>K466-M466+L466-N466</f>
        <v/>
      </c>
    </row>
    <row r="467">
      <c r="A467" s="2" t="inlineStr">
        <is>
          <t>B61626010</t>
        </is>
      </c>
      <c r="B467" s="4" t="n">
        <v>506.53</v>
      </c>
      <c r="C467" s="3" t="n">
        <v>46035</v>
      </c>
      <c r="D467" s="3" t="n">
        <v>46067</v>
      </c>
      <c r="E467" s="2" t="n">
        <v>75</v>
      </c>
      <c r="F467" s="2" t="n">
        <v>37.15</v>
      </c>
      <c r="G467" s="2" t="n">
        <v>2.34</v>
      </c>
      <c r="H467" s="4" t="n">
        <v>11.85</v>
      </c>
      <c r="I467" s="4" t="n">
        <v>39.2</v>
      </c>
      <c r="J467" s="2" t="n">
        <v>60</v>
      </c>
      <c r="K467" s="4" t="n">
        <v>7.3</v>
      </c>
      <c r="L467" s="4" t="n">
        <v>23.57</v>
      </c>
      <c r="M467" s="4">
        <f>B467*(G467/100)*(J467/100)</f>
        <v/>
      </c>
      <c r="N467" s="4">
        <f>B467*(F467/360/100)*E467*(J467/100)</f>
        <v/>
      </c>
      <c r="O467" s="4">
        <f>K467-M467+L467-N467</f>
        <v/>
      </c>
    </row>
    <row r="468">
      <c r="A468" s="2" t="inlineStr">
        <is>
          <t>B11019877</t>
        </is>
      </c>
      <c r="B468" s="4" t="n">
        <v>9477.370000000001</v>
      </c>
      <c r="C468" s="3" t="n">
        <v>46048</v>
      </c>
      <c r="D468" s="3" t="n">
        <v>46120</v>
      </c>
      <c r="E468" s="2" t="n">
        <v>32</v>
      </c>
      <c r="F468" s="2" t="n">
        <v>32.98</v>
      </c>
      <c r="G468" s="2" t="n">
        <v>2.47</v>
      </c>
      <c r="H468" s="4" t="n">
        <v>234.09</v>
      </c>
      <c r="I468" s="4" t="n">
        <v>277.83</v>
      </c>
      <c r="J468" s="2" t="n">
        <v>30</v>
      </c>
      <c r="K468" s="4" t="n">
        <v>70.52</v>
      </c>
      <c r="L468" s="4" t="n">
        <v>83.23999999999999</v>
      </c>
      <c r="M468" s="4">
        <f>B468*(G468/100)*(J468/100)</f>
        <v/>
      </c>
      <c r="N468" s="4">
        <f>B468*(F468/360/100)*E468*(J468/100)</f>
        <v/>
      </c>
      <c r="O468" s="4">
        <f>K468-M468+L468-N468</f>
        <v/>
      </c>
    </row>
    <row r="469">
      <c r="A469" s="2" t="inlineStr">
        <is>
          <t>B30554060</t>
        </is>
      </c>
      <c r="B469" s="4" t="n">
        <v>390.2</v>
      </c>
      <c r="C469" s="3" t="n">
        <v>46043</v>
      </c>
      <c r="D469" s="3" t="n">
        <v>46078</v>
      </c>
      <c r="E469" s="2" t="n">
        <v>45</v>
      </c>
      <c r="F469" s="2" t="n">
        <v>16.37</v>
      </c>
      <c r="G469" s="2" t="n">
        <v>1.97</v>
      </c>
      <c r="H469" s="4" t="n">
        <v>7.69</v>
      </c>
      <c r="I469" s="4" t="n">
        <v>7.98</v>
      </c>
      <c r="J469" s="2" t="n">
        <v>40</v>
      </c>
      <c r="K469" s="4" t="n">
        <v>2.81</v>
      </c>
      <c r="L469" s="4" t="n">
        <v>2.98</v>
      </c>
      <c r="M469" s="4">
        <f>B469*(G469/100)*(J469/100)</f>
        <v/>
      </c>
      <c r="N469" s="4">
        <f>B469*(F469/360/100)*E469*(J469/100)</f>
        <v/>
      </c>
      <c r="O469" s="4">
        <f>K469-M469+L469-N469</f>
        <v/>
      </c>
    </row>
    <row r="470">
      <c r="A470" s="2" t="inlineStr">
        <is>
          <t>A28958222</t>
        </is>
      </c>
      <c r="B470" s="4" t="n">
        <v>238.5</v>
      </c>
      <c r="C470" s="3" t="n">
        <v>46034</v>
      </c>
      <c r="D470" s="3" t="n">
        <v>46229</v>
      </c>
      <c r="E470" s="2" t="n">
        <v>74</v>
      </c>
      <c r="F470" s="2" t="n">
        <v>48.3</v>
      </c>
      <c r="G470" s="2" t="n">
        <v>2.75</v>
      </c>
      <c r="H470" s="4" t="n">
        <v>6.56</v>
      </c>
      <c r="I470" s="4" t="n">
        <v>23.68</v>
      </c>
      <c r="J470" s="2" t="n">
        <v>20</v>
      </c>
      <c r="K470" s="4" t="n">
        <v>1.54</v>
      </c>
      <c r="L470" s="4" t="n">
        <v>4.69</v>
      </c>
      <c r="M470" s="4">
        <f>B470*(G470/100)*(J470/100)</f>
        <v/>
      </c>
      <c r="N470" s="4">
        <f>B470*(F470/360/100)*E470*(J470/100)</f>
        <v/>
      </c>
      <c r="O470" s="4">
        <f>K470-M470+L470-N470</f>
        <v/>
      </c>
    </row>
    <row r="471">
      <c r="A471" s="2" t="inlineStr">
        <is>
          <t>A77546539</t>
        </is>
      </c>
      <c r="B471" s="4" t="n">
        <v>906.12</v>
      </c>
      <c r="C471" s="3" t="n">
        <v>46023</v>
      </c>
      <c r="D471" s="3" t="n">
        <v>46055</v>
      </c>
      <c r="E471" s="2" t="n">
        <v>49</v>
      </c>
      <c r="F471" s="2" t="n">
        <v>17.41</v>
      </c>
      <c r="G471" s="2" t="n">
        <v>1.86</v>
      </c>
      <c r="H471" s="4" t="n">
        <v>16.85</v>
      </c>
      <c r="I471" s="4" t="n">
        <v>21.47</v>
      </c>
      <c r="J471" s="2" t="n">
        <v>40</v>
      </c>
      <c r="K471" s="4" t="n">
        <v>6.51</v>
      </c>
      <c r="L471" s="4" t="n">
        <v>8.369999999999999</v>
      </c>
      <c r="M471" s="4">
        <f>B471*(G471/100)*(J471/100)</f>
        <v/>
      </c>
      <c r="N471" s="4">
        <f>B471*(F471/360/100)*E471*(J471/100)</f>
        <v/>
      </c>
      <c r="O471" s="4">
        <f>K471-M471+L471-N471</f>
        <v/>
      </c>
    </row>
    <row r="472">
      <c r="A472" s="2" t="inlineStr">
        <is>
          <t>A33610335</t>
        </is>
      </c>
      <c r="B472" s="4" t="n">
        <v>759.65</v>
      </c>
      <c r="C472" s="3" t="n">
        <v>46030</v>
      </c>
      <c r="D472" s="3" t="n">
        <v>46154</v>
      </c>
      <c r="E472" s="2" t="n">
        <v>84</v>
      </c>
      <c r="F472" s="2" t="n">
        <v>28.58</v>
      </c>
      <c r="G472" s="2" t="n">
        <v>1.37</v>
      </c>
      <c r="H472" s="4" t="n">
        <v>10.41</v>
      </c>
      <c r="I472" s="4" t="n">
        <v>50.66</v>
      </c>
      <c r="J472" s="2" t="n">
        <v>70</v>
      </c>
      <c r="K472" s="4" t="n">
        <v>6.99</v>
      </c>
      <c r="L472" s="4" t="n">
        <v>35.4</v>
      </c>
      <c r="M472" s="4">
        <f>B472*(G472/100)*(J472/100)</f>
        <v/>
      </c>
      <c r="N472" s="4">
        <f>B472*(F472/360/100)*E472*(J472/100)</f>
        <v/>
      </c>
      <c r="O472" s="4">
        <f>K472-M472+L472-N472</f>
        <v/>
      </c>
    </row>
    <row r="473">
      <c r="A473" s="2" t="inlineStr">
        <is>
          <t>A91563398</t>
        </is>
      </c>
      <c r="B473" s="4" t="n">
        <v>853.04</v>
      </c>
      <c r="C473" s="3" t="n">
        <v>46038</v>
      </c>
      <c r="D473" s="3" t="n">
        <v>46158</v>
      </c>
      <c r="E473" s="2" t="n">
        <v>57</v>
      </c>
      <c r="F473" s="2" t="n">
        <v>38.47</v>
      </c>
      <c r="G473" s="2" t="n">
        <v>1.53</v>
      </c>
      <c r="H473" s="4" t="n">
        <v>13.05</v>
      </c>
      <c r="I473" s="4" t="n">
        <v>51.96</v>
      </c>
      <c r="J473" s="2" t="n">
        <v>20</v>
      </c>
      <c r="K473" s="4" t="n">
        <v>2.37</v>
      </c>
      <c r="L473" s="4" t="n">
        <v>10.61</v>
      </c>
      <c r="M473" s="4">
        <f>B473*(G473/100)*(J473/100)</f>
        <v/>
      </c>
      <c r="N473" s="4">
        <f>B473*(F473/360/100)*E473*(J473/100)</f>
        <v/>
      </c>
      <c r="O473" s="4">
        <f>K473-M473+L473-N473</f>
        <v/>
      </c>
    </row>
    <row r="474">
      <c r="A474" s="2" t="inlineStr">
        <is>
          <t>B11505994</t>
        </is>
      </c>
      <c r="B474" s="4" t="n">
        <v>420.71</v>
      </c>
      <c r="C474" s="3" t="n">
        <v>46041</v>
      </c>
      <c r="D474" s="3" t="n">
        <v>46215</v>
      </c>
      <c r="E474" s="2" t="n">
        <v>14</v>
      </c>
      <c r="F474" s="2" t="n">
        <v>17.82</v>
      </c>
      <c r="G474" s="2" t="n">
        <v>2.57</v>
      </c>
      <c r="H474" s="4" t="n">
        <v>10.81</v>
      </c>
      <c r="I474" s="4" t="n">
        <v>2.92</v>
      </c>
      <c r="J474" s="2" t="n">
        <v>50</v>
      </c>
      <c r="K474" s="4" t="n">
        <v>5.63</v>
      </c>
      <c r="L474" s="4" t="n">
        <v>1.24</v>
      </c>
      <c r="M474" s="4">
        <f>B474*(G474/100)*(J474/100)</f>
        <v/>
      </c>
      <c r="N474" s="4">
        <f>B474*(F474/360/100)*E474*(J474/100)</f>
        <v/>
      </c>
      <c r="O474" s="4">
        <f>K474-M474+L474-N474</f>
        <v/>
      </c>
    </row>
    <row r="475">
      <c r="A475" s="2" t="inlineStr">
        <is>
          <t>A82223757</t>
        </is>
      </c>
      <c r="B475" s="4" t="n">
        <v>9275.82</v>
      </c>
      <c r="C475" s="3" t="n">
        <v>46026</v>
      </c>
      <c r="D475" s="3" t="n">
        <v>46067</v>
      </c>
      <c r="E475" s="2" t="n">
        <v>84</v>
      </c>
      <c r="F475" s="2" t="n">
        <v>15.76</v>
      </c>
      <c r="G475" s="2" t="n">
        <v>0.64</v>
      </c>
      <c r="H475" s="4" t="n">
        <v>59.37</v>
      </c>
      <c r="I475" s="4" t="n">
        <v>341.1</v>
      </c>
      <c r="J475" s="2" t="n">
        <v>40</v>
      </c>
      <c r="K475" s="4" t="n">
        <v>23.95</v>
      </c>
      <c r="L475" s="4" t="n">
        <v>136.51</v>
      </c>
      <c r="M475" s="4">
        <f>B475*(G475/100)*(J475/100)</f>
        <v/>
      </c>
      <c r="N475" s="4">
        <f>B475*(F475/360/100)*E475*(J475/100)</f>
        <v/>
      </c>
      <c r="O475" s="4">
        <f>K475-M475+L475-N475</f>
        <v/>
      </c>
    </row>
    <row r="476">
      <c r="A476" s="2" t="inlineStr">
        <is>
          <t>B81360692</t>
        </is>
      </c>
      <c r="B476" s="4" t="n">
        <v>724.09</v>
      </c>
      <c r="C476" s="3" t="n">
        <v>46048</v>
      </c>
      <c r="D476" s="3" t="n">
        <v>46145</v>
      </c>
      <c r="E476" s="2" t="n">
        <v>19</v>
      </c>
      <c r="F476" s="2" t="n">
        <v>39.38</v>
      </c>
      <c r="G476" s="2" t="n">
        <v>2.48</v>
      </c>
      <c r="H476" s="4" t="n">
        <v>17.96</v>
      </c>
      <c r="I476" s="4" t="n">
        <v>15.05</v>
      </c>
      <c r="J476" s="2" t="n">
        <v>60</v>
      </c>
      <c r="K476" s="4" t="n">
        <v>10.76</v>
      </c>
      <c r="L476" s="4" t="n">
        <v>8.98</v>
      </c>
      <c r="M476" s="4">
        <f>B476*(G476/100)*(J476/100)</f>
        <v/>
      </c>
      <c r="N476" s="4">
        <f>B476*(F476/360/100)*E476*(J476/100)</f>
        <v/>
      </c>
      <c r="O476" s="4">
        <f>K476-M476+L476-N476</f>
        <v/>
      </c>
    </row>
    <row r="477">
      <c r="A477" s="2" t="inlineStr">
        <is>
          <t>A38996666</t>
        </is>
      </c>
      <c r="B477" s="4" t="n">
        <v>957.28</v>
      </c>
      <c r="C477" s="3" t="n">
        <v>46038</v>
      </c>
      <c r="D477" s="3" t="n">
        <v>46162</v>
      </c>
      <c r="E477" s="2" t="n">
        <v>34</v>
      </c>
      <c r="F477" s="2" t="n">
        <v>29.44</v>
      </c>
      <c r="G477" s="2" t="n">
        <v>2.69</v>
      </c>
      <c r="H477" s="4" t="n">
        <v>25.75</v>
      </c>
      <c r="I477" s="4" t="n">
        <v>26.62</v>
      </c>
      <c r="J477" s="2" t="n">
        <v>30</v>
      </c>
      <c r="K477" s="4" t="n">
        <v>7.84</v>
      </c>
      <c r="L477" s="4" t="n">
        <v>8.25</v>
      </c>
      <c r="M477" s="4">
        <f>B477*(G477/100)*(J477/100)</f>
        <v/>
      </c>
      <c r="N477" s="4">
        <f>B477*(F477/360/100)*E477*(J477/100)</f>
        <v/>
      </c>
      <c r="O477" s="4">
        <f>K477-M477+L477-N477</f>
        <v/>
      </c>
    </row>
    <row r="478">
      <c r="A478" s="2" t="inlineStr">
        <is>
          <t>B84562652</t>
        </is>
      </c>
      <c r="B478" s="4" t="n">
        <v>889.6799999999999</v>
      </c>
      <c r="C478" s="3" t="n">
        <v>46044</v>
      </c>
      <c r="D478" s="3" t="n">
        <v>46086</v>
      </c>
      <c r="E478" s="2" t="n">
        <v>70</v>
      </c>
      <c r="F478" s="2" t="n">
        <v>17.61</v>
      </c>
      <c r="G478" s="2" t="n">
        <v>2.87</v>
      </c>
      <c r="H478" s="4" t="n">
        <v>25.53</v>
      </c>
      <c r="I478" s="4" t="n">
        <v>30.46</v>
      </c>
      <c r="J478" s="2" t="n">
        <v>40</v>
      </c>
      <c r="K478" s="4" t="n">
        <v>10.4</v>
      </c>
      <c r="L478" s="4" t="n">
        <v>12.11</v>
      </c>
      <c r="M478" s="4">
        <f>B478*(G478/100)*(J478/100)</f>
        <v/>
      </c>
      <c r="N478" s="4">
        <f>B478*(F478/360/100)*E478*(J478/100)</f>
        <v/>
      </c>
      <c r="O478" s="4">
        <f>K478-M478+L478-N478</f>
        <v/>
      </c>
    </row>
    <row r="479">
      <c r="A479" s="2" t="inlineStr">
        <is>
          <t>B73998366</t>
        </is>
      </c>
      <c r="B479" s="4" t="n">
        <v>158.04</v>
      </c>
      <c r="C479" s="3" t="n">
        <v>46041</v>
      </c>
      <c r="D479" s="3" t="n">
        <v>46126</v>
      </c>
      <c r="E479" s="2" t="n">
        <v>12</v>
      </c>
      <c r="F479" s="2" t="n">
        <v>46.07</v>
      </c>
      <c r="G479" s="2" t="n">
        <v>0.67</v>
      </c>
      <c r="H479" s="4" t="n">
        <v>1.06</v>
      </c>
      <c r="I479" s="4" t="n">
        <v>2.43</v>
      </c>
      <c r="J479" s="2" t="n">
        <v>40</v>
      </c>
      <c r="K479" s="4" t="n">
        <v>0.33</v>
      </c>
      <c r="L479" s="4" t="n">
        <v>1.12</v>
      </c>
      <c r="M479" s="4">
        <f>B479*(G479/100)*(J479/100)</f>
        <v/>
      </c>
      <c r="N479" s="4">
        <f>B479*(F479/360/100)*E479*(J479/100)</f>
        <v/>
      </c>
      <c r="O479" s="4">
        <f>K479-M479+L479-N479</f>
        <v/>
      </c>
    </row>
    <row r="480">
      <c r="A480" s="2" t="inlineStr">
        <is>
          <t>B57580049</t>
        </is>
      </c>
      <c r="B480" s="4" t="n">
        <v>112.21</v>
      </c>
      <c r="C480" s="3" t="n">
        <v>46040</v>
      </c>
      <c r="D480" s="3" t="n">
        <v>46218</v>
      </c>
      <c r="E480" s="2" t="n">
        <v>47</v>
      </c>
      <c r="F480" s="2" t="n">
        <v>19.15</v>
      </c>
      <c r="G480" s="2" t="n">
        <v>2.51</v>
      </c>
      <c r="H480" s="4" t="n">
        <v>2.82</v>
      </c>
      <c r="I480" s="4" t="n">
        <v>2.81</v>
      </c>
      <c r="J480" s="2" t="n">
        <v>40</v>
      </c>
      <c r="K480" s="4" t="n">
        <v>1</v>
      </c>
      <c r="L480" s="4" t="n">
        <v>1.17</v>
      </c>
      <c r="M480" s="4">
        <f>B480*(G480/100)*(J480/100)</f>
        <v/>
      </c>
      <c r="N480" s="4">
        <f>B480*(F480/360/100)*E480*(J480/100)</f>
        <v/>
      </c>
      <c r="O480" s="4">
        <f>K480-M480+L480-N480</f>
        <v/>
      </c>
    </row>
    <row r="481">
      <c r="A481" s="2" t="inlineStr">
        <is>
          <t>B82073619</t>
        </is>
      </c>
      <c r="B481" s="4" t="n">
        <v>5438.64</v>
      </c>
      <c r="C481" s="3" t="n">
        <v>46037</v>
      </c>
      <c r="D481" s="3" t="n">
        <v>46089</v>
      </c>
      <c r="E481" s="2" t="n">
        <v>67</v>
      </c>
      <c r="F481" s="2" t="n">
        <v>42.65</v>
      </c>
      <c r="G481" s="2" t="n">
        <v>1.1</v>
      </c>
      <c r="H481" s="4" t="n">
        <v>59.83</v>
      </c>
      <c r="I481" s="4" t="n">
        <v>431.7</v>
      </c>
      <c r="J481" s="2" t="n">
        <v>60</v>
      </c>
      <c r="K481" s="4" t="n">
        <v>36.14</v>
      </c>
      <c r="L481" s="4" t="n">
        <v>258.83</v>
      </c>
      <c r="M481" s="4">
        <f>B481*(G481/100)*(J481/100)</f>
        <v/>
      </c>
      <c r="N481" s="4">
        <f>B481*(F481/360/100)*E481*(J481/100)</f>
        <v/>
      </c>
      <c r="O481" s="4">
        <f>K481-M481+L481-N481</f>
        <v/>
      </c>
    </row>
    <row r="482">
      <c r="A482" s="5" t="inlineStr">
        <is>
          <t>Total</t>
        </is>
      </c>
      <c r="B482" s="6">
        <f>SUBTOTAL(109,B2:B481)</f>
        <v/>
      </c>
      <c r="H482" s="6">
        <f>SUBTOTAL(109,H2:H481)</f>
        <v/>
      </c>
      <c r="I482" s="6">
        <f>SUBTOTAL(109,I2:I481)</f>
        <v/>
      </c>
      <c r="K482" s="6">
        <f>SUBTOTAL(109,K2:K481)</f>
        <v/>
      </c>
      <c r="L482" s="6">
        <f>SUBTOTAL(109,L2:L481)</f>
        <v/>
      </c>
      <c r="M482" s="6">
        <f>SUBTOTAL(109,M2:M481)</f>
        <v/>
      </c>
      <c r="N482" s="6">
        <f>SUBTOTAL(109,N2:N481)</f>
        <v/>
      </c>
      <c r="O482" s="6">
        <f>SUBTOTAL(109,O2:O481)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2026-09-16T22:19:57Z</dcterms:created>
  <dcterms:modified xsi:type="dcterms:W3CDTF">2026-09-16T22:19:57Z</dcterms:modified>
</cp:coreProperties>
</file>