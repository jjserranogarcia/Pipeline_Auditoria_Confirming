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Imprimir" sheetId="2" state="visible" r:id="rId2"/>
  </sheets>
  <definedNames>
    <definedName name="_xlnm.Print_Titles" localSheetId="0">'Detalle'!$1:$1</definedName>
    <definedName name="_xlnm.Print_Titles" localSheetId="1">'Imprimir'!$1:$1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"/>
  </numFmts>
  <fonts count="3">
    <font>
      <name val="Calibri"/>
      <family val="2"/>
      <color theme="1"/>
      <sz val="11"/>
      <scheme val="minor"/>
    </font>
    <font>
      <sz val="8"/>
    </font>
    <font>
      <b val="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4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Detalle" displayName="TablaDetalle" ref="A1:T168" headerRowCount="1" totalsRowCount="1">
  <tableColumns count="20">
    <tableColumn id="1" name="Banco" totalsRowLabel="Total"/>
    <tableColumn id="2" name="Sociedad"/>
    <tableColumn id="3" name="Fecha Documento"/>
    <tableColumn id="4" name="CIF"/>
    <tableColumn id="5" name="Proveedor"/>
    <tableColumn id="6" name="Nº Factura"/>
    <tableColumn id="7" name="Importe" totalsRowFunction="sum"/>
    <tableColumn id="8" name="F. Anticipo"/>
    <tableColumn id="9" name="F. Vencimiento"/>
    <tableColumn id="10" name="Días"/>
    <tableColumn id="11" name="% Interés"/>
    <tableColumn id="12" name="% Comisión"/>
    <tableColumn id="13" name="Total Comisión" totalsRowFunction="sum"/>
    <tableColumn id="14" name="Total Interés" totalsRowFunction="sum"/>
    <tableColumn id="15" name="% Reparto"/>
    <tableColumn id="16" name="Comisión Prisma" totalsRowFunction="sum"/>
    <tableColumn id="17" name="Interés Prisma" totalsRowFunction="sum"/>
    <tableColumn id="18" name="Calculo_x000a_com Prisma" totalsRowFunction="sum"/>
    <tableColumn id="19" name="Calculo_x000a_int prisma" totalsRowFunction="sum"/>
    <tableColumn id="20" name="Total_x000a_diferencia" totalsRowFunction="sum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TablaImprimir" displayName="TablaImprimir" ref="A1:O168" headerRowCount="1" totalsRowCount="1">
  <tableColumns count="15">
    <tableColumn id="1" name="CIF" totalsRowLabel="Total"/>
    <tableColumn id="2" name="Importe" totalsRowFunction="sum"/>
    <tableColumn id="3" name="F. Anticipo"/>
    <tableColumn id="4" name="F. Vencimiento"/>
    <tableColumn id="5" name="Días"/>
    <tableColumn id="6" name="% Interés"/>
    <tableColumn id="7" name="% Comisión"/>
    <tableColumn id="8" name="Total Comisión" totalsRowFunction="sum"/>
    <tableColumn id="9" name="Total Interés" totalsRowFunction="sum"/>
    <tableColumn id="10" name="% Reparto"/>
    <tableColumn id="11" name="Comisión Prisma" totalsRowFunction="sum"/>
    <tableColumn id="12" name="Interés Prisma" totalsRowFunction="sum"/>
    <tableColumn id="13" name="Calculo_x000a_com Prisma" totalsRowFunction="sum"/>
    <tableColumn id="14" name="Calculo_x000a_int prisma" totalsRowFunction="sum"/>
    <tableColumn id="15" name="Total_x000a_diferencia" totalsRowFunction="sum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168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10" customWidth="1" min="4" max="4"/>
    <col width="33" customWidth="1" min="5" max="5"/>
    <col width="13" customWidth="1" min="6" max="6"/>
    <col width="9" customWidth="1" min="7" max="7"/>
    <col width="9" customWidth="1" min="8" max="8"/>
    <col width="12" customWidth="1" min="9" max="9"/>
    <col width="6" customWidth="1" min="10" max="10"/>
    <col width="8" customWidth="1" min="11" max="11"/>
    <col width="9" customWidth="1" min="12" max="12"/>
    <col width="9" customWidth="1" min="13" max="13"/>
    <col width="8" customWidth="1" min="14" max="14"/>
    <col width="8" customWidth="1" min="15" max="15"/>
    <col width="9" customWidth="1" min="16" max="16"/>
    <col width="8" customWidth="1" min="17" max="17"/>
    <col width="11" customWidth="1" min="18" max="18"/>
    <col width="11" customWidth="1" min="19" max="19"/>
    <col width="11" customWidth="1" min="20" max="20"/>
  </cols>
  <sheetData>
    <row r="1" ht="26" customHeight="1">
      <c r="A1" s="1" t="inlineStr">
        <is>
          <t>Banco</t>
        </is>
      </c>
      <c r="B1" s="1" t="inlineStr">
        <is>
          <t>Sociedad</t>
        </is>
      </c>
      <c r="C1" s="1" t="inlineStr">
        <is>
          <t>Fecha Documento</t>
        </is>
      </c>
      <c r="D1" s="1" t="inlineStr">
        <is>
          <t>CIF</t>
        </is>
      </c>
      <c r="E1" s="1" t="inlineStr">
        <is>
          <t>Proveedor</t>
        </is>
      </c>
      <c r="F1" s="1" t="inlineStr">
        <is>
          <t>Nº Factura</t>
        </is>
      </c>
      <c r="G1" s="1" t="inlineStr">
        <is>
          <t>Importe</t>
        </is>
      </c>
      <c r="H1" s="1" t="inlineStr">
        <is>
          <t>F. Anticipo</t>
        </is>
      </c>
      <c r="I1" s="1" t="inlineStr">
        <is>
          <t>F. Vencimiento</t>
        </is>
      </c>
      <c r="J1" s="1" t="inlineStr">
        <is>
          <t>Días</t>
        </is>
      </c>
      <c r="K1" s="1" t="inlineStr">
        <is>
          <t>% Interés</t>
        </is>
      </c>
      <c r="L1" s="1" t="inlineStr">
        <is>
          <t>% Comisión</t>
        </is>
      </c>
      <c r="M1" s="1" t="inlineStr">
        <is>
          <t>Total Comisión</t>
        </is>
      </c>
      <c r="N1" s="1" t="inlineStr">
        <is>
          <t>Total Interés</t>
        </is>
      </c>
      <c r="O1" s="1" t="inlineStr">
        <is>
          <t>% Reparto</t>
        </is>
      </c>
      <c r="P1" s="1" t="inlineStr">
        <is>
          <t>Comisión Prisma</t>
        </is>
      </c>
      <c r="Q1" s="1" t="inlineStr">
        <is>
          <t>Interés Prisma</t>
        </is>
      </c>
      <c r="R1" s="1" t="inlineStr">
        <is>
          <t>Calculo
com Prisma</t>
        </is>
      </c>
      <c r="S1" s="1" t="inlineStr">
        <is>
          <t>Calculo
int prisma</t>
        </is>
      </c>
      <c r="T1" s="1" t="inlineStr">
        <is>
          <t>Total
diferencia</t>
        </is>
      </c>
    </row>
    <row r="2">
      <c r="A2" s="2" t="inlineStr">
        <is>
          <t>Plata</t>
        </is>
      </c>
      <c r="B2" s="2" t="inlineStr">
        <is>
          <t>Amarillo</t>
        </is>
      </c>
      <c r="C2" s="3" t="n">
        <v>46025</v>
      </c>
      <c r="D2" s="2" t="inlineStr">
        <is>
          <t>B74972191</t>
        </is>
      </c>
      <c r="E2" s="2" t="inlineStr">
        <is>
          <t>Fluoruros Altiplánicos S.L.</t>
        </is>
      </c>
      <c r="F2" s="2" t="n">
        <v>3599643</v>
      </c>
      <c r="G2" s="4" t="n">
        <v>225.73</v>
      </c>
      <c r="H2" s="3" t="n">
        <v>46011</v>
      </c>
      <c r="I2" s="3" t="n">
        <v>46079</v>
      </c>
      <c r="J2" s="2" t="n">
        <v>68</v>
      </c>
      <c r="K2" s="2" t="n">
        <v>3.36</v>
      </c>
      <c r="L2" s="2" t="n">
        <v>1.56</v>
      </c>
      <c r="M2" s="4" t="n">
        <v>3.52</v>
      </c>
      <c r="N2" s="4" t="n">
        <v>1.43</v>
      </c>
      <c r="O2" s="2" t="n">
        <v>50</v>
      </c>
      <c r="P2" s="4" t="n">
        <v>1.95</v>
      </c>
      <c r="Q2" s="4" t="n">
        <v>0.68</v>
      </c>
      <c r="R2" s="4">
        <f>G2*(L2/100)*(O2/100)</f>
        <v/>
      </c>
      <c r="S2" s="4">
        <f>G2*(K2/360/100)*J2*(O2/100)</f>
        <v/>
      </c>
      <c r="T2" s="4">
        <f>P2-R2+Q2-S2</f>
        <v/>
      </c>
    </row>
    <row r="3">
      <c r="A3" s="2" t="inlineStr">
        <is>
          <t>Plata</t>
        </is>
      </c>
      <c r="B3" s="2" t="inlineStr">
        <is>
          <t>Amarillo</t>
        </is>
      </c>
      <c r="C3" s="3" t="n">
        <v>46025</v>
      </c>
      <c r="D3" s="2" t="inlineStr">
        <is>
          <t>B74972191</t>
        </is>
      </c>
      <c r="E3" s="2" t="inlineStr">
        <is>
          <t>Fluoruros Altiplánicos S.L.</t>
        </is>
      </c>
      <c r="F3" s="2" t="n">
        <v>1975650</v>
      </c>
      <c r="G3" s="4" t="n">
        <v>216.49</v>
      </c>
      <c r="H3" s="3" t="n">
        <v>46001</v>
      </c>
      <c r="I3" s="3" t="n">
        <v>46082</v>
      </c>
      <c r="J3" s="2" t="n">
        <v>67</v>
      </c>
      <c r="K3" s="2" t="n">
        <v>3.55</v>
      </c>
      <c r="L3" s="2" t="n">
        <v>1.9</v>
      </c>
      <c r="M3" s="4" t="n">
        <v>4.11</v>
      </c>
      <c r="N3" s="4" t="n">
        <v>1.43</v>
      </c>
      <c r="O3" s="2" t="n">
        <v>40</v>
      </c>
      <c r="P3" s="4" t="n">
        <v>1.35</v>
      </c>
      <c r="Q3" s="4" t="n">
        <v>0.65</v>
      </c>
      <c r="R3" s="4">
        <f>G3*(L3/100)*(O3/100)</f>
        <v/>
      </c>
      <c r="S3" s="4">
        <f>G3*(K3/360/100)*J3*(O3/100)</f>
        <v/>
      </c>
      <c r="T3" s="4">
        <f>P3-R3+Q3-S3</f>
        <v/>
      </c>
    </row>
    <row r="4">
      <c r="A4" s="2" t="inlineStr">
        <is>
          <t>Plata</t>
        </is>
      </c>
      <c r="B4" s="2" t="inlineStr">
        <is>
          <t>Amarillo</t>
        </is>
      </c>
      <c r="C4" s="3" t="n">
        <v>46025</v>
      </c>
      <c r="D4" s="2" t="inlineStr">
        <is>
          <t>A43738330</t>
        </is>
      </c>
      <c r="E4" s="2" t="inlineStr">
        <is>
          <t>Instalaciones Catalanes S.A.</t>
        </is>
      </c>
      <c r="F4" s="2" t="n">
        <v>3771542</v>
      </c>
      <c r="G4" s="4" t="n">
        <v>900.65</v>
      </c>
      <c r="H4" s="3" t="n">
        <v>45998</v>
      </c>
      <c r="I4" s="3" t="n">
        <v>46025</v>
      </c>
      <c r="J4" s="2" t="n">
        <v>74</v>
      </c>
      <c r="K4" s="2" t="n">
        <v>2.42</v>
      </c>
      <c r="L4" s="2" t="n">
        <v>1.95</v>
      </c>
      <c r="M4" s="4" t="n">
        <v>17.56</v>
      </c>
      <c r="N4" s="4" t="n">
        <v>4.48</v>
      </c>
      <c r="O4" s="2" t="n">
        <v>40</v>
      </c>
      <c r="P4" s="4" t="n">
        <v>6.9</v>
      </c>
      <c r="Q4" s="4" t="n">
        <v>1.56</v>
      </c>
      <c r="R4" s="4">
        <f>G4*(L4/100)*(O4/100)</f>
        <v/>
      </c>
      <c r="S4" s="4">
        <f>G4*(K4/360/100)*J4*(O4/100)</f>
        <v/>
      </c>
      <c r="T4" s="4">
        <f>P4-R4+Q4-S4</f>
        <v/>
      </c>
    </row>
    <row r="5">
      <c r="A5" s="2" t="inlineStr">
        <is>
          <t>Plata</t>
        </is>
      </c>
      <c r="B5" s="2" t="inlineStr">
        <is>
          <t>Amarillo</t>
        </is>
      </c>
      <c r="C5" s="3" t="n">
        <v>46025</v>
      </c>
      <c r="D5" s="2" t="inlineStr">
        <is>
          <t>A43738330</t>
        </is>
      </c>
      <c r="E5" s="2" t="inlineStr">
        <is>
          <t>Instalaciones Catalanes S.A.</t>
        </is>
      </c>
      <c r="F5" s="2" t="n">
        <v>2576353</v>
      </c>
      <c r="G5" s="4" t="n">
        <v>6939.29</v>
      </c>
      <c r="H5" s="3" t="n">
        <v>46015</v>
      </c>
      <c r="I5" s="3" t="n">
        <v>46032</v>
      </c>
      <c r="J5" s="2" t="n">
        <v>54</v>
      </c>
      <c r="K5" s="2" t="n">
        <v>3.49</v>
      </c>
      <c r="L5" s="2" t="n">
        <v>0.73</v>
      </c>
      <c r="M5" s="4" t="n">
        <v>50.66</v>
      </c>
      <c r="N5" s="4" t="n">
        <v>36.33</v>
      </c>
      <c r="O5" s="2" t="n">
        <v>60</v>
      </c>
      <c r="P5" s="4" t="n">
        <v>30.24</v>
      </c>
      <c r="Q5" s="4" t="n">
        <v>21.84</v>
      </c>
      <c r="R5" s="4">
        <f>G5*(L5/100)*(O5/100)</f>
        <v/>
      </c>
      <c r="S5" s="4">
        <f>G5*(K5/360/100)*J5*(O5/100)</f>
        <v/>
      </c>
      <c r="T5" s="4">
        <f>P5-R5+Q5-S5</f>
        <v/>
      </c>
    </row>
    <row r="6">
      <c r="A6" s="2" t="inlineStr">
        <is>
          <t>Plata</t>
        </is>
      </c>
      <c r="B6" s="2" t="inlineStr">
        <is>
          <t>Amarillo</t>
        </is>
      </c>
      <c r="C6" s="3" t="n">
        <v>46025</v>
      </c>
      <c r="D6" s="2" t="inlineStr">
        <is>
          <t>A43738330</t>
        </is>
      </c>
      <c r="E6" s="2" t="inlineStr">
        <is>
          <t>Instalaciones Catalanes S.A.</t>
        </is>
      </c>
      <c r="F6" s="2" t="n">
        <v>4429712</v>
      </c>
      <c r="G6" s="4" t="n">
        <v>2163.21</v>
      </c>
      <c r="H6" s="3" t="n">
        <v>45999</v>
      </c>
      <c r="I6" s="3" t="n">
        <v>46067</v>
      </c>
      <c r="J6" s="2" t="n">
        <v>21</v>
      </c>
      <c r="K6" s="2" t="n">
        <v>2.36</v>
      </c>
      <c r="L6" s="2" t="n">
        <v>1</v>
      </c>
      <c r="M6" s="4" t="n">
        <v>21.63</v>
      </c>
      <c r="N6" s="4" t="n">
        <v>2.98</v>
      </c>
      <c r="O6" s="2" t="n">
        <v>70</v>
      </c>
      <c r="P6" s="4" t="n">
        <v>15.43</v>
      </c>
      <c r="Q6" s="4" t="n">
        <v>2.05</v>
      </c>
      <c r="R6" s="4">
        <f>G6*(L6/100)*(O6/100)</f>
        <v/>
      </c>
      <c r="S6" s="4">
        <f>G6*(K6/360/100)*J6*(O6/100)</f>
        <v/>
      </c>
      <c r="T6" s="4">
        <f>P6-R6+Q6-S6</f>
        <v/>
      </c>
    </row>
    <row r="7">
      <c r="A7" s="2" t="inlineStr">
        <is>
          <t>Plata</t>
        </is>
      </c>
      <c r="B7" s="2" t="inlineStr">
        <is>
          <t>Amarillo</t>
        </is>
      </c>
      <c r="C7" s="3" t="n">
        <v>46025</v>
      </c>
      <c r="D7" s="2" t="inlineStr">
        <is>
          <t>B36150061</t>
        </is>
      </c>
      <c r="E7" s="2" t="inlineStr">
        <is>
          <t>Juntas Permanentes S.L.</t>
        </is>
      </c>
      <c r="F7" s="2" t="n">
        <v>4562557</v>
      </c>
      <c r="G7" s="4" t="n">
        <v>6929.66</v>
      </c>
      <c r="H7" s="3" t="n">
        <v>46001</v>
      </c>
      <c r="I7" s="3" t="n">
        <v>46023</v>
      </c>
      <c r="J7" s="2" t="n">
        <v>23</v>
      </c>
      <c r="K7" s="2" t="n">
        <v>1.7</v>
      </c>
      <c r="L7" s="2" t="n">
        <v>1.39</v>
      </c>
      <c r="M7" s="4" t="n">
        <v>96.31999999999999</v>
      </c>
      <c r="N7" s="4" t="n">
        <v>7.53</v>
      </c>
      <c r="O7" s="2" t="n">
        <v>50</v>
      </c>
      <c r="P7" s="4" t="n">
        <v>47.92</v>
      </c>
      <c r="Q7" s="4" t="n">
        <v>3.85</v>
      </c>
      <c r="R7" s="4">
        <f>G7*(L7/100)*(O7/100)</f>
        <v/>
      </c>
      <c r="S7" s="4">
        <f>G7*(K7/360/100)*J7*(O7/100)</f>
        <v/>
      </c>
      <c r="T7" s="4">
        <f>P7-R7+Q7-S7</f>
        <v/>
      </c>
    </row>
    <row r="8">
      <c r="A8" s="2" t="inlineStr">
        <is>
          <t>Plata</t>
        </is>
      </c>
      <c r="B8" s="2" t="inlineStr">
        <is>
          <t>Amarillo</t>
        </is>
      </c>
      <c r="C8" s="3" t="n">
        <v>46025</v>
      </c>
      <c r="D8" s="2" t="inlineStr">
        <is>
          <t>B36150061</t>
        </is>
      </c>
      <c r="E8" s="2" t="inlineStr">
        <is>
          <t>Juntas Permanentes S.L.</t>
        </is>
      </c>
      <c r="F8" s="2" t="n">
        <v>2026818</v>
      </c>
      <c r="G8" s="4" t="n">
        <v>6385.77</v>
      </c>
      <c r="H8" s="3" t="n">
        <v>46013</v>
      </c>
      <c r="I8" s="3" t="n">
        <v>46083</v>
      </c>
      <c r="J8" s="2" t="n">
        <v>41</v>
      </c>
      <c r="K8" s="2" t="n">
        <v>2.4</v>
      </c>
      <c r="L8" s="2" t="n">
        <v>2.18</v>
      </c>
      <c r="M8" s="4" t="n">
        <v>139.21</v>
      </c>
      <c r="N8" s="4" t="n">
        <v>17.45</v>
      </c>
      <c r="O8" s="2" t="n">
        <v>50</v>
      </c>
      <c r="P8" s="4" t="n">
        <v>69.70999999999999</v>
      </c>
      <c r="Q8" s="4" t="n">
        <v>8.91</v>
      </c>
      <c r="R8" s="4">
        <f>G8*(L8/100)*(O8/100)</f>
        <v/>
      </c>
      <c r="S8" s="4">
        <f>G8*(K8/360/100)*J8*(O8/100)</f>
        <v/>
      </c>
      <c r="T8" s="4">
        <f>P8-R8+Q8-S8</f>
        <v/>
      </c>
    </row>
    <row r="9">
      <c r="A9" s="2" t="inlineStr">
        <is>
          <t>Plata</t>
        </is>
      </c>
      <c r="B9" s="2" t="inlineStr">
        <is>
          <t>Amarillo</t>
        </is>
      </c>
      <c r="C9" s="3" t="n">
        <v>46025</v>
      </c>
      <c r="D9" s="2" t="inlineStr">
        <is>
          <t>B36150061</t>
        </is>
      </c>
      <c r="E9" s="2" t="inlineStr">
        <is>
          <t>Juntas Permanentes S.L.</t>
        </is>
      </c>
      <c r="F9" s="2" t="n">
        <v>2717494</v>
      </c>
      <c r="G9" s="4" t="n">
        <v>888.8099999999999</v>
      </c>
      <c r="H9" s="3" t="n">
        <v>46000</v>
      </c>
      <c r="I9" s="3" t="n">
        <v>46109</v>
      </c>
      <c r="J9" s="2" t="n">
        <v>25</v>
      </c>
      <c r="K9" s="2" t="n">
        <v>2.69</v>
      </c>
      <c r="L9" s="2" t="n">
        <v>1.49</v>
      </c>
      <c r="M9" s="4" t="n">
        <v>13.24</v>
      </c>
      <c r="N9" s="4" t="n">
        <v>1.66</v>
      </c>
      <c r="O9" s="2" t="n">
        <v>60</v>
      </c>
      <c r="P9" s="4" t="n">
        <v>7.85</v>
      </c>
      <c r="Q9" s="4" t="n">
        <v>0.79</v>
      </c>
      <c r="R9" s="4">
        <f>G9*(L9/100)*(O9/100)</f>
        <v/>
      </c>
      <c r="S9" s="4">
        <f>G9*(K9/360/100)*J9*(O9/100)</f>
        <v/>
      </c>
      <c r="T9" s="4">
        <f>P9-R9+Q9-S9</f>
        <v/>
      </c>
    </row>
    <row r="10">
      <c r="A10" s="2" t="inlineStr">
        <is>
          <t>Plata</t>
        </is>
      </c>
      <c r="B10" s="2" t="inlineStr">
        <is>
          <t>Amarillo</t>
        </is>
      </c>
      <c r="C10" s="3" t="n">
        <v>46025</v>
      </c>
      <c r="D10" s="2" t="inlineStr">
        <is>
          <t>B36150061</t>
        </is>
      </c>
      <c r="E10" s="2" t="inlineStr">
        <is>
          <t>Juntas Permanentes S.L.</t>
        </is>
      </c>
      <c r="F10" s="2" t="n">
        <v>3930520</v>
      </c>
      <c r="G10" s="4" t="n">
        <v>868.66</v>
      </c>
      <c r="H10" s="3" t="n">
        <v>46012</v>
      </c>
      <c r="I10" s="3" t="n">
        <v>46088</v>
      </c>
      <c r="J10" s="2" t="n">
        <v>52</v>
      </c>
      <c r="K10" s="2" t="n">
        <v>3.81</v>
      </c>
      <c r="L10" s="2" t="n">
        <v>1.32</v>
      </c>
      <c r="M10" s="4" t="n">
        <v>11.47</v>
      </c>
      <c r="N10" s="4" t="n">
        <v>4.78</v>
      </c>
      <c r="O10" s="2" t="n">
        <v>60</v>
      </c>
      <c r="P10" s="4" t="n">
        <v>6.96</v>
      </c>
      <c r="Q10" s="4" t="n">
        <v>2.7</v>
      </c>
      <c r="R10" s="4">
        <f>G10*(L10/100)*(O10/100)</f>
        <v/>
      </c>
      <c r="S10" s="4">
        <f>G10*(K10/360/100)*J10*(O10/100)</f>
        <v/>
      </c>
      <c r="T10" s="4">
        <f>P10-R10+Q10-S10</f>
        <v/>
      </c>
    </row>
    <row r="11">
      <c r="A11" s="2" t="inlineStr">
        <is>
          <t>Plata</t>
        </is>
      </c>
      <c r="B11" s="2" t="inlineStr">
        <is>
          <t>Amarillo</t>
        </is>
      </c>
      <c r="C11" s="3" t="n">
        <v>46025</v>
      </c>
      <c r="D11" s="2" t="inlineStr">
        <is>
          <t>A88363100</t>
        </is>
      </c>
      <c r="E11" s="2" t="inlineStr">
        <is>
          <t>Perfiles Premiados S.A.</t>
        </is>
      </c>
      <c r="F11" s="2" t="n">
        <v>2290707</v>
      </c>
      <c r="G11" s="4" t="n">
        <v>7807.61</v>
      </c>
      <c r="H11" s="3" t="n">
        <v>45999</v>
      </c>
      <c r="I11" s="3" t="n">
        <v>46108</v>
      </c>
      <c r="J11" s="2" t="n">
        <v>31</v>
      </c>
      <c r="K11" s="2" t="n">
        <v>2</v>
      </c>
      <c r="L11" s="2" t="n">
        <v>0.75</v>
      </c>
      <c r="M11" s="4" t="n">
        <v>58.56</v>
      </c>
      <c r="N11" s="4" t="n">
        <v>13.45</v>
      </c>
      <c r="O11" s="2" t="n">
        <v>40</v>
      </c>
      <c r="P11" s="4" t="n">
        <v>23.59</v>
      </c>
      <c r="Q11" s="4" t="n">
        <v>5.32</v>
      </c>
      <c r="R11" s="4">
        <f>G11*(L11/100)*(O11/100)</f>
        <v/>
      </c>
      <c r="S11" s="4">
        <f>G11*(K11/360/100)*J11*(O11/100)</f>
        <v/>
      </c>
      <c r="T11" s="4">
        <f>P11-R11+Q11-S11</f>
        <v/>
      </c>
    </row>
    <row r="12">
      <c r="A12" s="2" t="inlineStr">
        <is>
          <t>Plata</t>
        </is>
      </c>
      <c r="B12" s="2" t="inlineStr">
        <is>
          <t>Amarillo</t>
        </is>
      </c>
      <c r="C12" s="3" t="n">
        <v>46025</v>
      </c>
      <c r="D12" s="2" t="inlineStr">
        <is>
          <t>A88363100</t>
        </is>
      </c>
      <c r="E12" s="2" t="inlineStr">
        <is>
          <t>Perfiles Premiados S.A.</t>
        </is>
      </c>
      <c r="F12" s="2" t="n">
        <v>2653812</v>
      </c>
      <c r="G12" s="4" t="n">
        <v>928.05</v>
      </c>
      <c r="H12" s="3" t="n">
        <v>46017</v>
      </c>
      <c r="I12" s="3" t="n">
        <v>46073</v>
      </c>
      <c r="J12" s="2" t="n">
        <v>64</v>
      </c>
      <c r="K12" s="2" t="n">
        <v>4.47</v>
      </c>
      <c r="L12" s="2" t="n">
        <v>0.82</v>
      </c>
      <c r="M12" s="4" t="n">
        <v>7.61</v>
      </c>
      <c r="N12" s="4" t="n">
        <v>7.37</v>
      </c>
      <c r="O12" s="2" t="n">
        <v>70</v>
      </c>
      <c r="P12" s="4" t="n">
        <v>5.06</v>
      </c>
      <c r="Q12" s="4" t="n">
        <v>5.37</v>
      </c>
      <c r="R12" s="4">
        <f>G12*(L12/100)*(O12/100)</f>
        <v/>
      </c>
      <c r="S12" s="4">
        <f>G12*(K12/360/100)*J12*(O12/100)</f>
        <v/>
      </c>
      <c r="T12" s="4">
        <f>P12-R12+Q12-S12</f>
        <v/>
      </c>
    </row>
    <row r="13">
      <c r="A13" s="2" t="inlineStr">
        <is>
          <t>Plata</t>
        </is>
      </c>
      <c r="B13" s="2" t="inlineStr">
        <is>
          <t>Amarillo</t>
        </is>
      </c>
      <c r="C13" s="3" t="n">
        <v>46025</v>
      </c>
      <c r="D13" s="2" t="inlineStr">
        <is>
          <t>B85162309</t>
        </is>
      </c>
      <c r="E13" s="2" t="inlineStr">
        <is>
          <t>Mieles Pivotantes S.L.</t>
        </is>
      </c>
      <c r="F13" s="2" t="n">
        <v>4634115</v>
      </c>
      <c r="G13" s="4" t="n">
        <v>392.04</v>
      </c>
      <c r="H13" s="3" t="n">
        <v>46000</v>
      </c>
      <c r="I13" s="3" t="n">
        <v>46097</v>
      </c>
      <c r="J13" s="2" t="n">
        <v>66</v>
      </c>
      <c r="K13" s="2" t="n">
        <v>2.5</v>
      </c>
      <c r="L13" s="2" t="n">
        <v>1.14</v>
      </c>
      <c r="M13" s="4" t="n">
        <v>4.47</v>
      </c>
      <c r="N13" s="4" t="n">
        <v>1.8</v>
      </c>
      <c r="O13" s="2" t="n">
        <v>40</v>
      </c>
      <c r="P13" s="4" t="n">
        <v>2.07</v>
      </c>
      <c r="Q13" s="4" t="n">
        <v>0.46</v>
      </c>
      <c r="R13" s="4">
        <f>G13*(L13/100)*(O13/100)</f>
        <v/>
      </c>
      <c r="S13" s="4">
        <f>G13*(K13/360/100)*J13*(O13/100)</f>
        <v/>
      </c>
      <c r="T13" s="4">
        <f>P13-R13+Q13-S13</f>
        <v/>
      </c>
    </row>
    <row r="14">
      <c r="A14" s="2" t="inlineStr">
        <is>
          <t>Plata</t>
        </is>
      </c>
      <c r="B14" s="2" t="inlineStr">
        <is>
          <t>Amarillo</t>
        </is>
      </c>
      <c r="C14" s="3" t="n">
        <v>46025</v>
      </c>
      <c r="D14" s="2" t="inlineStr">
        <is>
          <t>B85162309</t>
        </is>
      </c>
      <c r="E14" s="2" t="inlineStr">
        <is>
          <t>Mieles Pivotantes S.L.</t>
        </is>
      </c>
      <c r="F14" s="2" t="n">
        <v>3629891</v>
      </c>
      <c r="G14" s="4" t="n">
        <v>428.05</v>
      </c>
      <c r="H14" s="3" t="n">
        <v>46012</v>
      </c>
      <c r="I14" s="3" t="n">
        <v>46061</v>
      </c>
      <c r="J14" s="2" t="n">
        <v>15</v>
      </c>
      <c r="K14" s="2" t="n">
        <v>4.41</v>
      </c>
      <c r="L14" s="2" t="n">
        <v>2.35</v>
      </c>
      <c r="M14" s="4" t="n">
        <v>10.06</v>
      </c>
      <c r="N14" s="4" t="n">
        <v>0.79</v>
      </c>
      <c r="O14" s="2" t="n">
        <v>50</v>
      </c>
      <c r="P14" s="4" t="n">
        <v>4.8</v>
      </c>
      <c r="Q14" s="4" t="n">
        <v>0.67</v>
      </c>
      <c r="R14" s="4">
        <f>G14*(L14/100)*(O14/100)</f>
        <v/>
      </c>
      <c r="S14" s="4">
        <f>G14*(K14/360/100)*J14*(O14/100)</f>
        <v/>
      </c>
      <c r="T14" s="4">
        <f>P14-R14+Q14-S14</f>
        <v/>
      </c>
    </row>
    <row r="15">
      <c r="A15" s="2" t="inlineStr">
        <is>
          <t>Plata</t>
        </is>
      </c>
      <c r="B15" s="2" t="inlineStr">
        <is>
          <t>Amarillo</t>
        </is>
      </c>
      <c r="C15" s="3" t="n">
        <v>46025</v>
      </c>
      <c r="D15" s="2" t="inlineStr">
        <is>
          <t>B85162309</t>
        </is>
      </c>
      <c r="E15" s="2" t="inlineStr">
        <is>
          <t>Mieles Pivotantes S.L.</t>
        </is>
      </c>
      <c r="F15" s="2" t="n">
        <v>1350468</v>
      </c>
      <c r="G15" s="4" t="n">
        <v>3648.48</v>
      </c>
      <c r="H15" s="3" t="n">
        <v>46003</v>
      </c>
      <c r="I15" s="3" t="n">
        <v>46063</v>
      </c>
      <c r="J15" s="2" t="n">
        <v>44</v>
      </c>
      <c r="K15" s="2" t="n">
        <v>1.76</v>
      </c>
      <c r="L15" s="2" t="n">
        <v>2.26</v>
      </c>
      <c r="M15" s="4" t="n">
        <v>82.45999999999999</v>
      </c>
      <c r="N15" s="4" t="n">
        <v>7.85</v>
      </c>
      <c r="O15" s="2" t="n">
        <v>30</v>
      </c>
      <c r="P15" s="4" t="n">
        <v>24.57</v>
      </c>
      <c r="Q15" s="4" t="n">
        <v>2.24</v>
      </c>
      <c r="R15" s="4">
        <f>G15*(L15/100)*(O15/100)</f>
        <v/>
      </c>
      <c r="S15" s="4">
        <f>G15*(K15/360/100)*J15*(O15/100)</f>
        <v/>
      </c>
      <c r="T15" s="4">
        <f>P15-R15+Q15-S15</f>
        <v/>
      </c>
    </row>
    <row r="16">
      <c r="A16" s="2" t="inlineStr">
        <is>
          <t>Plata</t>
        </is>
      </c>
      <c r="B16" s="2" t="inlineStr">
        <is>
          <t>Amarillo</t>
        </is>
      </c>
      <c r="C16" s="3" t="n">
        <v>46025</v>
      </c>
      <c r="D16" s="2" t="inlineStr">
        <is>
          <t>B85162309</t>
        </is>
      </c>
      <c r="E16" s="2" t="inlineStr">
        <is>
          <t>Mieles Pivotantes S.L.</t>
        </is>
      </c>
      <c r="F16" s="2" t="n">
        <v>1594797</v>
      </c>
      <c r="G16" s="4" t="n">
        <v>493.39</v>
      </c>
      <c r="H16" s="3" t="n">
        <v>46015</v>
      </c>
      <c r="I16" s="3" t="n">
        <v>46069</v>
      </c>
      <c r="J16" s="2" t="n">
        <v>22</v>
      </c>
      <c r="K16" s="2" t="n">
        <v>3.01</v>
      </c>
      <c r="L16" s="2" t="n">
        <v>1.01</v>
      </c>
      <c r="M16" s="4" t="n">
        <v>4.98</v>
      </c>
      <c r="N16" s="4" t="n">
        <v>0.91</v>
      </c>
      <c r="O16" s="2" t="n">
        <v>30</v>
      </c>
      <c r="P16" s="4" t="n">
        <v>1.51</v>
      </c>
      <c r="Q16" s="4" t="n">
        <v>0.49</v>
      </c>
      <c r="R16" s="4">
        <f>G16*(L16/100)*(O16/100)</f>
        <v/>
      </c>
      <c r="S16" s="4">
        <f>G16*(K16/360/100)*J16*(O16/100)</f>
        <v/>
      </c>
      <c r="T16" s="4">
        <f>P16-R16+Q16-S16</f>
        <v/>
      </c>
    </row>
    <row r="17">
      <c r="A17" s="2" t="inlineStr">
        <is>
          <t>Plata</t>
        </is>
      </c>
      <c r="B17" s="2" t="inlineStr">
        <is>
          <t>Amarillo</t>
        </is>
      </c>
      <c r="C17" s="3" t="n">
        <v>46025</v>
      </c>
      <c r="D17" s="2" t="inlineStr">
        <is>
          <t>A87790879</t>
        </is>
      </c>
      <c r="E17" s="2" t="inlineStr">
        <is>
          <t>Digitalizaciones Arraigados S.A.</t>
        </is>
      </c>
      <c r="F17" s="2" t="n">
        <v>4613374</v>
      </c>
      <c r="G17" s="4" t="n">
        <v>600.8099999999999</v>
      </c>
      <c r="H17" s="3" t="n">
        <v>46002</v>
      </c>
      <c r="I17" s="3" t="n">
        <v>46100</v>
      </c>
      <c r="J17" s="2" t="n">
        <v>67</v>
      </c>
      <c r="K17" s="2" t="n">
        <v>4.27</v>
      </c>
      <c r="L17" s="2" t="n">
        <v>2.47</v>
      </c>
      <c r="M17" s="4" t="n">
        <v>14.84</v>
      </c>
      <c r="N17" s="4" t="n">
        <v>4.77</v>
      </c>
      <c r="O17" s="2" t="n">
        <v>40</v>
      </c>
      <c r="P17" s="4" t="n">
        <v>6.1</v>
      </c>
      <c r="Q17" s="4" t="n">
        <v>1.98</v>
      </c>
      <c r="R17" s="4">
        <f>G17*(L17/100)*(O17/100)</f>
        <v/>
      </c>
      <c r="S17" s="4">
        <f>G17*(K17/360/100)*J17*(O17/100)</f>
        <v/>
      </c>
      <c r="T17" s="4">
        <f>P17-R17+Q17-S17</f>
        <v/>
      </c>
    </row>
    <row r="18">
      <c r="A18" s="2" t="inlineStr">
        <is>
          <t>Plata</t>
        </is>
      </c>
      <c r="B18" s="2" t="inlineStr">
        <is>
          <t>Amarillo</t>
        </is>
      </c>
      <c r="C18" s="3" t="n">
        <v>46025</v>
      </c>
      <c r="D18" s="2" t="inlineStr">
        <is>
          <t>A87790879</t>
        </is>
      </c>
      <c r="E18" s="2" t="inlineStr">
        <is>
          <t>Digitalizaciones Arraigados S.A.</t>
        </is>
      </c>
      <c r="F18" s="2" t="n">
        <v>4813649</v>
      </c>
      <c r="G18" s="4" t="n">
        <v>947</v>
      </c>
      <c r="H18" s="3" t="n">
        <v>46005</v>
      </c>
      <c r="I18" s="3" t="n">
        <v>46109</v>
      </c>
      <c r="J18" s="2" t="n">
        <v>20</v>
      </c>
      <c r="K18" s="2" t="n">
        <v>3.77</v>
      </c>
      <c r="L18" s="2" t="n">
        <v>2.42</v>
      </c>
      <c r="M18" s="4" t="n">
        <v>22.92</v>
      </c>
      <c r="N18" s="4" t="n">
        <v>1.98</v>
      </c>
      <c r="O18" s="2" t="n">
        <v>70</v>
      </c>
      <c r="P18" s="4" t="n">
        <v>15.8</v>
      </c>
      <c r="Q18" s="4" t="n">
        <v>1.61</v>
      </c>
      <c r="R18" s="4">
        <f>G18*(L18/100)*(O18/100)</f>
        <v/>
      </c>
      <c r="S18" s="4">
        <f>G18*(K18/360/100)*J18*(O18/100)</f>
        <v/>
      </c>
      <c r="T18" s="4">
        <f>P18-R18+Q18-S18</f>
        <v/>
      </c>
    </row>
    <row r="19">
      <c r="A19" s="2" t="inlineStr">
        <is>
          <t>Plata</t>
        </is>
      </c>
      <c r="B19" s="2" t="inlineStr">
        <is>
          <t>Amarillo</t>
        </is>
      </c>
      <c r="C19" s="3" t="n">
        <v>46025</v>
      </c>
      <c r="D19" s="2" t="inlineStr">
        <is>
          <t>A87790879</t>
        </is>
      </c>
      <c r="E19" s="2" t="inlineStr">
        <is>
          <t>Digitalizaciones Arraigados S.A.</t>
        </is>
      </c>
      <c r="F19" s="2" t="n">
        <v>1078092</v>
      </c>
      <c r="G19" s="4" t="n">
        <v>1520.82</v>
      </c>
      <c r="H19" s="3" t="n">
        <v>46004</v>
      </c>
      <c r="I19" s="3" t="n">
        <v>46057</v>
      </c>
      <c r="J19" s="2" t="n">
        <v>70</v>
      </c>
      <c r="K19" s="2" t="n">
        <v>2.43</v>
      </c>
      <c r="L19" s="2" t="n">
        <v>1.75</v>
      </c>
      <c r="M19" s="4" t="n">
        <v>26.61</v>
      </c>
      <c r="N19" s="4" t="n">
        <v>7.19</v>
      </c>
      <c r="O19" s="2" t="n">
        <v>60</v>
      </c>
      <c r="P19" s="4" t="n">
        <v>15.93</v>
      </c>
      <c r="Q19" s="4" t="n">
        <v>4.5</v>
      </c>
      <c r="R19" s="4">
        <f>G19*(L19/100)*(O19/100)</f>
        <v/>
      </c>
      <c r="S19" s="4">
        <f>G19*(K19/360/100)*J19*(O19/100)</f>
        <v/>
      </c>
      <c r="T19" s="4">
        <f>P19-R19+Q19-S19</f>
        <v/>
      </c>
    </row>
    <row r="20">
      <c r="A20" s="2" t="inlineStr">
        <is>
          <t>Plata</t>
        </is>
      </c>
      <c r="B20" s="2" t="inlineStr">
        <is>
          <t>Amarillo</t>
        </is>
      </c>
      <c r="C20" s="3" t="n">
        <v>46025</v>
      </c>
      <c r="D20" s="2" t="inlineStr">
        <is>
          <t>A87790879</t>
        </is>
      </c>
      <c r="E20" s="2" t="inlineStr">
        <is>
          <t>Digitalizaciones Arraigados S.A.</t>
        </is>
      </c>
      <c r="F20" s="2" t="n">
        <v>2474467</v>
      </c>
      <c r="G20" s="4" t="n">
        <v>5350.34</v>
      </c>
      <c r="H20" s="3" t="n">
        <v>46005</v>
      </c>
      <c r="I20" s="3" t="n">
        <v>46105</v>
      </c>
      <c r="J20" s="2" t="n">
        <v>58</v>
      </c>
      <c r="K20" s="2" t="n">
        <v>3.69</v>
      </c>
      <c r="L20" s="2" t="n">
        <v>1.33</v>
      </c>
      <c r="M20" s="4" t="n">
        <v>71.16</v>
      </c>
      <c r="N20" s="4" t="n">
        <v>31.81</v>
      </c>
      <c r="O20" s="2" t="n">
        <v>40</v>
      </c>
      <c r="P20" s="4" t="n">
        <v>28.6</v>
      </c>
      <c r="Q20" s="4" t="n">
        <v>12.47</v>
      </c>
      <c r="R20" s="4">
        <f>G20*(L20/100)*(O20/100)</f>
        <v/>
      </c>
      <c r="S20" s="4">
        <f>G20*(K20/360/100)*J20*(O20/100)</f>
        <v/>
      </c>
      <c r="T20" s="4">
        <f>P20-R20+Q20-S20</f>
        <v/>
      </c>
    </row>
    <row r="21">
      <c r="A21" s="2" t="inlineStr">
        <is>
          <t>Plata</t>
        </is>
      </c>
      <c r="B21" s="2" t="inlineStr">
        <is>
          <t>Amarillo</t>
        </is>
      </c>
      <c r="C21" s="3" t="n">
        <v>46025</v>
      </c>
      <c r="D21" s="2" t="inlineStr">
        <is>
          <t>B63033707</t>
        </is>
      </c>
      <c r="E21" s="2" t="inlineStr">
        <is>
          <t>Embutidos Endotérmicos S.L.</t>
        </is>
      </c>
      <c r="F21" s="2" t="n">
        <v>4969468</v>
      </c>
      <c r="G21" s="4" t="n">
        <v>578.16</v>
      </c>
      <c r="H21" s="3" t="n">
        <v>45999</v>
      </c>
      <c r="I21" s="3" t="n">
        <v>46068</v>
      </c>
      <c r="J21" s="2" t="n">
        <v>52</v>
      </c>
      <c r="K21" s="2" t="n">
        <v>3.18</v>
      </c>
      <c r="L21" s="2" t="n">
        <v>2.48</v>
      </c>
      <c r="M21" s="4" t="n">
        <v>14.34</v>
      </c>
      <c r="N21" s="4" t="n">
        <v>2.66</v>
      </c>
      <c r="O21" s="2" t="n">
        <v>40</v>
      </c>
      <c r="P21" s="4" t="n">
        <v>6.04</v>
      </c>
      <c r="Q21" s="4" t="n">
        <v>0.92</v>
      </c>
      <c r="R21" s="4">
        <f>G21*(L21/100)*(O21/100)</f>
        <v/>
      </c>
      <c r="S21" s="4">
        <f>G21*(K21/360/100)*J21*(O21/100)</f>
        <v/>
      </c>
      <c r="T21" s="4">
        <f>P21-R21+Q21-S21</f>
        <v/>
      </c>
    </row>
    <row r="22">
      <c r="A22" s="2" t="inlineStr">
        <is>
          <t>Plata</t>
        </is>
      </c>
      <c r="B22" s="2" t="inlineStr">
        <is>
          <t>Amarillo</t>
        </is>
      </c>
      <c r="C22" s="3" t="n">
        <v>46025</v>
      </c>
      <c r="D22" s="2" t="inlineStr">
        <is>
          <t>B63033707</t>
        </is>
      </c>
      <c r="E22" s="2" t="inlineStr">
        <is>
          <t>Embutidos Endotérmicos S.L.</t>
        </is>
      </c>
      <c r="F22" s="2" t="n">
        <v>2064225</v>
      </c>
      <c r="G22" s="4" t="n">
        <v>794.7</v>
      </c>
      <c r="H22" s="3" t="n">
        <v>45995</v>
      </c>
      <c r="I22" s="3" t="n">
        <v>46083</v>
      </c>
      <c r="J22" s="2" t="n">
        <v>60</v>
      </c>
      <c r="K22" s="2" t="n">
        <v>2.81</v>
      </c>
      <c r="L22" s="2" t="n">
        <v>1.68</v>
      </c>
      <c r="M22" s="4" t="n">
        <v>13.35</v>
      </c>
      <c r="N22" s="4" t="n">
        <v>3.72</v>
      </c>
      <c r="O22" s="2" t="n">
        <v>60</v>
      </c>
      <c r="P22" s="4" t="n">
        <v>8.07</v>
      </c>
      <c r="Q22" s="4" t="n">
        <v>2.04</v>
      </c>
      <c r="R22" s="4">
        <f>G22*(L22/100)*(O22/100)</f>
        <v/>
      </c>
      <c r="S22" s="4">
        <f>G22*(K22/360/100)*J22*(O22/100)</f>
        <v/>
      </c>
      <c r="T22" s="4">
        <f>P22-R22+Q22-S22</f>
        <v/>
      </c>
    </row>
    <row r="23">
      <c r="A23" s="2" t="inlineStr">
        <is>
          <t>Plata</t>
        </is>
      </c>
      <c r="B23" s="2" t="inlineStr">
        <is>
          <t>Amarillo</t>
        </is>
      </c>
      <c r="C23" s="3" t="n">
        <v>46025</v>
      </c>
      <c r="D23" s="2" t="inlineStr">
        <is>
          <t>B63033707</t>
        </is>
      </c>
      <c r="E23" s="2" t="inlineStr">
        <is>
          <t>Embutidos Endotérmicos S.L.</t>
        </is>
      </c>
      <c r="F23" s="2" t="n">
        <v>4732498</v>
      </c>
      <c r="G23" s="4" t="n">
        <v>921.28</v>
      </c>
      <c r="H23" s="3" t="n">
        <v>46003</v>
      </c>
      <c r="I23" s="3" t="n">
        <v>46107</v>
      </c>
      <c r="J23" s="2" t="n">
        <v>39</v>
      </c>
      <c r="K23" s="2" t="n">
        <v>4.06</v>
      </c>
      <c r="L23" s="2" t="n">
        <v>1.15</v>
      </c>
      <c r="M23" s="4" t="n">
        <v>10.59</v>
      </c>
      <c r="N23" s="4" t="n">
        <v>4.05</v>
      </c>
      <c r="O23" s="2" t="n">
        <v>40</v>
      </c>
      <c r="P23" s="4" t="n">
        <v>4.12</v>
      </c>
      <c r="Q23" s="4" t="n">
        <v>1.77</v>
      </c>
      <c r="R23" s="4">
        <f>G23*(L23/100)*(O23/100)</f>
        <v/>
      </c>
      <c r="S23" s="4">
        <f>G23*(K23/360/100)*J23*(O23/100)</f>
        <v/>
      </c>
      <c r="T23" s="4">
        <f>P23-R23+Q23-S23</f>
        <v/>
      </c>
    </row>
    <row r="24">
      <c r="A24" s="2" t="inlineStr">
        <is>
          <t>Plata</t>
        </is>
      </c>
      <c r="B24" s="2" t="inlineStr">
        <is>
          <t>Amarillo</t>
        </is>
      </c>
      <c r="C24" s="3" t="n">
        <v>46025</v>
      </c>
      <c r="D24" s="2" t="inlineStr">
        <is>
          <t>A39086417</t>
        </is>
      </c>
      <c r="E24" s="2" t="inlineStr">
        <is>
          <t>Excipientes Híbridos S.A.</t>
        </is>
      </c>
      <c r="F24" s="2" t="n">
        <v>1662178</v>
      </c>
      <c r="G24" s="4" t="n">
        <v>291.3</v>
      </c>
      <c r="H24" s="3" t="n">
        <v>46006</v>
      </c>
      <c r="I24" s="3" t="n">
        <v>46103</v>
      </c>
      <c r="J24" s="2" t="n">
        <v>61</v>
      </c>
      <c r="K24" s="2" t="n">
        <v>4.26</v>
      </c>
      <c r="L24" s="2" t="n">
        <v>2.12</v>
      </c>
      <c r="M24" s="4" t="n">
        <v>6.18</v>
      </c>
      <c r="N24" s="4" t="n">
        <v>2.1</v>
      </c>
      <c r="O24" s="2" t="n">
        <v>70</v>
      </c>
      <c r="P24" s="4" t="n">
        <v>4.51</v>
      </c>
      <c r="Q24" s="4" t="n">
        <v>1.24</v>
      </c>
      <c r="R24" s="4">
        <f>G24*(L24/100)*(O24/100)</f>
        <v/>
      </c>
      <c r="S24" s="4">
        <f>G24*(K24/360/100)*J24*(O24/100)</f>
        <v/>
      </c>
      <c r="T24" s="4">
        <f>P24-R24+Q24-S24</f>
        <v/>
      </c>
    </row>
    <row r="25">
      <c r="A25" s="2" t="inlineStr">
        <is>
          <t>Plata</t>
        </is>
      </c>
      <c r="B25" s="2" t="inlineStr">
        <is>
          <t>Amarillo</t>
        </is>
      </c>
      <c r="C25" s="3" t="n">
        <v>46025</v>
      </c>
      <c r="D25" s="2" t="inlineStr">
        <is>
          <t>A39086417</t>
        </is>
      </c>
      <c r="E25" s="2" t="inlineStr">
        <is>
          <t>Excipientes Híbridos S.A.</t>
        </is>
      </c>
      <c r="F25" s="2" t="n">
        <v>4047534</v>
      </c>
      <c r="G25" s="4" t="n">
        <v>499.37</v>
      </c>
      <c r="H25" s="3" t="n">
        <v>46012</v>
      </c>
      <c r="I25" s="3" t="n">
        <v>46079</v>
      </c>
      <c r="J25" s="2" t="n">
        <v>63</v>
      </c>
      <c r="K25" s="2" t="n">
        <v>4.92</v>
      </c>
      <c r="L25" s="2" t="n">
        <v>0.75</v>
      </c>
      <c r="M25" s="4" t="n">
        <v>3.75</v>
      </c>
      <c r="N25" s="4" t="n">
        <v>4.3</v>
      </c>
      <c r="O25" s="2" t="n">
        <v>60</v>
      </c>
      <c r="P25" s="4" t="n">
        <v>2.42</v>
      </c>
      <c r="Q25" s="4" t="n">
        <v>2.48</v>
      </c>
      <c r="R25" s="4">
        <f>G25*(L25/100)*(O25/100)</f>
        <v/>
      </c>
      <c r="S25" s="4">
        <f>G25*(K25/360/100)*J25*(O25/100)</f>
        <v/>
      </c>
      <c r="T25" s="4">
        <f>P25-R25+Q25-S25</f>
        <v/>
      </c>
    </row>
    <row r="26">
      <c r="A26" s="2" t="inlineStr">
        <is>
          <t>Plata</t>
        </is>
      </c>
      <c r="B26" s="2" t="inlineStr">
        <is>
          <t>Amarillo</t>
        </is>
      </c>
      <c r="C26" s="3" t="n">
        <v>46025</v>
      </c>
      <c r="D26" s="2" t="inlineStr">
        <is>
          <t>A39086417</t>
        </is>
      </c>
      <c r="E26" s="2" t="inlineStr">
        <is>
          <t>Excipientes Híbridos S.A.</t>
        </is>
      </c>
      <c r="F26" s="2" t="n">
        <v>2217327</v>
      </c>
      <c r="G26" s="4" t="n">
        <v>8747.41</v>
      </c>
      <c r="H26" s="3" t="n">
        <v>46007</v>
      </c>
      <c r="I26" s="3" t="n">
        <v>46029</v>
      </c>
      <c r="J26" s="2" t="n">
        <v>47</v>
      </c>
      <c r="K26" s="2" t="n">
        <v>4.77</v>
      </c>
      <c r="L26" s="2" t="n">
        <v>2.28</v>
      </c>
      <c r="M26" s="4" t="n">
        <v>199.44</v>
      </c>
      <c r="N26" s="4" t="n">
        <v>54.47</v>
      </c>
      <c r="O26" s="2" t="n">
        <v>60</v>
      </c>
      <c r="P26" s="4" t="n">
        <v>119.51</v>
      </c>
      <c r="Q26" s="4" t="n">
        <v>32.79</v>
      </c>
      <c r="R26" s="4">
        <f>G26*(L26/100)*(O26/100)</f>
        <v/>
      </c>
      <c r="S26" s="4">
        <f>G26*(K26/360/100)*J26*(O26/100)</f>
        <v/>
      </c>
      <c r="T26" s="4">
        <f>P26-R26+Q26-S26</f>
        <v/>
      </c>
    </row>
    <row r="27">
      <c r="A27" s="2" t="inlineStr">
        <is>
          <t>Plata</t>
        </is>
      </c>
      <c r="B27" s="2" t="inlineStr">
        <is>
          <t>Amarillo</t>
        </is>
      </c>
      <c r="C27" s="3" t="n">
        <v>46025</v>
      </c>
      <c r="D27" s="2" t="inlineStr">
        <is>
          <t>A39086417</t>
        </is>
      </c>
      <c r="E27" s="2" t="inlineStr">
        <is>
          <t>Excipientes Híbridos S.A.</t>
        </is>
      </c>
      <c r="F27" s="2" t="n">
        <v>3386672</v>
      </c>
      <c r="G27" s="4" t="n">
        <v>464.99</v>
      </c>
      <c r="H27" s="3" t="n">
        <v>45992</v>
      </c>
      <c r="I27" s="3" t="n">
        <v>46102</v>
      </c>
      <c r="J27" s="2" t="n">
        <v>59</v>
      </c>
      <c r="K27" s="2" t="n">
        <v>4.87</v>
      </c>
      <c r="L27" s="2" t="n">
        <v>1.12</v>
      </c>
      <c r="M27" s="4" t="n">
        <v>5.21</v>
      </c>
      <c r="N27" s="4" t="n">
        <v>3.71</v>
      </c>
      <c r="O27" s="2" t="n">
        <v>50</v>
      </c>
      <c r="P27" s="4" t="n">
        <v>2.39</v>
      </c>
      <c r="Q27" s="4" t="n">
        <v>2.1</v>
      </c>
      <c r="R27" s="4">
        <f>G27*(L27/100)*(O27/100)</f>
        <v/>
      </c>
      <c r="S27" s="4">
        <f>G27*(K27/360/100)*J27*(O27/100)</f>
        <v/>
      </c>
      <c r="T27" s="4">
        <f>P27-R27+Q27-S27</f>
        <v/>
      </c>
    </row>
    <row r="28">
      <c r="A28" s="2" t="inlineStr">
        <is>
          <t>Plata</t>
        </is>
      </c>
      <c r="B28" s="2" t="inlineStr">
        <is>
          <t>Amarillo</t>
        </is>
      </c>
      <c r="C28" s="3" t="n">
        <v>46025</v>
      </c>
      <c r="D28" s="2" t="inlineStr">
        <is>
          <t>A20036981</t>
        </is>
      </c>
      <c r="E28" s="2" t="inlineStr">
        <is>
          <t>Derivados Herméticos S.A.</t>
        </is>
      </c>
      <c r="F28" s="2" t="n">
        <v>3960136</v>
      </c>
      <c r="G28" s="4" t="n">
        <v>8861.51</v>
      </c>
      <c r="H28" s="3" t="n">
        <v>45998</v>
      </c>
      <c r="I28" s="3" t="n">
        <v>46032</v>
      </c>
      <c r="J28" s="2" t="n">
        <v>42</v>
      </c>
      <c r="K28" s="2" t="n">
        <v>1.63</v>
      </c>
      <c r="L28" s="2" t="n">
        <v>1.25</v>
      </c>
      <c r="M28" s="4" t="n">
        <v>110.77</v>
      </c>
      <c r="N28" s="4" t="n">
        <v>16.85</v>
      </c>
      <c r="O28" s="2" t="n">
        <v>70</v>
      </c>
      <c r="P28" s="4" t="n">
        <v>77.37</v>
      </c>
      <c r="Q28" s="4" t="n">
        <v>11.65</v>
      </c>
      <c r="R28" s="4">
        <f>G28*(L28/100)*(O28/100)</f>
        <v/>
      </c>
      <c r="S28" s="4">
        <f>G28*(K28/360/100)*J28*(O28/100)</f>
        <v/>
      </c>
      <c r="T28" s="4">
        <f>P28-R28+Q28-S28</f>
        <v/>
      </c>
    </row>
    <row r="29">
      <c r="A29" s="2" t="inlineStr">
        <is>
          <t>Plata</t>
        </is>
      </c>
      <c r="B29" s="2" t="inlineStr">
        <is>
          <t>Amarillo</t>
        </is>
      </c>
      <c r="C29" s="3" t="n">
        <v>46025</v>
      </c>
      <c r="D29" s="2" t="inlineStr">
        <is>
          <t>A20036981</t>
        </is>
      </c>
      <c r="E29" s="2" t="inlineStr">
        <is>
          <t>Derivados Herméticos S.A.</t>
        </is>
      </c>
      <c r="F29" s="2" t="n">
        <v>2451479</v>
      </c>
      <c r="G29" s="4" t="n">
        <v>473.05</v>
      </c>
      <c r="H29" s="3" t="n">
        <v>46007</v>
      </c>
      <c r="I29" s="3" t="n">
        <v>46094</v>
      </c>
      <c r="J29" s="2" t="n">
        <v>68</v>
      </c>
      <c r="K29" s="2" t="n">
        <v>4.25</v>
      </c>
      <c r="L29" s="2" t="n">
        <v>0.54</v>
      </c>
      <c r="M29" s="4" t="n">
        <v>2.55</v>
      </c>
      <c r="N29" s="4" t="n">
        <v>3.8</v>
      </c>
      <c r="O29" s="2" t="n">
        <v>50</v>
      </c>
      <c r="P29" s="4" t="n">
        <v>0.98</v>
      </c>
      <c r="Q29" s="4" t="n">
        <v>2.11</v>
      </c>
      <c r="R29" s="4">
        <f>G29*(L29/100)*(O29/100)</f>
        <v/>
      </c>
      <c r="S29" s="4">
        <f>G29*(K29/360/100)*J29*(O29/100)</f>
        <v/>
      </c>
      <c r="T29" s="4">
        <f>P29-R29+Q29-S29</f>
        <v/>
      </c>
    </row>
    <row r="30">
      <c r="A30" s="2" t="inlineStr">
        <is>
          <t>Plata</t>
        </is>
      </c>
      <c r="B30" s="2" t="inlineStr">
        <is>
          <t>Amarillo</t>
        </is>
      </c>
      <c r="C30" s="3" t="n">
        <v>46025</v>
      </c>
      <c r="D30" s="2" t="inlineStr">
        <is>
          <t>A20036981</t>
        </is>
      </c>
      <c r="E30" s="2" t="inlineStr">
        <is>
          <t>Derivados Herméticos S.A.</t>
        </is>
      </c>
      <c r="F30" s="2" t="n">
        <v>2965142</v>
      </c>
      <c r="G30" s="4" t="n">
        <v>4677.77</v>
      </c>
      <c r="H30" s="3" t="n">
        <v>46017</v>
      </c>
      <c r="I30" s="3" t="n">
        <v>46029</v>
      </c>
      <c r="J30" s="2" t="n">
        <v>43</v>
      </c>
      <c r="K30" s="2" t="n">
        <v>3.28</v>
      </c>
      <c r="L30" s="2" t="n">
        <v>0.76</v>
      </c>
      <c r="M30" s="4" t="n">
        <v>35.55</v>
      </c>
      <c r="N30" s="4" t="n">
        <v>18.33</v>
      </c>
      <c r="O30" s="2" t="n">
        <v>40</v>
      </c>
      <c r="P30" s="4" t="n">
        <v>14.05</v>
      </c>
      <c r="Q30" s="4" t="n">
        <v>7.24</v>
      </c>
      <c r="R30" s="4">
        <f>G30*(L30/100)*(O30/100)</f>
        <v/>
      </c>
      <c r="S30" s="4">
        <f>G30*(K30/360/100)*J30*(O30/100)</f>
        <v/>
      </c>
      <c r="T30" s="4">
        <f>P30-R30+Q30-S30</f>
        <v/>
      </c>
    </row>
    <row r="31">
      <c r="A31" s="2" t="inlineStr">
        <is>
          <t>Plata</t>
        </is>
      </c>
      <c r="B31" s="2" t="inlineStr">
        <is>
          <t>Amarillo</t>
        </is>
      </c>
      <c r="C31" s="3" t="n">
        <v>46025</v>
      </c>
      <c r="D31" s="2" t="inlineStr">
        <is>
          <t>A20036981</t>
        </is>
      </c>
      <c r="E31" s="2" t="inlineStr">
        <is>
          <t>Derivados Herméticos S.A.</t>
        </is>
      </c>
      <c r="F31" s="2" t="n">
        <v>1609050</v>
      </c>
      <c r="G31" s="4" t="n">
        <v>145.82</v>
      </c>
      <c r="H31" s="3" t="n">
        <v>46019</v>
      </c>
      <c r="I31" s="3" t="n">
        <v>46037</v>
      </c>
      <c r="J31" s="2" t="n">
        <v>51</v>
      </c>
      <c r="K31" s="2" t="n">
        <v>3.48</v>
      </c>
      <c r="L31" s="2" t="n">
        <v>1.67</v>
      </c>
      <c r="M31" s="4" t="n">
        <v>2.44</v>
      </c>
      <c r="N31" s="4" t="n">
        <v>0.72</v>
      </c>
      <c r="O31" s="2" t="n">
        <v>60</v>
      </c>
      <c r="P31" s="4" t="n">
        <v>1.29</v>
      </c>
      <c r="Q31" s="4" t="n">
        <v>0.35</v>
      </c>
      <c r="R31" s="4">
        <f>G31*(L31/100)*(O31/100)</f>
        <v/>
      </c>
      <c r="S31" s="4">
        <f>G31*(K31/360/100)*J31*(O31/100)</f>
        <v/>
      </c>
      <c r="T31" s="4">
        <f>P31-R31+Q31-S31</f>
        <v/>
      </c>
    </row>
    <row r="32">
      <c r="A32" s="2" t="inlineStr">
        <is>
          <t>Plata</t>
        </is>
      </c>
      <c r="B32" s="2" t="inlineStr">
        <is>
          <t>Amarillo</t>
        </is>
      </c>
      <c r="C32" s="3" t="n">
        <v>46025</v>
      </c>
      <c r="D32" s="2" t="inlineStr">
        <is>
          <t>B02483109</t>
        </is>
      </c>
      <c r="E32" s="2" t="inlineStr">
        <is>
          <t>Transportes Modulados S.L.</t>
        </is>
      </c>
      <c r="F32" s="2" t="n">
        <v>3889223</v>
      </c>
      <c r="G32" s="4" t="n">
        <v>120.3</v>
      </c>
      <c r="H32" s="3" t="n">
        <v>46016</v>
      </c>
      <c r="I32" s="3" t="n">
        <v>46102</v>
      </c>
      <c r="J32" s="2" t="n">
        <v>73</v>
      </c>
      <c r="K32" s="2" t="n">
        <v>2.01</v>
      </c>
      <c r="L32" s="2" t="n">
        <v>0.57</v>
      </c>
      <c r="M32" s="4" t="n">
        <v>0.6899999999999999</v>
      </c>
      <c r="N32" s="4" t="n">
        <v>0.49</v>
      </c>
      <c r="O32" s="2" t="n">
        <v>30</v>
      </c>
      <c r="P32" s="4" t="n">
        <v>0.14</v>
      </c>
      <c r="Q32" s="4" t="n">
        <v>0.1</v>
      </c>
      <c r="R32" s="4">
        <f>G32*(L32/100)*(O32/100)</f>
        <v/>
      </c>
      <c r="S32" s="4">
        <f>G32*(K32/360/100)*J32*(O32/100)</f>
        <v/>
      </c>
      <c r="T32" s="4">
        <f>P32-R32+Q32-S32</f>
        <v/>
      </c>
    </row>
    <row r="33">
      <c r="A33" s="2" t="inlineStr">
        <is>
          <t>Plata</t>
        </is>
      </c>
      <c r="B33" s="2" t="inlineStr">
        <is>
          <t>Amarillo</t>
        </is>
      </c>
      <c r="C33" s="3" t="n">
        <v>46025</v>
      </c>
      <c r="D33" s="2" t="inlineStr">
        <is>
          <t>B02483109</t>
        </is>
      </c>
      <c r="E33" s="2" t="inlineStr">
        <is>
          <t>Transportes Modulados S.L.</t>
        </is>
      </c>
      <c r="F33" s="2" t="n">
        <v>1895553</v>
      </c>
      <c r="G33" s="4" t="n">
        <v>758.65</v>
      </c>
      <c r="H33" s="3" t="n">
        <v>46012</v>
      </c>
      <c r="I33" s="3" t="n">
        <v>46070</v>
      </c>
      <c r="J33" s="2" t="n">
        <v>39</v>
      </c>
      <c r="K33" s="2" t="n">
        <v>1.78</v>
      </c>
      <c r="L33" s="2" t="n">
        <v>1.97</v>
      </c>
      <c r="M33" s="4" t="n">
        <v>14.95</v>
      </c>
      <c r="N33" s="4" t="n">
        <v>1.46</v>
      </c>
      <c r="O33" s="2" t="n">
        <v>40</v>
      </c>
      <c r="P33" s="4" t="n">
        <v>5.87</v>
      </c>
      <c r="Q33" s="4" t="n">
        <v>0.83</v>
      </c>
      <c r="R33" s="4">
        <f>G33*(L33/100)*(O33/100)</f>
        <v/>
      </c>
      <c r="S33" s="4">
        <f>G33*(K33/360/100)*J33*(O33/100)</f>
        <v/>
      </c>
      <c r="T33" s="4">
        <f>P33-R33+Q33-S33</f>
        <v/>
      </c>
    </row>
    <row r="34">
      <c r="A34" s="2" t="inlineStr">
        <is>
          <t>Plata</t>
        </is>
      </c>
      <c r="B34" s="2" t="inlineStr">
        <is>
          <t>Amarillo</t>
        </is>
      </c>
      <c r="C34" s="3" t="n">
        <v>46025</v>
      </c>
      <c r="D34" s="2" t="inlineStr">
        <is>
          <t>B02483109</t>
        </is>
      </c>
      <c r="E34" s="2" t="inlineStr">
        <is>
          <t>Transportes Modulados S.L.</t>
        </is>
      </c>
      <c r="F34" s="2" t="n">
        <v>4865517</v>
      </c>
      <c r="G34" s="4" t="n">
        <v>571.29</v>
      </c>
      <c r="H34" s="3" t="n">
        <v>45998</v>
      </c>
      <c r="I34" s="3" t="n">
        <v>46055</v>
      </c>
      <c r="J34" s="2" t="n">
        <v>63</v>
      </c>
      <c r="K34" s="2" t="n">
        <v>4.68</v>
      </c>
      <c r="L34" s="2" t="n">
        <v>1.03</v>
      </c>
      <c r="M34" s="4" t="n">
        <v>5.88</v>
      </c>
      <c r="N34" s="4" t="n">
        <v>4.68</v>
      </c>
      <c r="O34" s="2" t="n">
        <v>30</v>
      </c>
      <c r="P34" s="4" t="n">
        <v>1.7</v>
      </c>
      <c r="Q34" s="4" t="n">
        <v>1.67</v>
      </c>
      <c r="R34" s="4">
        <f>G34*(L34/100)*(O34/100)</f>
        <v/>
      </c>
      <c r="S34" s="4">
        <f>G34*(K34/360/100)*J34*(O34/100)</f>
        <v/>
      </c>
      <c r="T34" s="4">
        <f>P34-R34+Q34-S34</f>
        <v/>
      </c>
    </row>
    <row r="35">
      <c r="A35" s="2" t="inlineStr">
        <is>
          <t>Plata</t>
        </is>
      </c>
      <c r="B35" s="2" t="inlineStr">
        <is>
          <t>Amarillo</t>
        </is>
      </c>
      <c r="C35" s="3" t="n">
        <v>46025</v>
      </c>
      <c r="D35" s="2" t="inlineStr">
        <is>
          <t>A99313980</t>
        </is>
      </c>
      <c r="E35" s="2" t="inlineStr">
        <is>
          <t>Quillas Elegidos S.A.</t>
        </is>
      </c>
      <c r="F35" s="2" t="n">
        <v>2205831</v>
      </c>
      <c r="G35" s="4" t="n">
        <v>717.84</v>
      </c>
      <c r="H35" s="3" t="n">
        <v>46015</v>
      </c>
      <c r="I35" s="3" t="n">
        <v>46046</v>
      </c>
      <c r="J35" s="2" t="n">
        <v>46</v>
      </c>
      <c r="K35" s="2" t="n">
        <v>3.09</v>
      </c>
      <c r="L35" s="2" t="n">
        <v>1.26</v>
      </c>
      <c r="M35" s="4" t="n">
        <v>9.039999999999999</v>
      </c>
      <c r="N35" s="4" t="n">
        <v>2.83</v>
      </c>
      <c r="O35" s="2" t="n">
        <v>40</v>
      </c>
      <c r="P35" s="4" t="n">
        <v>3.53</v>
      </c>
      <c r="Q35" s="4" t="n">
        <v>1.15</v>
      </c>
      <c r="R35" s="4">
        <f>G35*(L35/100)*(O35/100)</f>
        <v/>
      </c>
      <c r="S35" s="4">
        <f>G35*(K35/360/100)*J35*(O35/100)</f>
        <v/>
      </c>
      <c r="T35" s="4">
        <f>P35-R35+Q35-S35</f>
        <v/>
      </c>
    </row>
    <row r="36">
      <c r="A36" s="2" t="inlineStr">
        <is>
          <t>Plata</t>
        </is>
      </c>
      <c r="B36" s="2" t="inlineStr">
        <is>
          <t>Amarillo</t>
        </is>
      </c>
      <c r="C36" s="3" t="n">
        <v>46025</v>
      </c>
      <c r="D36" s="2" t="inlineStr">
        <is>
          <t>A99313980</t>
        </is>
      </c>
      <c r="E36" s="2" t="inlineStr">
        <is>
          <t>Quillas Elegidos S.A.</t>
        </is>
      </c>
      <c r="F36" s="2" t="n">
        <v>3475580</v>
      </c>
      <c r="G36" s="4" t="n">
        <v>462.51</v>
      </c>
      <c r="H36" s="3" t="n">
        <v>46005</v>
      </c>
      <c r="I36" s="3" t="n">
        <v>46082</v>
      </c>
      <c r="J36" s="2" t="n">
        <v>75</v>
      </c>
      <c r="K36" s="2" t="n">
        <v>1.72</v>
      </c>
      <c r="L36" s="2" t="n">
        <v>1.91</v>
      </c>
      <c r="M36" s="4" t="n">
        <v>8.83</v>
      </c>
      <c r="N36" s="4" t="n">
        <v>1.66</v>
      </c>
      <c r="O36" s="2" t="n">
        <v>40</v>
      </c>
      <c r="P36" s="4" t="n">
        <v>3.48</v>
      </c>
      <c r="Q36" s="4" t="n">
        <v>0.6</v>
      </c>
      <c r="R36" s="4">
        <f>G36*(L36/100)*(O36/100)</f>
        <v/>
      </c>
      <c r="S36" s="4">
        <f>G36*(K36/360/100)*J36*(O36/100)</f>
        <v/>
      </c>
      <c r="T36" s="4">
        <f>P36-R36+Q36-S36</f>
        <v/>
      </c>
    </row>
    <row r="37">
      <c r="A37" s="2" t="inlineStr">
        <is>
          <t>Plata</t>
        </is>
      </c>
      <c r="B37" s="2" t="inlineStr">
        <is>
          <t>Amarillo</t>
        </is>
      </c>
      <c r="C37" s="3" t="n">
        <v>46025</v>
      </c>
      <c r="D37" s="2" t="inlineStr">
        <is>
          <t>A06129247</t>
        </is>
      </c>
      <c r="E37" s="2" t="inlineStr">
        <is>
          <t>Tuberías Exclusivos S.A.</t>
        </is>
      </c>
      <c r="F37" s="2" t="n">
        <v>3410060</v>
      </c>
      <c r="G37" s="4" t="n">
        <v>920.4400000000001</v>
      </c>
      <c r="H37" s="3" t="n">
        <v>46003</v>
      </c>
      <c r="I37" s="3" t="n">
        <v>46049</v>
      </c>
      <c r="J37" s="2" t="n">
        <v>57</v>
      </c>
      <c r="K37" s="2" t="n">
        <v>3.83</v>
      </c>
      <c r="L37" s="2" t="n">
        <v>2.05</v>
      </c>
      <c r="M37" s="4" t="n">
        <v>18.87</v>
      </c>
      <c r="N37" s="4" t="n">
        <v>5.58</v>
      </c>
      <c r="O37" s="2" t="n">
        <v>60</v>
      </c>
      <c r="P37" s="4" t="n">
        <v>11.25</v>
      </c>
      <c r="Q37" s="4" t="n">
        <v>3.47</v>
      </c>
      <c r="R37" s="4">
        <f>G37*(L37/100)*(O37/100)</f>
        <v/>
      </c>
      <c r="S37" s="4">
        <f>G37*(K37/360/100)*J37*(O37/100)</f>
        <v/>
      </c>
      <c r="T37" s="4">
        <f>P37-R37+Q37-S37</f>
        <v/>
      </c>
    </row>
    <row r="38">
      <c r="A38" s="2" t="inlineStr">
        <is>
          <t>Plata</t>
        </is>
      </c>
      <c r="B38" s="2" t="inlineStr">
        <is>
          <t>Amarillo</t>
        </is>
      </c>
      <c r="C38" s="3" t="n">
        <v>46025</v>
      </c>
      <c r="D38" s="2" t="inlineStr">
        <is>
          <t>A06129247</t>
        </is>
      </c>
      <c r="E38" s="2" t="inlineStr">
        <is>
          <t>Tuberías Exclusivos S.A.</t>
        </is>
      </c>
      <c r="F38" s="2" t="n">
        <v>1692503</v>
      </c>
      <c r="G38" s="4" t="n">
        <v>285.14</v>
      </c>
      <c r="H38" s="3" t="n">
        <v>46002</v>
      </c>
      <c r="I38" s="3" t="n">
        <v>46048</v>
      </c>
      <c r="J38" s="2" t="n">
        <v>38</v>
      </c>
      <c r="K38" s="2" t="n">
        <v>3.84</v>
      </c>
      <c r="L38" s="2" t="n">
        <v>0.64</v>
      </c>
      <c r="M38" s="4" t="n">
        <v>1.82</v>
      </c>
      <c r="N38" s="4" t="n">
        <v>1.16</v>
      </c>
      <c r="O38" s="2" t="n">
        <v>30</v>
      </c>
      <c r="P38" s="4" t="n">
        <v>0.79</v>
      </c>
      <c r="Q38" s="4" t="n">
        <v>0.51</v>
      </c>
      <c r="R38" s="4">
        <f>G38*(L38/100)*(O38/100)</f>
        <v/>
      </c>
      <c r="S38" s="4">
        <f>G38*(K38/360/100)*J38*(O38/100)</f>
        <v/>
      </c>
      <c r="T38" s="4">
        <f>P38-R38+Q38-S38</f>
        <v/>
      </c>
    </row>
    <row r="39">
      <c r="A39" s="2" t="inlineStr">
        <is>
          <t>Plata</t>
        </is>
      </c>
      <c r="B39" s="2" t="inlineStr">
        <is>
          <t>Amarillo</t>
        </is>
      </c>
      <c r="C39" s="3" t="n">
        <v>46025</v>
      </c>
      <c r="D39" s="2" t="inlineStr">
        <is>
          <t>A47759579</t>
        </is>
      </c>
      <c r="E39" s="2" t="inlineStr">
        <is>
          <t>Actuadores Descentralizados S.A.</t>
        </is>
      </c>
      <c r="F39" s="2" t="n">
        <v>4611914</v>
      </c>
      <c r="G39" s="4" t="n">
        <v>8082.41</v>
      </c>
      <c r="H39" s="3" t="n">
        <v>46008</v>
      </c>
      <c r="I39" s="3" t="n">
        <v>46090</v>
      </c>
      <c r="J39" s="2" t="n">
        <v>75</v>
      </c>
      <c r="K39" s="2" t="n">
        <v>2.93</v>
      </c>
      <c r="L39" s="2" t="n">
        <v>0.7</v>
      </c>
      <c r="M39" s="4" t="n">
        <v>56.58</v>
      </c>
      <c r="N39" s="4" t="n">
        <v>49.34</v>
      </c>
      <c r="O39" s="2" t="n">
        <v>70</v>
      </c>
      <c r="P39" s="4" t="n">
        <v>39.76</v>
      </c>
      <c r="Q39" s="4" t="n">
        <v>34.41</v>
      </c>
      <c r="R39" s="4">
        <f>G39*(L39/100)*(O39/100)</f>
        <v/>
      </c>
      <c r="S39" s="4">
        <f>G39*(K39/360/100)*J39*(O39/100)</f>
        <v/>
      </c>
      <c r="T39" s="4">
        <f>P39-R39+Q39-S39</f>
        <v/>
      </c>
    </row>
    <row r="40">
      <c r="A40" s="2" t="inlineStr">
        <is>
          <t>Plata</t>
        </is>
      </c>
      <c r="B40" s="2" t="inlineStr">
        <is>
          <t>Amarillo</t>
        </is>
      </c>
      <c r="C40" s="3" t="n">
        <v>46025</v>
      </c>
      <c r="D40" s="2" t="inlineStr">
        <is>
          <t>A47759579</t>
        </is>
      </c>
      <c r="E40" s="2" t="inlineStr">
        <is>
          <t>Actuadores Descentralizados S.A.</t>
        </is>
      </c>
      <c r="F40" s="2" t="n">
        <v>4455794</v>
      </c>
      <c r="G40" s="4" t="n">
        <v>761.3099999999999</v>
      </c>
      <c r="H40" s="3" t="n">
        <v>45996</v>
      </c>
      <c r="I40" s="3" t="n">
        <v>46047</v>
      </c>
      <c r="J40" s="2" t="n">
        <v>71</v>
      </c>
      <c r="K40" s="2" t="n">
        <v>2.34</v>
      </c>
      <c r="L40" s="2" t="n">
        <v>1.2</v>
      </c>
      <c r="M40" s="4" t="n">
        <v>9.140000000000001</v>
      </c>
      <c r="N40" s="4" t="n">
        <v>3.51</v>
      </c>
      <c r="O40" s="2" t="n">
        <v>60</v>
      </c>
      <c r="P40" s="4" t="n">
        <v>5.51</v>
      </c>
      <c r="Q40" s="4" t="n">
        <v>2.36</v>
      </c>
      <c r="R40" s="4">
        <f>G40*(L40/100)*(O40/100)</f>
        <v/>
      </c>
      <c r="S40" s="4">
        <f>G40*(K40/360/100)*J40*(O40/100)</f>
        <v/>
      </c>
      <c r="T40" s="4">
        <f>P40-R40+Q40-S40</f>
        <v/>
      </c>
    </row>
    <row r="41">
      <c r="A41" s="2" t="inlineStr">
        <is>
          <t>Plata</t>
        </is>
      </c>
      <c r="B41" s="2" t="inlineStr">
        <is>
          <t>Amarillo</t>
        </is>
      </c>
      <c r="C41" s="3" t="n">
        <v>46025</v>
      </c>
      <c r="D41" s="2" t="inlineStr">
        <is>
          <t>A21855870</t>
        </is>
      </c>
      <c r="E41" s="2" t="inlineStr">
        <is>
          <t>Pistones Macizos S.A.</t>
        </is>
      </c>
      <c r="F41" s="2" t="n">
        <v>1790123</v>
      </c>
      <c r="G41" s="4" t="n">
        <v>948.09</v>
      </c>
      <c r="H41" s="3" t="n">
        <v>45998</v>
      </c>
      <c r="I41" s="3" t="n">
        <v>46071</v>
      </c>
      <c r="J41" s="2" t="n">
        <v>26</v>
      </c>
      <c r="K41" s="2" t="n">
        <v>3.97</v>
      </c>
      <c r="L41" s="2" t="n">
        <v>0.73</v>
      </c>
      <c r="M41" s="4" t="n">
        <v>6.92</v>
      </c>
      <c r="N41" s="4" t="n">
        <v>2.72</v>
      </c>
      <c r="O41" s="2" t="n">
        <v>40</v>
      </c>
      <c r="P41" s="4" t="n">
        <v>2.71</v>
      </c>
      <c r="Q41" s="4" t="n">
        <v>1.38</v>
      </c>
      <c r="R41" s="4">
        <f>G41*(L41/100)*(O41/100)</f>
        <v/>
      </c>
      <c r="S41" s="4">
        <f>G41*(K41/360/100)*J41*(O41/100)</f>
        <v/>
      </c>
      <c r="T41" s="4">
        <f>P41-R41+Q41-S41</f>
        <v/>
      </c>
    </row>
    <row r="42">
      <c r="A42" s="2" t="inlineStr">
        <is>
          <t>Plata</t>
        </is>
      </c>
      <c r="B42" s="2" t="inlineStr">
        <is>
          <t>Amarillo</t>
        </is>
      </c>
      <c r="C42" s="3" t="n">
        <v>46025</v>
      </c>
      <c r="D42" s="2" t="inlineStr">
        <is>
          <t>A21855870</t>
        </is>
      </c>
      <c r="E42" s="2" t="inlineStr">
        <is>
          <t>Pistones Macizos S.A.</t>
        </is>
      </c>
      <c r="F42" s="2" t="n">
        <v>4342079</v>
      </c>
      <c r="G42" s="4" t="n">
        <v>5154.96</v>
      </c>
      <c r="H42" s="3" t="n">
        <v>45998</v>
      </c>
      <c r="I42" s="3" t="n">
        <v>46060</v>
      </c>
      <c r="J42" s="2" t="n">
        <v>59</v>
      </c>
      <c r="K42" s="2" t="n">
        <v>2.05</v>
      </c>
      <c r="L42" s="2" t="n">
        <v>1.18</v>
      </c>
      <c r="M42" s="4" t="n">
        <v>60.83</v>
      </c>
      <c r="N42" s="4" t="n">
        <v>17.32</v>
      </c>
      <c r="O42" s="2" t="n">
        <v>30</v>
      </c>
      <c r="P42" s="4" t="n">
        <v>18.29</v>
      </c>
      <c r="Q42" s="4" t="n">
        <v>5.4</v>
      </c>
      <c r="R42" s="4">
        <f>G42*(L42/100)*(O42/100)</f>
        <v/>
      </c>
      <c r="S42" s="4">
        <f>G42*(K42/360/100)*J42*(O42/100)</f>
        <v/>
      </c>
      <c r="T42" s="4">
        <f>P42-R42+Q42-S42</f>
        <v/>
      </c>
    </row>
    <row r="43">
      <c r="A43" s="2" t="inlineStr">
        <is>
          <t>Plata</t>
        </is>
      </c>
      <c r="B43" s="2" t="inlineStr">
        <is>
          <t>Amarillo</t>
        </is>
      </c>
      <c r="C43" s="3" t="n">
        <v>46025</v>
      </c>
      <c r="D43" s="2" t="inlineStr">
        <is>
          <t>A21855870</t>
        </is>
      </c>
      <c r="E43" s="2" t="inlineStr">
        <is>
          <t>Pistones Macizos S.A.</t>
        </is>
      </c>
      <c r="F43" s="2" t="n">
        <v>4946688</v>
      </c>
      <c r="G43" s="4" t="n">
        <v>407.07</v>
      </c>
      <c r="H43" s="3" t="n">
        <v>46010</v>
      </c>
      <c r="I43" s="3" t="n">
        <v>46094</v>
      </c>
      <c r="J43" s="2" t="n">
        <v>50</v>
      </c>
      <c r="K43" s="2" t="n">
        <v>2.17</v>
      </c>
      <c r="L43" s="2" t="n">
        <v>1.16</v>
      </c>
      <c r="M43" s="4" t="n">
        <v>4.72</v>
      </c>
      <c r="N43" s="4" t="n">
        <v>1.23</v>
      </c>
      <c r="O43" s="2" t="n">
        <v>30</v>
      </c>
      <c r="P43" s="4" t="n">
        <v>1.45</v>
      </c>
      <c r="Q43" s="4" t="n">
        <v>0.58</v>
      </c>
      <c r="R43" s="4">
        <f>G43*(L43/100)*(O43/100)</f>
        <v/>
      </c>
      <c r="S43" s="4">
        <f>G43*(K43/360/100)*J43*(O43/100)</f>
        <v/>
      </c>
      <c r="T43" s="4">
        <f>P43-R43+Q43-S43</f>
        <v/>
      </c>
    </row>
    <row r="44">
      <c r="A44" s="2" t="inlineStr">
        <is>
          <t>Plata</t>
        </is>
      </c>
      <c r="B44" s="2" t="inlineStr">
        <is>
          <t>Amarillo</t>
        </is>
      </c>
      <c r="C44" s="3" t="n">
        <v>46025</v>
      </c>
      <c r="D44" s="2" t="inlineStr">
        <is>
          <t>A71010672</t>
        </is>
      </c>
      <c r="E44" s="2" t="inlineStr">
        <is>
          <t>Vidrios Termoeléctricos S.A.</t>
        </is>
      </c>
      <c r="F44" s="2" t="n">
        <v>2405211</v>
      </c>
      <c r="G44" s="4" t="n">
        <v>7378.54</v>
      </c>
      <c r="H44" s="3" t="n">
        <v>45997</v>
      </c>
      <c r="I44" s="3" t="n">
        <v>46054</v>
      </c>
      <c r="J44" s="2" t="n">
        <v>50</v>
      </c>
      <c r="K44" s="2" t="n">
        <v>1.66</v>
      </c>
      <c r="L44" s="2" t="n">
        <v>2.1</v>
      </c>
      <c r="M44" s="4" t="n">
        <v>154.95</v>
      </c>
      <c r="N44" s="4" t="n">
        <v>17.01</v>
      </c>
      <c r="O44" s="2" t="n">
        <v>60</v>
      </c>
      <c r="P44" s="4" t="n">
        <v>93.22</v>
      </c>
      <c r="Q44" s="4" t="n">
        <v>10.16</v>
      </c>
      <c r="R44" s="4">
        <f>G44*(L44/100)*(O44/100)</f>
        <v/>
      </c>
      <c r="S44" s="4">
        <f>G44*(K44/360/100)*J44*(O44/100)</f>
        <v/>
      </c>
      <c r="T44" s="4">
        <f>P44-R44+Q44-S44</f>
        <v/>
      </c>
    </row>
    <row r="45">
      <c r="A45" s="2" t="inlineStr">
        <is>
          <t>Plata</t>
        </is>
      </c>
      <c r="B45" s="2" t="inlineStr">
        <is>
          <t>Amarillo</t>
        </is>
      </c>
      <c r="C45" s="3" t="n">
        <v>46025</v>
      </c>
      <c r="D45" s="2" t="inlineStr">
        <is>
          <t>A71010672</t>
        </is>
      </c>
      <c r="E45" s="2" t="inlineStr">
        <is>
          <t>Vidrios Termoeléctricos S.A.</t>
        </is>
      </c>
      <c r="F45" s="2" t="n">
        <v>2313455</v>
      </c>
      <c r="G45" s="4" t="n">
        <v>991.26</v>
      </c>
      <c r="H45" s="3" t="n">
        <v>45992</v>
      </c>
      <c r="I45" s="3" t="n">
        <v>46071</v>
      </c>
      <c r="J45" s="2" t="n">
        <v>42</v>
      </c>
      <c r="K45" s="2" t="n">
        <v>4.74</v>
      </c>
      <c r="L45" s="2" t="n">
        <v>1.47</v>
      </c>
      <c r="M45" s="4" t="n">
        <v>14.57</v>
      </c>
      <c r="N45" s="4" t="n">
        <v>5.48</v>
      </c>
      <c r="O45" s="2" t="n">
        <v>70</v>
      </c>
      <c r="P45" s="4" t="n">
        <v>9.98</v>
      </c>
      <c r="Q45" s="4" t="n">
        <v>3.75</v>
      </c>
      <c r="R45" s="4">
        <f>G45*(L45/100)*(O45/100)</f>
        <v/>
      </c>
      <c r="S45" s="4">
        <f>G45*(K45/360/100)*J45*(O45/100)</f>
        <v/>
      </c>
      <c r="T45" s="4">
        <f>P45-R45+Q45-S45</f>
        <v/>
      </c>
    </row>
    <row r="46">
      <c r="A46" s="2" t="inlineStr">
        <is>
          <t>Plata</t>
        </is>
      </c>
      <c r="B46" s="2" t="inlineStr">
        <is>
          <t>Amarillo</t>
        </is>
      </c>
      <c r="C46" s="3" t="n">
        <v>46025</v>
      </c>
      <c r="D46" s="2" t="inlineStr">
        <is>
          <t>A71010672</t>
        </is>
      </c>
      <c r="E46" s="2" t="inlineStr">
        <is>
          <t>Vidrios Termoeléctricos S.A.</t>
        </is>
      </c>
      <c r="F46" s="2" t="n">
        <v>1100329</v>
      </c>
      <c r="G46" s="4" t="n">
        <v>374.12</v>
      </c>
      <c r="H46" s="3" t="n">
        <v>46001</v>
      </c>
      <c r="I46" s="3" t="n">
        <v>46075</v>
      </c>
      <c r="J46" s="2" t="n">
        <v>17</v>
      </c>
      <c r="K46" s="2" t="n">
        <v>4.28</v>
      </c>
      <c r="L46" s="2" t="n">
        <v>0.96</v>
      </c>
      <c r="M46" s="4" t="n">
        <v>3.59</v>
      </c>
      <c r="N46" s="4" t="n">
        <v>0.76</v>
      </c>
      <c r="O46" s="2" t="n">
        <v>30</v>
      </c>
      <c r="P46" s="4" t="n">
        <v>0.95</v>
      </c>
      <c r="Q46" s="4" t="n">
        <v>0.41</v>
      </c>
      <c r="R46" s="4">
        <f>G46*(L46/100)*(O46/100)</f>
        <v/>
      </c>
      <c r="S46" s="4">
        <f>G46*(K46/360/100)*J46*(O46/100)</f>
        <v/>
      </c>
      <c r="T46" s="4">
        <f>P46-R46+Q46-S46</f>
        <v/>
      </c>
    </row>
    <row r="47">
      <c r="A47" s="2" t="inlineStr">
        <is>
          <t>Plata</t>
        </is>
      </c>
      <c r="B47" s="2" t="inlineStr">
        <is>
          <t>Amarillo</t>
        </is>
      </c>
      <c r="C47" s="3" t="n">
        <v>46025</v>
      </c>
      <c r="D47" s="2" t="inlineStr">
        <is>
          <t>A71010672</t>
        </is>
      </c>
      <c r="E47" s="2" t="inlineStr">
        <is>
          <t>Vidrios Termoeléctricos S.A.</t>
        </is>
      </c>
      <c r="F47" s="2" t="n">
        <v>1350080</v>
      </c>
      <c r="G47" s="4" t="n">
        <v>907.46</v>
      </c>
      <c r="H47" s="3" t="n">
        <v>45995</v>
      </c>
      <c r="I47" s="3" t="n">
        <v>46028</v>
      </c>
      <c r="J47" s="2" t="n">
        <v>53</v>
      </c>
      <c r="K47" s="2" t="n">
        <v>2.98</v>
      </c>
      <c r="L47" s="2" t="n">
        <v>2.03</v>
      </c>
      <c r="M47" s="4" t="n">
        <v>18.42</v>
      </c>
      <c r="N47" s="4" t="n">
        <v>3.98</v>
      </c>
      <c r="O47" s="2" t="n">
        <v>50</v>
      </c>
      <c r="P47" s="4" t="n">
        <v>9.390000000000001</v>
      </c>
      <c r="Q47" s="4" t="n">
        <v>1.81</v>
      </c>
      <c r="R47" s="4">
        <f>G47*(L47/100)*(O47/100)</f>
        <v/>
      </c>
      <c r="S47" s="4">
        <f>G47*(K47/360/100)*J47*(O47/100)</f>
        <v/>
      </c>
      <c r="T47" s="4">
        <f>P47-R47+Q47-S47</f>
        <v/>
      </c>
    </row>
    <row r="48">
      <c r="A48" s="2" t="inlineStr">
        <is>
          <t>Plata</t>
        </is>
      </c>
      <c r="B48" s="2" t="inlineStr">
        <is>
          <t>Amarillo</t>
        </is>
      </c>
      <c r="C48" s="3" t="n">
        <v>46025</v>
      </c>
      <c r="D48" s="2" t="inlineStr">
        <is>
          <t>A53654244</t>
        </is>
      </c>
      <c r="E48" s="2" t="inlineStr">
        <is>
          <t>Autocares Antifuego S.A.</t>
        </is>
      </c>
      <c r="F48" s="2" t="n">
        <v>2469191</v>
      </c>
      <c r="G48" s="4" t="n">
        <v>2022.94</v>
      </c>
      <c r="H48" s="3" t="n">
        <v>45998</v>
      </c>
      <c r="I48" s="3" t="n">
        <v>46062</v>
      </c>
      <c r="J48" s="2" t="n">
        <v>40</v>
      </c>
      <c r="K48" s="2" t="n">
        <v>2.45</v>
      </c>
      <c r="L48" s="2" t="n">
        <v>2.42</v>
      </c>
      <c r="M48" s="4" t="n">
        <v>48.96</v>
      </c>
      <c r="N48" s="4" t="n">
        <v>5.51</v>
      </c>
      <c r="O48" s="2" t="n">
        <v>50</v>
      </c>
      <c r="P48" s="4" t="n">
        <v>24.44</v>
      </c>
      <c r="Q48" s="4" t="n">
        <v>2.63</v>
      </c>
      <c r="R48" s="4">
        <f>G48*(L48/100)*(O48/100)</f>
        <v/>
      </c>
      <c r="S48" s="4">
        <f>G48*(K48/360/100)*J48*(O48/100)</f>
        <v/>
      </c>
      <c r="T48" s="4">
        <f>P48-R48+Q48-S48</f>
        <v/>
      </c>
    </row>
    <row r="49">
      <c r="A49" s="2" t="inlineStr">
        <is>
          <t>Plata</t>
        </is>
      </c>
      <c r="B49" s="2" t="inlineStr">
        <is>
          <t>Amarillo</t>
        </is>
      </c>
      <c r="C49" s="3" t="n">
        <v>46025</v>
      </c>
      <c r="D49" s="2" t="inlineStr">
        <is>
          <t>A53654244</t>
        </is>
      </c>
      <c r="E49" s="2" t="inlineStr">
        <is>
          <t>Autocares Antifuego S.A.</t>
        </is>
      </c>
      <c r="F49" s="2" t="n">
        <v>3436699</v>
      </c>
      <c r="G49" s="4" t="n">
        <v>592.1900000000001</v>
      </c>
      <c r="H49" s="3" t="n">
        <v>46017</v>
      </c>
      <c r="I49" s="3" t="n">
        <v>46064</v>
      </c>
      <c r="J49" s="2" t="n">
        <v>26</v>
      </c>
      <c r="K49" s="2" t="n">
        <v>2.18</v>
      </c>
      <c r="L49" s="2" t="n">
        <v>1.74</v>
      </c>
      <c r="M49" s="4" t="n">
        <v>10.3</v>
      </c>
      <c r="N49" s="4" t="n">
        <v>0.93</v>
      </c>
      <c r="O49" s="2" t="n">
        <v>40</v>
      </c>
      <c r="P49" s="4" t="n">
        <v>4.1</v>
      </c>
      <c r="Q49" s="4" t="n">
        <v>0.25</v>
      </c>
      <c r="R49" s="4">
        <f>G49*(L49/100)*(O49/100)</f>
        <v/>
      </c>
      <c r="S49" s="4">
        <f>G49*(K49/360/100)*J49*(O49/100)</f>
        <v/>
      </c>
      <c r="T49" s="4">
        <f>P49-R49+Q49-S49</f>
        <v/>
      </c>
    </row>
    <row r="50">
      <c r="A50" s="2" t="inlineStr">
        <is>
          <t>Plata</t>
        </is>
      </c>
      <c r="B50" s="2" t="inlineStr">
        <is>
          <t>Amarillo</t>
        </is>
      </c>
      <c r="C50" s="3" t="n">
        <v>46025</v>
      </c>
      <c r="D50" s="2" t="inlineStr">
        <is>
          <t>A53654244</t>
        </is>
      </c>
      <c r="E50" s="2" t="inlineStr">
        <is>
          <t>Autocares Antifuego S.A.</t>
        </is>
      </c>
      <c r="F50" s="2" t="n">
        <v>1543167</v>
      </c>
      <c r="G50" s="4" t="n">
        <v>663.86</v>
      </c>
      <c r="H50" s="3" t="n">
        <v>46000</v>
      </c>
      <c r="I50" s="3" t="n">
        <v>46101</v>
      </c>
      <c r="J50" s="2" t="n">
        <v>40</v>
      </c>
      <c r="K50" s="2" t="n">
        <v>2.76</v>
      </c>
      <c r="L50" s="2" t="n">
        <v>1.51</v>
      </c>
      <c r="M50" s="4" t="n">
        <v>10.02</v>
      </c>
      <c r="N50" s="4" t="n">
        <v>2.04</v>
      </c>
      <c r="O50" s="2" t="n">
        <v>60</v>
      </c>
      <c r="P50" s="4" t="n">
        <v>5.77</v>
      </c>
      <c r="Q50" s="4" t="n">
        <v>1.47</v>
      </c>
      <c r="R50" s="4">
        <f>G50*(L50/100)*(O50/100)</f>
        <v/>
      </c>
      <c r="S50" s="4">
        <f>G50*(K50/360/100)*J50*(O50/100)</f>
        <v/>
      </c>
      <c r="T50" s="4">
        <f>P50-R50+Q50-S50</f>
        <v/>
      </c>
    </row>
    <row r="51">
      <c r="A51" s="2" t="inlineStr">
        <is>
          <t>Plata</t>
        </is>
      </c>
      <c r="B51" s="2" t="inlineStr">
        <is>
          <t>Amarillo</t>
        </is>
      </c>
      <c r="C51" s="3" t="n">
        <v>46025</v>
      </c>
      <c r="D51" s="2" t="inlineStr">
        <is>
          <t>B00302625</t>
        </is>
      </c>
      <c r="E51" s="2" t="inlineStr">
        <is>
          <t>Depuraciones Eminentes S.L.</t>
        </is>
      </c>
      <c r="F51" s="2" t="n">
        <v>1276482</v>
      </c>
      <c r="G51" s="4" t="n">
        <v>902.4</v>
      </c>
      <c r="H51" s="3" t="n">
        <v>45992</v>
      </c>
      <c r="I51" s="3" t="n">
        <v>46087</v>
      </c>
      <c r="J51" s="2" t="n">
        <v>53</v>
      </c>
      <c r="K51" s="2" t="n">
        <v>2.78</v>
      </c>
      <c r="L51" s="2" t="n">
        <v>1.93</v>
      </c>
      <c r="M51" s="4" t="n">
        <v>17.42</v>
      </c>
      <c r="N51" s="4" t="n">
        <v>3.69</v>
      </c>
      <c r="O51" s="2" t="n">
        <v>40</v>
      </c>
      <c r="P51" s="4" t="n">
        <v>6.93</v>
      </c>
      <c r="Q51" s="4" t="n">
        <v>1.58</v>
      </c>
      <c r="R51" s="4">
        <f>G51*(L51/100)*(O51/100)</f>
        <v/>
      </c>
      <c r="S51" s="4">
        <f>G51*(K51/360/100)*J51*(O51/100)</f>
        <v/>
      </c>
      <c r="T51" s="4">
        <f>P51-R51+Q51-S51</f>
        <v/>
      </c>
    </row>
    <row r="52">
      <c r="A52" s="2" t="inlineStr">
        <is>
          <t>Plata</t>
        </is>
      </c>
      <c r="B52" s="2" t="inlineStr">
        <is>
          <t>Amarillo</t>
        </is>
      </c>
      <c r="C52" s="3" t="n">
        <v>46025</v>
      </c>
      <c r="D52" s="2" t="inlineStr">
        <is>
          <t>B00302625</t>
        </is>
      </c>
      <c r="E52" s="2" t="inlineStr">
        <is>
          <t>Depuraciones Eminentes S.L.</t>
        </is>
      </c>
      <c r="F52" s="2" t="n">
        <v>1635166</v>
      </c>
      <c r="G52" s="4" t="n">
        <v>952.41</v>
      </c>
      <c r="H52" s="3" t="n">
        <v>45993</v>
      </c>
      <c r="I52" s="3" t="n">
        <v>46034</v>
      </c>
      <c r="J52" s="2" t="n">
        <v>57</v>
      </c>
      <c r="K52" s="2" t="n">
        <v>4.84</v>
      </c>
      <c r="L52" s="2" t="n">
        <v>1.07</v>
      </c>
      <c r="M52" s="4" t="n">
        <v>10.19</v>
      </c>
      <c r="N52" s="4" t="n">
        <v>7.3</v>
      </c>
      <c r="O52" s="2" t="n">
        <v>30</v>
      </c>
      <c r="P52" s="4" t="n">
        <v>2.97</v>
      </c>
      <c r="Q52" s="4" t="n">
        <v>2.01</v>
      </c>
      <c r="R52" s="4">
        <f>G52*(L52/100)*(O52/100)</f>
        <v/>
      </c>
      <c r="S52" s="4">
        <f>G52*(K52/360/100)*J52*(O52/100)</f>
        <v/>
      </c>
      <c r="T52" s="4">
        <f>P52-R52+Q52-S52</f>
        <v/>
      </c>
    </row>
    <row r="53">
      <c r="A53" s="2" t="inlineStr">
        <is>
          <t>Plata</t>
        </is>
      </c>
      <c r="B53" s="2" t="inlineStr">
        <is>
          <t>Amarillo</t>
        </is>
      </c>
      <c r="C53" s="3" t="n">
        <v>46025</v>
      </c>
      <c r="D53" s="2" t="inlineStr">
        <is>
          <t>B00302625</t>
        </is>
      </c>
      <c r="E53" s="2" t="inlineStr">
        <is>
          <t>Depuraciones Eminentes S.L.</t>
        </is>
      </c>
      <c r="F53" s="2" t="n">
        <v>2770529</v>
      </c>
      <c r="G53" s="4" t="n">
        <v>9092.15</v>
      </c>
      <c r="H53" s="3" t="n">
        <v>46011</v>
      </c>
      <c r="I53" s="3" t="n">
        <v>46103</v>
      </c>
      <c r="J53" s="2" t="n">
        <v>21</v>
      </c>
      <c r="K53" s="2" t="n">
        <v>2.92</v>
      </c>
      <c r="L53" s="2" t="n">
        <v>2.39</v>
      </c>
      <c r="M53" s="4" t="n">
        <v>217.3</v>
      </c>
      <c r="N53" s="4" t="n">
        <v>15.49</v>
      </c>
      <c r="O53" s="2" t="n">
        <v>70</v>
      </c>
      <c r="P53" s="4" t="n">
        <v>152.06</v>
      </c>
      <c r="Q53" s="4" t="n">
        <v>11.12</v>
      </c>
      <c r="R53" s="4">
        <f>G53*(L53/100)*(O53/100)</f>
        <v/>
      </c>
      <c r="S53" s="4">
        <f>G53*(K53/360/100)*J53*(O53/100)</f>
        <v/>
      </c>
      <c r="T53" s="4">
        <f>P53-R53+Q53-S53</f>
        <v/>
      </c>
    </row>
    <row r="54">
      <c r="A54" s="2" t="inlineStr">
        <is>
          <t>Plata</t>
        </is>
      </c>
      <c r="B54" s="2" t="inlineStr">
        <is>
          <t>Amarillo</t>
        </is>
      </c>
      <c r="C54" s="3" t="n">
        <v>46025</v>
      </c>
      <c r="D54" s="2" t="inlineStr">
        <is>
          <t>B00302625</t>
        </is>
      </c>
      <c r="E54" s="2" t="inlineStr">
        <is>
          <t>Depuraciones Eminentes S.L.</t>
        </is>
      </c>
      <c r="F54" s="2" t="n">
        <v>3927870</v>
      </c>
      <c r="G54" s="4" t="n">
        <v>127.66</v>
      </c>
      <c r="H54" s="3" t="n">
        <v>45994</v>
      </c>
      <c r="I54" s="3" t="n">
        <v>46030</v>
      </c>
      <c r="J54" s="2" t="n">
        <v>58</v>
      </c>
      <c r="K54" s="2" t="n">
        <v>1.52</v>
      </c>
      <c r="L54" s="2" t="n">
        <v>0.99</v>
      </c>
      <c r="M54" s="4" t="n">
        <v>1.26</v>
      </c>
      <c r="N54" s="4" t="n">
        <v>0.31</v>
      </c>
      <c r="O54" s="2" t="n">
        <v>50</v>
      </c>
      <c r="P54" s="4" t="n">
        <v>0.66</v>
      </c>
      <c r="Q54" s="4" t="n">
        <v>0.28</v>
      </c>
      <c r="R54" s="4">
        <f>G54*(L54/100)*(O54/100)</f>
        <v/>
      </c>
      <c r="S54" s="4">
        <f>G54*(K54/360/100)*J54*(O54/100)</f>
        <v/>
      </c>
      <c r="T54" s="4">
        <f>P54-R54+Q54-S54</f>
        <v/>
      </c>
    </row>
    <row r="55">
      <c r="A55" s="2" t="inlineStr">
        <is>
          <t>Plata</t>
        </is>
      </c>
      <c r="B55" s="2" t="inlineStr">
        <is>
          <t>Amarillo</t>
        </is>
      </c>
      <c r="C55" s="3" t="n">
        <v>46025</v>
      </c>
      <c r="D55" s="2" t="inlineStr">
        <is>
          <t>B98792677</t>
        </is>
      </c>
      <c r="E55" s="2" t="inlineStr">
        <is>
          <t>Cartones Bálticos S.L.</t>
        </is>
      </c>
      <c r="F55" s="2" t="n">
        <v>4897194</v>
      </c>
      <c r="G55" s="4" t="n">
        <v>5449.79</v>
      </c>
      <c r="H55" s="3" t="n">
        <v>46000</v>
      </c>
      <c r="I55" s="3" t="n">
        <v>46046</v>
      </c>
      <c r="J55" s="2" t="n">
        <v>25</v>
      </c>
      <c r="K55" s="2" t="n">
        <v>1.63</v>
      </c>
      <c r="L55" s="2" t="n">
        <v>0.89</v>
      </c>
      <c r="M55" s="4" t="n">
        <v>48.5</v>
      </c>
      <c r="N55" s="4" t="n">
        <v>6.17</v>
      </c>
      <c r="O55" s="2" t="n">
        <v>70</v>
      </c>
      <c r="P55" s="4" t="n">
        <v>33.94</v>
      </c>
      <c r="Q55" s="4" t="n">
        <v>4.03</v>
      </c>
      <c r="R55" s="4">
        <f>G55*(L55/100)*(O55/100)</f>
        <v/>
      </c>
      <c r="S55" s="4">
        <f>G55*(K55/360/100)*J55*(O55/100)</f>
        <v/>
      </c>
      <c r="T55" s="4">
        <f>P55-R55+Q55-S55</f>
        <v/>
      </c>
    </row>
    <row r="56">
      <c r="A56" s="2" t="inlineStr">
        <is>
          <t>Plata</t>
        </is>
      </c>
      <c r="B56" s="2" t="inlineStr">
        <is>
          <t>Amarillo</t>
        </is>
      </c>
      <c r="C56" s="3" t="n">
        <v>46025</v>
      </c>
      <c r="D56" s="2" t="inlineStr">
        <is>
          <t>B98792677</t>
        </is>
      </c>
      <c r="E56" s="2" t="inlineStr">
        <is>
          <t>Cartones Bálticos S.L.</t>
        </is>
      </c>
      <c r="F56" s="2" t="n">
        <v>3594813</v>
      </c>
      <c r="G56" s="4" t="n">
        <v>825.36</v>
      </c>
      <c r="H56" s="3" t="n">
        <v>46005</v>
      </c>
      <c r="I56" s="3" t="n">
        <v>46038</v>
      </c>
      <c r="J56" s="2" t="n">
        <v>59</v>
      </c>
      <c r="K56" s="2" t="n">
        <v>4.68</v>
      </c>
      <c r="L56" s="2" t="n">
        <v>1.95</v>
      </c>
      <c r="M56" s="4" t="n">
        <v>16.09</v>
      </c>
      <c r="N56" s="4" t="n">
        <v>6.33</v>
      </c>
      <c r="O56" s="2" t="n">
        <v>50</v>
      </c>
      <c r="P56" s="4" t="n">
        <v>8.33</v>
      </c>
      <c r="Q56" s="4" t="n">
        <v>3.28</v>
      </c>
      <c r="R56" s="4">
        <f>G56*(L56/100)*(O56/100)</f>
        <v/>
      </c>
      <c r="S56" s="4">
        <f>G56*(K56/360/100)*J56*(O56/100)</f>
        <v/>
      </c>
      <c r="T56" s="4">
        <f>P56-R56+Q56-S56</f>
        <v/>
      </c>
    </row>
    <row r="57">
      <c r="A57" s="2" t="inlineStr">
        <is>
          <t>Plata</t>
        </is>
      </c>
      <c r="B57" s="2" t="inlineStr">
        <is>
          <t>Amarillo</t>
        </is>
      </c>
      <c r="C57" s="3" t="n">
        <v>46025</v>
      </c>
      <c r="D57" s="2" t="inlineStr">
        <is>
          <t>B98792677</t>
        </is>
      </c>
      <c r="E57" s="2" t="inlineStr">
        <is>
          <t>Cartones Bálticos S.L.</t>
        </is>
      </c>
      <c r="F57" s="2" t="n">
        <v>2997736</v>
      </c>
      <c r="G57" s="4" t="n">
        <v>7260.81</v>
      </c>
      <c r="H57" s="3" t="n">
        <v>46011</v>
      </c>
      <c r="I57" s="3" t="n">
        <v>46037</v>
      </c>
      <c r="J57" s="2" t="n">
        <v>73</v>
      </c>
      <c r="K57" s="2" t="n">
        <v>3.98</v>
      </c>
      <c r="L57" s="2" t="n">
        <v>1.11</v>
      </c>
      <c r="M57" s="4" t="n">
        <v>80.59</v>
      </c>
      <c r="N57" s="4" t="n">
        <v>58.6</v>
      </c>
      <c r="O57" s="2" t="n">
        <v>70</v>
      </c>
      <c r="P57" s="4" t="n">
        <v>56.44</v>
      </c>
      <c r="Q57" s="4" t="n">
        <v>40.84</v>
      </c>
      <c r="R57" s="4">
        <f>G57*(L57/100)*(O57/100)</f>
        <v/>
      </c>
      <c r="S57" s="4">
        <f>G57*(K57/360/100)*J57*(O57/100)</f>
        <v/>
      </c>
      <c r="T57" s="4">
        <f>P57-R57+Q57-S57</f>
        <v/>
      </c>
    </row>
    <row r="58">
      <c r="A58" s="2" t="inlineStr">
        <is>
          <t>Plata</t>
        </is>
      </c>
      <c r="B58" s="2" t="inlineStr">
        <is>
          <t>Amarillo</t>
        </is>
      </c>
      <c r="C58" s="3" t="n">
        <v>46025</v>
      </c>
      <c r="D58" s="2" t="inlineStr">
        <is>
          <t>B98792677</t>
        </is>
      </c>
      <c r="E58" s="2" t="inlineStr">
        <is>
          <t>Cartones Bálticos S.L.</t>
        </is>
      </c>
      <c r="F58" s="2" t="n">
        <v>3608454</v>
      </c>
      <c r="G58" s="4" t="n">
        <v>850.04</v>
      </c>
      <c r="H58" s="3" t="n">
        <v>45996</v>
      </c>
      <c r="I58" s="3" t="n">
        <v>46107</v>
      </c>
      <c r="J58" s="2" t="n">
        <v>43</v>
      </c>
      <c r="K58" s="2" t="n">
        <v>1.51</v>
      </c>
      <c r="L58" s="2" t="n">
        <v>2.42</v>
      </c>
      <c r="M58" s="4" t="n">
        <v>20.57</v>
      </c>
      <c r="N58" s="4" t="n">
        <v>1.53</v>
      </c>
      <c r="O58" s="2" t="n">
        <v>70</v>
      </c>
      <c r="P58" s="4" t="n">
        <v>14.66</v>
      </c>
      <c r="Q58" s="4" t="n">
        <v>0.77</v>
      </c>
      <c r="R58" s="4">
        <f>G58*(L58/100)*(O58/100)</f>
        <v/>
      </c>
      <c r="S58" s="4">
        <f>G58*(K58/360/100)*J58*(O58/100)</f>
        <v/>
      </c>
      <c r="T58" s="4">
        <f>P58-R58+Q58-S58</f>
        <v/>
      </c>
    </row>
    <row r="59">
      <c r="A59" s="2" t="inlineStr">
        <is>
          <t>Plata</t>
        </is>
      </c>
      <c r="B59" s="2" t="inlineStr">
        <is>
          <t>Amarillo</t>
        </is>
      </c>
      <c r="C59" s="3" t="n">
        <v>46025</v>
      </c>
      <c r="D59" s="2" t="inlineStr">
        <is>
          <t>B05881384</t>
        </is>
      </c>
      <c r="E59" s="2" t="inlineStr">
        <is>
          <t>Depósitos Esbeltos S.L.</t>
        </is>
      </c>
      <c r="F59" s="2" t="n">
        <v>1579822</v>
      </c>
      <c r="G59" s="4" t="n">
        <v>885.85</v>
      </c>
      <c r="H59" s="3" t="n">
        <v>46000</v>
      </c>
      <c r="I59" s="3" t="n">
        <v>46038</v>
      </c>
      <c r="J59" s="2" t="n">
        <v>22</v>
      </c>
      <c r="K59" s="2" t="n">
        <v>4.25</v>
      </c>
      <c r="L59" s="2" t="n">
        <v>0.71</v>
      </c>
      <c r="M59" s="4" t="n">
        <v>6.29</v>
      </c>
      <c r="N59" s="4" t="n">
        <v>2.3</v>
      </c>
      <c r="O59" s="2" t="n">
        <v>30</v>
      </c>
      <c r="P59" s="4" t="n">
        <v>2.1</v>
      </c>
      <c r="Q59" s="4" t="n">
        <v>0.5</v>
      </c>
      <c r="R59" s="4">
        <f>G59*(L59/100)*(O59/100)</f>
        <v/>
      </c>
      <c r="S59" s="4">
        <f>G59*(K59/360/100)*J59*(O59/100)</f>
        <v/>
      </c>
      <c r="T59" s="4">
        <f>P59-R59+Q59-S59</f>
        <v/>
      </c>
    </row>
    <row r="60">
      <c r="A60" s="2" t="inlineStr">
        <is>
          <t>Plata</t>
        </is>
      </c>
      <c r="B60" s="2" t="inlineStr">
        <is>
          <t>Amarillo</t>
        </is>
      </c>
      <c r="C60" s="3" t="n">
        <v>46025</v>
      </c>
      <c r="D60" s="2" t="inlineStr">
        <is>
          <t>B05881384</t>
        </is>
      </c>
      <c r="E60" s="2" t="inlineStr">
        <is>
          <t>Depósitos Esbeltos S.L.</t>
        </is>
      </c>
      <c r="F60" s="2" t="n">
        <v>1385566</v>
      </c>
      <c r="G60" s="4" t="n">
        <v>385.31</v>
      </c>
      <c r="H60" s="3" t="n">
        <v>46000</v>
      </c>
      <c r="I60" s="3" t="n">
        <v>46046</v>
      </c>
      <c r="J60" s="2" t="n">
        <v>37</v>
      </c>
      <c r="K60" s="2" t="n">
        <v>4.52</v>
      </c>
      <c r="L60" s="2" t="n">
        <v>0.72</v>
      </c>
      <c r="M60" s="4" t="n">
        <v>2.77</v>
      </c>
      <c r="N60" s="4" t="n">
        <v>1.79</v>
      </c>
      <c r="O60" s="2" t="n">
        <v>50</v>
      </c>
      <c r="P60" s="4" t="n">
        <v>1.4</v>
      </c>
      <c r="Q60" s="4" t="n">
        <v>0.8100000000000001</v>
      </c>
      <c r="R60" s="4">
        <f>G60*(L60/100)*(O60/100)</f>
        <v/>
      </c>
      <c r="S60" s="4">
        <f>G60*(K60/360/100)*J60*(O60/100)</f>
        <v/>
      </c>
      <c r="T60" s="4">
        <f>P60-R60+Q60-S60</f>
        <v/>
      </c>
    </row>
    <row r="61">
      <c r="A61" s="2" t="inlineStr">
        <is>
          <t>Plata</t>
        </is>
      </c>
      <c r="B61" s="2" t="inlineStr">
        <is>
          <t>Amarillo</t>
        </is>
      </c>
      <c r="C61" s="3" t="n">
        <v>46025</v>
      </c>
      <c r="D61" s="2" t="inlineStr">
        <is>
          <t>B05881384</t>
        </is>
      </c>
      <c r="E61" s="2" t="inlineStr">
        <is>
          <t>Depósitos Esbeltos S.L.</t>
        </is>
      </c>
      <c r="F61" s="2" t="n">
        <v>2598669</v>
      </c>
      <c r="G61" s="4" t="n">
        <v>8118.73</v>
      </c>
      <c r="H61" s="3" t="n">
        <v>46000</v>
      </c>
      <c r="I61" s="3" t="n">
        <v>46073</v>
      </c>
      <c r="J61" s="2" t="n">
        <v>48</v>
      </c>
      <c r="K61" s="2" t="n">
        <v>4.32</v>
      </c>
      <c r="L61" s="2" t="n">
        <v>1.09</v>
      </c>
      <c r="M61" s="4" t="n">
        <v>88.48999999999999</v>
      </c>
      <c r="N61" s="4" t="n">
        <v>46.76</v>
      </c>
      <c r="O61" s="2" t="n">
        <v>50</v>
      </c>
      <c r="P61" s="4" t="n">
        <v>44.33</v>
      </c>
      <c r="Q61" s="4" t="n">
        <v>23.16</v>
      </c>
      <c r="R61" s="4">
        <f>G61*(L61/100)*(O61/100)</f>
        <v/>
      </c>
      <c r="S61" s="4">
        <f>G61*(K61/360/100)*J61*(O61/100)</f>
        <v/>
      </c>
      <c r="T61" s="4">
        <f>P61-R61+Q61-S61</f>
        <v/>
      </c>
    </row>
    <row r="62">
      <c r="A62" s="2" t="inlineStr">
        <is>
          <t>Plata</t>
        </is>
      </c>
      <c r="B62" s="2" t="inlineStr">
        <is>
          <t>Amarillo</t>
        </is>
      </c>
      <c r="C62" s="3" t="n">
        <v>46025</v>
      </c>
      <c r="D62" s="2" t="inlineStr">
        <is>
          <t>B05881384</t>
        </is>
      </c>
      <c r="E62" s="2" t="inlineStr">
        <is>
          <t>Depósitos Esbeltos S.L.</t>
        </is>
      </c>
      <c r="F62" s="2" t="n">
        <v>2822428</v>
      </c>
      <c r="G62" s="4" t="n">
        <v>799.4</v>
      </c>
      <c r="H62" s="3" t="n">
        <v>46010</v>
      </c>
      <c r="I62" s="3" t="n">
        <v>46106</v>
      </c>
      <c r="J62" s="2" t="n">
        <v>59</v>
      </c>
      <c r="K62" s="2" t="n">
        <v>1.63</v>
      </c>
      <c r="L62" s="2" t="n">
        <v>2.41</v>
      </c>
      <c r="M62" s="4" t="n">
        <v>19.27</v>
      </c>
      <c r="N62" s="4" t="n">
        <v>2.14</v>
      </c>
      <c r="O62" s="2" t="n">
        <v>40</v>
      </c>
      <c r="P62" s="4" t="n">
        <v>7.84</v>
      </c>
      <c r="Q62" s="4" t="n">
        <v>0.6899999999999999</v>
      </c>
      <c r="R62" s="4">
        <f>G62*(L62/100)*(O62/100)</f>
        <v/>
      </c>
      <c r="S62" s="4">
        <f>G62*(K62/360/100)*J62*(O62/100)</f>
        <v/>
      </c>
      <c r="T62" s="4">
        <f>P62-R62+Q62-S62</f>
        <v/>
      </c>
    </row>
    <row r="63">
      <c r="A63" s="2" t="inlineStr">
        <is>
          <t>Plata</t>
        </is>
      </c>
      <c r="B63" s="2" t="inlineStr">
        <is>
          <t>Amarillo</t>
        </is>
      </c>
      <c r="C63" s="3" t="n">
        <v>46025</v>
      </c>
      <c r="D63" s="2" t="inlineStr">
        <is>
          <t>B18651928</t>
        </is>
      </c>
      <c r="E63" s="2" t="inlineStr">
        <is>
          <t>Cables Nitrurados S.L.</t>
        </is>
      </c>
      <c r="F63" s="2" t="n">
        <v>4967237</v>
      </c>
      <c r="G63" s="4" t="n">
        <v>583.3200000000001</v>
      </c>
      <c r="H63" s="3" t="n">
        <v>45995</v>
      </c>
      <c r="I63" s="3" t="n">
        <v>46046</v>
      </c>
      <c r="J63" s="2" t="n">
        <v>63</v>
      </c>
      <c r="K63" s="2" t="n">
        <v>3.33</v>
      </c>
      <c r="L63" s="2" t="n">
        <v>1.18</v>
      </c>
      <c r="M63" s="4" t="n">
        <v>6.88</v>
      </c>
      <c r="N63" s="4" t="n">
        <v>3.4</v>
      </c>
      <c r="O63" s="2" t="n">
        <v>70</v>
      </c>
      <c r="P63" s="4" t="n">
        <v>4.94</v>
      </c>
      <c r="Q63" s="4" t="n">
        <v>2.54</v>
      </c>
      <c r="R63" s="4">
        <f>G63*(L63/100)*(O63/100)</f>
        <v/>
      </c>
      <c r="S63" s="4">
        <f>G63*(K63/360/100)*J63*(O63/100)</f>
        <v/>
      </c>
      <c r="T63" s="4">
        <f>P63-R63+Q63-S63</f>
        <v/>
      </c>
    </row>
    <row r="64">
      <c r="A64" s="2" t="inlineStr">
        <is>
          <t>Plata</t>
        </is>
      </c>
      <c r="B64" s="2" t="inlineStr">
        <is>
          <t>Amarillo</t>
        </is>
      </c>
      <c r="C64" s="3" t="n">
        <v>46025</v>
      </c>
      <c r="D64" s="2" t="inlineStr">
        <is>
          <t>B18651928</t>
        </is>
      </c>
      <c r="E64" s="2" t="inlineStr">
        <is>
          <t>Cables Nitrurados S.L.</t>
        </is>
      </c>
      <c r="F64" s="2" t="n">
        <v>4210329</v>
      </c>
      <c r="G64" s="4" t="n">
        <v>8585.32</v>
      </c>
      <c r="H64" s="3" t="n">
        <v>45994</v>
      </c>
      <c r="I64" s="3" t="n">
        <v>46036</v>
      </c>
      <c r="J64" s="2" t="n">
        <v>44</v>
      </c>
      <c r="K64" s="2" t="n">
        <v>3.46</v>
      </c>
      <c r="L64" s="2" t="n">
        <v>2.2</v>
      </c>
      <c r="M64" s="4" t="n">
        <v>188.88</v>
      </c>
      <c r="N64" s="4" t="n">
        <v>36.31</v>
      </c>
      <c r="O64" s="2" t="n">
        <v>30</v>
      </c>
      <c r="P64" s="4" t="n">
        <v>56.43</v>
      </c>
      <c r="Q64" s="4" t="n">
        <v>10.85</v>
      </c>
      <c r="R64" s="4">
        <f>G64*(L64/100)*(O64/100)</f>
        <v/>
      </c>
      <c r="S64" s="4">
        <f>G64*(K64/360/100)*J64*(O64/100)</f>
        <v/>
      </c>
      <c r="T64" s="4">
        <f>P64-R64+Q64-S64</f>
        <v/>
      </c>
    </row>
    <row r="65">
      <c r="A65" s="2" t="inlineStr">
        <is>
          <t>Plata</t>
        </is>
      </c>
      <c r="B65" s="2" t="inlineStr">
        <is>
          <t>Amarillo</t>
        </is>
      </c>
      <c r="C65" s="3" t="n">
        <v>46025</v>
      </c>
      <c r="D65" s="2" t="inlineStr">
        <is>
          <t>B18651928</t>
        </is>
      </c>
      <c r="E65" s="2" t="inlineStr">
        <is>
          <t>Cables Nitrurados S.L.</t>
        </is>
      </c>
      <c r="F65" s="2" t="n">
        <v>1550326</v>
      </c>
      <c r="G65" s="4" t="n">
        <v>770.55</v>
      </c>
      <c r="H65" s="3" t="n">
        <v>46013</v>
      </c>
      <c r="I65" s="3" t="n">
        <v>46026</v>
      </c>
      <c r="J65" s="2" t="n">
        <v>36</v>
      </c>
      <c r="K65" s="2" t="n">
        <v>3.66</v>
      </c>
      <c r="L65" s="2" t="n">
        <v>2.22</v>
      </c>
      <c r="M65" s="4" t="n">
        <v>17.11</v>
      </c>
      <c r="N65" s="4" t="n">
        <v>2.82</v>
      </c>
      <c r="O65" s="2" t="n">
        <v>50</v>
      </c>
      <c r="P65" s="4" t="n">
        <v>8.52</v>
      </c>
      <c r="Q65" s="4" t="n">
        <v>1.3</v>
      </c>
      <c r="R65" s="4">
        <f>G65*(L65/100)*(O65/100)</f>
        <v/>
      </c>
      <c r="S65" s="4">
        <f>G65*(K65/360/100)*J65*(O65/100)</f>
        <v/>
      </c>
      <c r="T65" s="4">
        <f>P65-R65+Q65-S65</f>
        <v/>
      </c>
    </row>
    <row r="66">
      <c r="A66" s="2" t="inlineStr">
        <is>
          <t>Plata</t>
        </is>
      </c>
      <c r="B66" s="2" t="inlineStr">
        <is>
          <t>Amarillo</t>
        </is>
      </c>
      <c r="C66" s="3" t="n">
        <v>46025</v>
      </c>
      <c r="D66" s="2" t="inlineStr">
        <is>
          <t>A14052331</t>
        </is>
      </c>
      <c r="E66" s="2" t="inlineStr">
        <is>
          <t>Estructuras Calibrados S.A.</t>
        </is>
      </c>
      <c r="F66" s="2" t="n">
        <v>3457993</v>
      </c>
      <c r="G66" s="4" t="n">
        <v>116.54</v>
      </c>
      <c r="H66" s="3" t="n">
        <v>45998</v>
      </c>
      <c r="I66" s="3" t="n">
        <v>46098</v>
      </c>
      <c r="J66" s="2" t="n">
        <v>56</v>
      </c>
      <c r="K66" s="2" t="n">
        <v>2.55</v>
      </c>
      <c r="L66" s="2" t="n">
        <v>1.57</v>
      </c>
      <c r="M66" s="4" t="n">
        <v>1.83</v>
      </c>
      <c r="N66" s="4" t="n">
        <v>0.46</v>
      </c>
      <c r="O66" s="2" t="n">
        <v>60</v>
      </c>
      <c r="P66" s="4" t="n">
        <v>1.12</v>
      </c>
      <c r="Q66" s="4" t="n">
        <v>0.19</v>
      </c>
      <c r="R66" s="4">
        <f>G66*(L66/100)*(O66/100)</f>
        <v/>
      </c>
      <c r="S66" s="4">
        <f>G66*(K66/360/100)*J66*(O66/100)</f>
        <v/>
      </c>
      <c r="T66" s="4">
        <f>P66-R66+Q66-S66</f>
        <v/>
      </c>
    </row>
    <row r="67">
      <c r="A67" s="2" t="inlineStr">
        <is>
          <t>Plata</t>
        </is>
      </c>
      <c r="B67" s="2" t="inlineStr">
        <is>
          <t>Amarillo</t>
        </is>
      </c>
      <c r="C67" s="3" t="n">
        <v>46025</v>
      </c>
      <c r="D67" s="2" t="inlineStr">
        <is>
          <t>A14052331</t>
        </is>
      </c>
      <c r="E67" s="2" t="inlineStr">
        <is>
          <t>Estructuras Calibrados S.A.</t>
        </is>
      </c>
      <c r="F67" s="2" t="n">
        <v>4483675</v>
      </c>
      <c r="G67" s="4" t="n">
        <v>9460.52</v>
      </c>
      <c r="H67" s="3" t="n">
        <v>46015</v>
      </c>
      <c r="I67" s="3" t="n">
        <v>46073</v>
      </c>
      <c r="J67" s="2" t="n">
        <v>68</v>
      </c>
      <c r="K67" s="2" t="n">
        <v>2.19</v>
      </c>
      <c r="L67" s="2" t="n">
        <v>0.83</v>
      </c>
      <c r="M67" s="4" t="n">
        <v>78.52</v>
      </c>
      <c r="N67" s="4" t="n">
        <v>39.14</v>
      </c>
      <c r="O67" s="2" t="n">
        <v>70</v>
      </c>
      <c r="P67" s="4" t="n">
        <v>54.75</v>
      </c>
      <c r="Q67" s="4" t="n">
        <v>27.47</v>
      </c>
      <c r="R67" s="4">
        <f>G67*(L67/100)*(O67/100)</f>
        <v/>
      </c>
      <c r="S67" s="4">
        <f>G67*(K67/360/100)*J67*(O67/100)</f>
        <v/>
      </c>
      <c r="T67" s="4">
        <f>P67-R67+Q67-S67</f>
        <v/>
      </c>
    </row>
    <row r="68">
      <c r="A68" s="2" t="inlineStr">
        <is>
          <t>Plata</t>
        </is>
      </c>
      <c r="B68" s="2" t="inlineStr">
        <is>
          <t>Amarillo</t>
        </is>
      </c>
      <c r="C68" s="3" t="n">
        <v>46025</v>
      </c>
      <c r="D68" s="2" t="inlineStr">
        <is>
          <t>A14052331</t>
        </is>
      </c>
      <c r="E68" s="2" t="inlineStr">
        <is>
          <t>Estructuras Calibrados S.A.</t>
        </is>
      </c>
      <c r="F68" s="2" t="n">
        <v>1646576</v>
      </c>
      <c r="G68" s="4" t="n">
        <v>3200.36</v>
      </c>
      <c r="H68" s="3" t="n">
        <v>46005</v>
      </c>
      <c r="I68" s="3" t="n">
        <v>46105</v>
      </c>
      <c r="J68" s="2" t="n">
        <v>65</v>
      </c>
      <c r="K68" s="2" t="n">
        <v>2.94</v>
      </c>
      <c r="L68" s="2" t="n">
        <v>1.95</v>
      </c>
      <c r="M68" s="4" t="n">
        <v>62.41</v>
      </c>
      <c r="N68" s="4" t="n">
        <v>16.99</v>
      </c>
      <c r="O68" s="2" t="n">
        <v>40</v>
      </c>
      <c r="P68" s="4" t="n">
        <v>25.23</v>
      </c>
      <c r="Q68" s="4" t="n">
        <v>7.01</v>
      </c>
      <c r="R68" s="4">
        <f>G68*(L68/100)*(O68/100)</f>
        <v/>
      </c>
      <c r="S68" s="4">
        <f>G68*(K68/360/100)*J68*(O68/100)</f>
        <v/>
      </c>
      <c r="T68" s="4">
        <f>P68-R68+Q68-S68</f>
        <v/>
      </c>
    </row>
    <row r="69">
      <c r="A69" s="2" t="inlineStr">
        <is>
          <t>Plata</t>
        </is>
      </c>
      <c r="B69" s="2" t="inlineStr">
        <is>
          <t>Amarillo</t>
        </is>
      </c>
      <c r="C69" s="3" t="n">
        <v>46025</v>
      </c>
      <c r="D69" s="2" t="inlineStr">
        <is>
          <t>A14052331</t>
        </is>
      </c>
      <c r="E69" s="2" t="inlineStr">
        <is>
          <t>Estructuras Calibrados S.A.</t>
        </is>
      </c>
      <c r="F69" s="2" t="n">
        <v>2074769</v>
      </c>
      <c r="G69" s="4" t="n">
        <v>340.2</v>
      </c>
      <c r="H69" s="3" t="n">
        <v>46003</v>
      </c>
      <c r="I69" s="3" t="n">
        <v>46062</v>
      </c>
      <c r="J69" s="2" t="n">
        <v>57</v>
      </c>
      <c r="K69" s="2" t="n">
        <v>2.31</v>
      </c>
      <c r="L69" s="2" t="n">
        <v>1.81</v>
      </c>
      <c r="M69" s="4" t="n">
        <v>6.16</v>
      </c>
      <c r="N69" s="4" t="n">
        <v>1.24</v>
      </c>
      <c r="O69" s="2" t="n">
        <v>60</v>
      </c>
      <c r="P69" s="4" t="n">
        <v>3.43</v>
      </c>
      <c r="Q69" s="4" t="n">
        <v>0.96</v>
      </c>
      <c r="R69" s="4">
        <f>G69*(L69/100)*(O69/100)</f>
        <v/>
      </c>
      <c r="S69" s="4">
        <f>G69*(K69/360/100)*J69*(O69/100)</f>
        <v/>
      </c>
      <c r="T69" s="4">
        <f>P69-R69+Q69-S69</f>
        <v/>
      </c>
    </row>
    <row r="70">
      <c r="A70" s="2" t="inlineStr">
        <is>
          <t>Plata</t>
        </is>
      </c>
      <c r="B70" s="2" t="inlineStr">
        <is>
          <t>Amarillo</t>
        </is>
      </c>
      <c r="C70" s="3" t="n">
        <v>46025</v>
      </c>
      <c r="D70" s="2" t="inlineStr">
        <is>
          <t>B08898130</t>
        </is>
      </c>
      <c r="E70" s="2" t="inlineStr">
        <is>
          <t>Digitalizaciones Homogéneos S.L.</t>
        </is>
      </c>
      <c r="F70" s="2" t="n">
        <v>1226945</v>
      </c>
      <c r="G70" s="4" t="n">
        <v>8886.42</v>
      </c>
      <c r="H70" s="3" t="n">
        <v>46015</v>
      </c>
      <c r="I70" s="3" t="n">
        <v>46106</v>
      </c>
      <c r="J70" s="2" t="n">
        <v>39</v>
      </c>
      <c r="K70" s="2" t="n">
        <v>3</v>
      </c>
      <c r="L70" s="2" t="n">
        <v>1.79</v>
      </c>
      <c r="M70" s="4" t="n">
        <v>159.07</v>
      </c>
      <c r="N70" s="4" t="n">
        <v>28.88</v>
      </c>
      <c r="O70" s="2" t="n">
        <v>30</v>
      </c>
      <c r="P70" s="4" t="n">
        <v>47.43</v>
      </c>
      <c r="Q70" s="4" t="n">
        <v>8.41</v>
      </c>
      <c r="R70" s="4">
        <f>G70*(L70/100)*(O70/100)</f>
        <v/>
      </c>
      <c r="S70" s="4">
        <f>G70*(K70/360/100)*J70*(O70/100)</f>
        <v/>
      </c>
      <c r="T70" s="4">
        <f>P70-R70+Q70-S70</f>
        <v/>
      </c>
    </row>
    <row r="71">
      <c r="A71" s="2" t="inlineStr">
        <is>
          <t>Plata</t>
        </is>
      </c>
      <c r="B71" s="2" t="inlineStr">
        <is>
          <t>Amarillo</t>
        </is>
      </c>
      <c r="C71" s="3" t="n">
        <v>46025</v>
      </c>
      <c r="D71" s="2" t="inlineStr">
        <is>
          <t>B08898130</t>
        </is>
      </c>
      <c r="E71" s="2" t="inlineStr">
        <is>
          <t>Digitalizaciones Homogéneos S.L.</t>
        </is>
      </c>
      <c r="F71" s="2" t="n">
        <v>4424293</v>
      </c>
      <c r="G71" s="4" t="n">
        <v>9415.559999999999</v>
      </c>
      <c r="H71" s="3" t="n">
        <v>46002</v>
      </c>
      <c r="I71" s="3" t="n">
        <v>46069</v>
      </c>
      <c r="J71" s="2" t="n">
        <v>19</v>
      </c>
      <c r="K71" s="2" t="n">
        <v>4.8</v>
      </c>
      <c r="L71" s="2" t="n">
        <v>1.74</v>
      </c>
      <c r="M71" s="4" t="n">
        <v>163.83</v>
      </c>
      <c r="N71" s="4" t="n">
        <v>23.85</v>
      </c>
      <c r="O71" s="2" t="n">
        <v>70</v>
      </c>
      <c r="P71" s="4" t="n">
        <v>114.6</v>
      </c>
      <c r="Q71" s="4" t="n">
        <v>16.98</v>
      </c>
      <c r="R71" s="4">
        <f>G71*(L71/100)*(O71/100)</f>
        <v/>
      </c>
      <c r="S71" s="4">
        <f>G71*(K71/360/100)*J71*(O71/100)</f>
        <v/>
      </c>
      <c r="T71" s="4">
        <f>P71-R71+Q71-S71</f>
        <v/>
      </c>
    </row>
    <row r="72">
      <c r="A72" s="2" t="inlineStr">
        <is>
          <t>Plata</t>
        </is>
      </c>
      <c r="B72" s="2" t="inlineStr">
        <is>
          <t>Amarillo</t>
        </is>
      </c>
      <c r="C72" s="3" t="n">
        <v>46025</v>
      </c>
      <c r="D72" s="2" t="inlineStr">
        <is>
          <t>B53704916</t>
        </is>
      </c>
      <c r="E72" s="2" t="inlineStr">
        <is>
          <t>Fármacos Mate S.L.</t>
        </is>
      </c>
      <c r="F72" s="2" t="n">
        <v>1821478</v>
      </c>
      <c r="G72" s="4" t="n">
        <v>448.69</v>
      </c>
      <c r="H72" s="3" t="n">
        <v>45998</v>
      </c>
      <c r="I72" s="3" t="n">
        <v>46108</v>
      </c>
      <c r="J72" s="2" t="n">
        <v>61</v>
      </c>
      <c r="K72" s="2" t="n">
        <v>4.86</v>
      </c>
      <c r="L72" s="2" t="n">
        <v>1.15</v>
      </c>
      <c r="M72" s="4" t="n">
        <v>5.16</v>
      </c>
      <c r="N72" s="4" t="n">
        <v>3.69</v>
      </c>
      <c r="O72" s="2" t="n">
        <v>50</v>
      </c>
      <c r="P72" s="4" t="n">
        <v>2.8</v>
      </c>
      <c r="Q72" s="4" t="n">
        <v>1.56</v>
      </c>
      <c r="R72" s="4">
        <f>G72*(L72/100)*(O72/100)</f>
        <v/>
      </c>
      <c r="S72" s="4">
        <f>G72*(K72/360/100)*J72*(O72/100)</f>
        <v/>
      </c>
      <c r="T72" s="4">
        <f>P72-R72+Q72-S72</f>
        <v/>
      </c>
    </row>
    <row r="73">
      <c r="A73" s="2" t="inlineStr">
        <is>
          <t>Plata</t>
        </is>
      </c>
      <c r="B73" s="2" t="inlineStr">
        <is>
          <t>Amarillo</t>
        </is>
      </c>
      <c r="C73" s="3" t="n">
        <v>46025</v>
      </c>
      <c r="D73" s="2" t="inlineStr">
        <is>
          <t>B53704916</t>
        </is>
      </c>
      <c r="E73" s="2" t="inlineStr">
        <is>
          <t>Fármacos Mate S.L.</t>
        </is>
      </c>
      <c r="F73" s="2" t="n">
        <v>1699751</v>
      </c>
      <c r="G73" s="4" t="n">
        <v>424.88</v>
      </c>
      <c r="H73" s="3" t="n">
        <v>46019</v>
      </c>
      <c r="I73" s="3" t="n">
        <v>46041</v>
      </c>
      <c r="J73" s="2" t="n">
        <v>65</v>
      </c>
      <c r="K73" s="2" t="n">
        <v>2.51</v>
      </c>
      <c r="L73" s="2" t="n">
        <v>1.32</v>
      </c>
      <c r="M73" s="4" t="n">
        <v>5.61</v>
      </c>
      <c r="N73" s="4" t="n">
        <v>1.93</v>
      </c>
      <c r="O73" s="2" t="n">
        <v>60</v>
      </c>
      <c r="P73" s="4" t="n">
        <v>3.32</v>
      </c>
      <c r="Q73" s="4" t="n">
        <v>0.91</v>
      </c>
      <c r="R73" s="4">
        <f>G73*(L73/100)*(O73/100)</f>
        <v/>
      </c>
      <c r="S73" s="4">
        <f>G73*(K73/360/100)*J73*(O73/100)</f>
        <v/>
      </c>
      <c r="T73" s="4">
        <f>P73-R73+Q73-S73</f>
        <v/>
      </c>
    </row>
    <row r="74">
      <c r="A74" s="2" t="inlineStr">
        <is>
          <t>Plata</t>
        </is>
      </c>
      <c r="B74" s="2" t="inlineStr">
        <is>
          <t>Amarillo</t>
        </is>
      </c>
      <c r="C74" s="3" t="n">
        <v>46025</v>
      </c>
      <c r="D74" s="2" t="inlineStr">
        <is>
          <t>B53704916</t>
        </is>
      </c>
      <c r="E74" s="2" t="inlineStr">
        <is>
          <t>Fármacos Mate S.L.</t>
        </is>
      </c>
      <c r="F74" s="2" t="n">
        <v>2803881</v>
      </c>
      <c r="G74" s="4" t="n">
        <v>320.94</v>
      </c>
      <c r="H74" s="3" t="n">
        <v>46015</v>
      </c>
      <c r="I74" s="3" t="n">
        <v>46092</v>
      </c>
      <c r="J74" s="2" t="n">
        <v>38</v>
      </c>
      <c r="K74" s="2" t="n">
        <v>2.38</v>
      </c>
      <c r="L74" s="2" t="n">
        <v>0.66</v>
      </c>
      <c r="M74" s="4" t="n">
        <v>2.12</v>
      </c>
      <c r="N74" s="4" t="n">
        <v>0.8100000000000001</v>
      </c>
      <c r="O74" s="2" t="n">
        <v>70</v>
      </c>
      <c r="P74" s="4" t="n">
        <v>1.66</v>
      </c>
      <c r="Q74" s="4" t="n">
        <v>0.72</v>
      </c>
      <c r="R74" s="4">
        <f>G74*(L74/100)*(O74/100)</f>
        <v/>
      </c>
      <c r="S74" s="4">
        <f>G74*(K74/360/100)*J74*(O74/100)</f>
        <v/>
      </c>
      <c r="T74" s="4">
        <f>P74-R74+Q74-S74</f>
        <v/>
      </c>
    </row>
    <row r="75">
      <c r="A75" s="2" t="inlineStr">
        <is>
          <t>Plata</t>
        </is>
      </c>
      <c r="B75" s="2" t="inlineStr">
        <is>
          <t>Amarillo</t>
        </is>
      </c>
      <c r="C75" s="3" t="n">
        <v>46025</v>
      </c>
      <c r="D75" s="2" t="inlineStr">
        <is>
          <t>B53704916</t>
        </is>
      </c>
      <c r="E75" s="2" t="inlineStr">
        <is>
          <t>Fármacos Mate S.L.</t>
        </is>
      </c>
      <c r="F75" s="2" t="n">
        <v>1579128</v>
      </c>
      <c r="G75" s="4" t="n">
        <v>3560.26</v>
      </c>
      <c r="H75" s="3" t="n">
        <v>46014</v>
      </c>
      <c r="I75" s="3" t="n">
        <v>46031</v>
      </c>
      <c r="J75" s="2" t="n">
        <v>62</v>
      </c>
      <c r="K75" s="2" t="n">
        <v>2.31</v>
      </c>
      <c r="L75" s="2" t="n">
        <v>1.59</v>
      </c>
      <c r="M75" s="4" t="n">
        <v>56.61</v>
      </c>
      <c r="N75" s="4" t="n">
        <v>14.16</v>
      </c>
      <c r="O75" s="2" t="n">
        <v>30</v>
      </c>
      <c r="P75" s="4" t="n">
        <v>17.28</v>
      </c>
      <c r="Q75" s="4" t="n">
        <v>4.06</v>
      </c>
      <c r="R75" s="4">
        <f>G75*(L75/100)*(O75/100)</f>
        <v/>
      </c>
      <c r="S75" s="4">
        <f>G75*(K75/360/100)*J75*(O75/100)</f>
        <v/>
      </c>
      <c r="T75" s="4">
        <f>P75-R75+Q75-S75</f>
        <v/>
      </c>
    </row>
    <row r="76">
      <c r="A76" s="2" t="inlineStr">
        <is>
          <t>Plata</t>
        </is>
      </c>
      <c r="B76" s="2" t="inlineStr">
        <is>
          <t>Amarillo</t>
        </is>
      </c>
      <c r="C76" s="3" t="n">
        <v>46025</v>
      </c>
      <c r="D76" s="2" t="inlineStr">
        <is>
          <t>A17681165</t>
        </is>
      </c>
      <c r="E76" s="2" t="inlineStr">
        <is>
          <t>Bioestimulantes Dorados S.A.</t>
        </is>
      </c>
      <c r="F76" s="2" t="n">
        <v>1525319</v>
      </c>
      <c r="G76" s="4" t="n">
        <v>805.0599999999999</v>
      </c>
      <c r="H76" s="3" t="n">
        <v>46014</v>
      </c>
      <c r="I76" s="3" t="n">
        <v>46088</v>
      </c>
      <c r="J76" s="2" t="n">
        <v>36</v>
      </c>
      <c r="K76" s="2" t="n">
        <v>4.93</v>
      </c>
      <c r="L76" s="2" t="n">
        <v>1.87</v>
      </c>
      <c r="M76" s="4" t="n">
        <v>15.05</v>
      </c>
      <c r="N76" s="4" t="n">
        <v>3.97</v>
      </c>
      <c r="O76" s="2" t="n">
        <v>50</v>
      </c>
      <c r="P76" s="4" t="n">
        <v>7.69</v>
      </c>
      <c r="Q76" s="4" t="n">
        <v>2.09</v>
      </c>
      <c r="R76" s="4">
        <f>G76*(L76/100)*(O76/100)</f>
        <v/>
      </c>
      <c r="S76" s="4">
        <f>G76*(K76/360/100)*J76*(O76/100)</f>
        <v/>
      </c>
      <c r="T76" s="4">
        <f>P76-R76+Q76-S76</f>
        <v/>
      </c>
    </row>
    <row r="77">
      <c r="A77" s="2" t="inlineStr">
        <is>
          <t>Plata</t>
        </is>
      </c>
      <c r="B77" s="2" t="inlineStr">
        <is>
          <t>Amarillo</t>
        </is>
      </c>
      <c r="C77" s="3" t="n">
        <v>46025</v>
      </c>
      <c r="D77" s="2" t="inlineStr">
        <is>
          <t>A17681165</t>
        </is>
      </c>
      <c r="E77" s="2" t="inlineStr">
        <is>
          <t>Bioestimulantes Dorados S.A.</t>
        </is>
      </c>
      <c r="F77" s="2" t="n">
        <v>2920663</v>
      </c>
      <c r="G77" s="4" t="n">
        <v>919.34</v>
      </c>
      <c r="H77" s="3" t="n">
        <v>46019</v>
      </c>
      <c r="I77" s="3" t="n">
        <v>46046</v>
      </c>
      <c r="J77" s="2" t="n">
        <v>67</v>
      </c>
      <c r="K77" s="2" t="n">
        <v>1.55</v>
      </c>
      <c r="L77" s="2" t="n">
        <v>0.63</v>
      </c>
      <c r="M77" s="4" t="n">
        <v>5.79</v>
      </c>
      <c r="N77" s="4" t="n">
        <v>2.65</v>
      </c>
      <c r="O77" s="2" t="n">
        <v>30</v>
      </c>
      <c r="P77" s="4" t="n">
        <v>1.65</v>
      </c>
      <c r="Q77" s="4" t="n">
        <v>0.51</v>
      </c>
      <c r="R77" s="4">
        <f>G77*(L77/100)*(O77/100)</f>
        <v/>
      </c>
      <c r="S77" s="4">
        <f>G77*(K77/360/100)*J77*(O77/100)</f>
        <v/>
      </c>
      <c r="T77" s="4">
        <f>P77-R77+Q77-S77</f>
        <v/>
      </c>
    </row>
    <row r="78">
      <c r="A78" s="2" t="inlineStr">
        <is>
          <t>Plata</t>
        </is>
      </c>
      <c r="B78" s="2" t="inlineStr">
        <is>
          <t>Amarillo</t>
        </is>
      </c>
      <c r="C78" s="3" t="n">
        <v>46025</v>
      </c>
      <c r="D78" s="2" t="inlineStr">
        <is>
          <t>A17681165</t>
        </is>
      </c>
      <c r="E78" s="2" t="inlineStr">
        <is>
          <t>Bioestimulantes Dorados S.A.</t>
        </is>
      </c>
      <c r="F78" s="2" t="n">
        <v>4384652</v>
      </c>
      <c r="G78" s="4" t="n">
        <v>798.39</v>
      </c>
      <c r="H78" s="3" t="n">
        <v>46009</v>
      </c>
      <c r="I78" s="3" t="n">
        <v>46028</v>
      </c>
      <c r="J78" s="2" t="n">
        <v>68</v>
      </c>
      <c r="K78" s="2" t="n">
        <v>1.89</v>
      </c>
      <c r="L78" s="2" t="n">
        <v>0.53</v>
      </c>
      <c r="M78" s="4" t="n">
        <v>4.23</v>
      </c>
      <c r="N78" s="4" t="n">
        <v>2.85</v>
      </c>
      <c r="O78" s="2" t="n">
        <v>60</v>
      </c>
      <c r="P78" s="4" t="n">
        <v>2.64</v>
      </c>
      <c r="Q78" s="4" t="n">
        <v>1.46</v>
      </c>
      <c r="R78" s="4">
        <f>G78*(L78/100)*(O78/100)</f>
        <v/>
      </c>
      <c r="S78" s="4">
        <f>G78*(K78/360/100)*J78*(O78/100)</f>
        <v/>
      </c>
      <c r="T78" s="4">
        <f>P78-R78+Q78-S78</f>
        <v/>
      </c>
    </row>
    <row r="79">
      <c r="A79" s="2" t="inlineStr">
        <is>
          <t>Plata</t>
        </is>
      </c>
      <c r="B79" s="2" t="inlineStr">
        <is>
          <t>Amarillo</t>
        </is>
      </c>
      <c r="C79" s="3" t="n">
        <v>46025</v>
      </c>
      <c r="D79" s="2" t="inlineStr">
        <is>
          <t>A17681165</t>
        </is>
      </c>
      <c r="E79" s="2" t="inlineStr">
        <is>
          <t>Bioestimulantes Dorados S.A.</t>
        </is>
      </c>
      <c r="F79" s="2" t="n">
        <v>1674954</v>
      </c>
      <c r="G79" s="4" t="n">
        <v>400.18</v>
      </c>
      <c r="H79" s="3" t="n">
        <v>46008</v>
      </c>
      <c r="I79" s="3" t="n">
        <v>46066</v>
      </c>
      <c r="J79" s="2" t="n">
        <v>75</v>
      </c>
      <c r="K79" s="2" t="n">
        <v>4.49</v>
      </c>
      <c r="L79" s="2" t="n">
        <v>2.16</v>
      </c>
      <c r="M79" s="4" t="n">
        <v>8.640000000000001</v>
      </c>
      <c r="N79" s="4" t="n">
        <v>3.74</v>
      </c>
      <c r="O79" s="2" t="n">
        <v>40</v>
      </c>
      <c r="P79" s="4" t="n">
        <v>3.42</v>
      </c>
      <c r="Q79" s="4" t="n">
        <v>1.62</v>
      </c>
      <c r="R79" s="4">
        <f>G79*(L79/100)*(O79/100)</f>
        <v/>
      </c>
      <c r="S79" s="4">
        <f>G79*(K79/360/100)*J79*(O79/100)</f>
        <v/>
      </c>
      <c r="T79" s="4">
        <f>P79-R79+Q79-S79</f>
        <v/>
      </c>
    </row>
    <row r="80">
      <c r="A80" s="2" t="inlineStr">
        <is>
          <t>Plata</t>
        </is>
      </c>
      <c r="B80" s="2" t="inlineStr">
        <is>
          <t>Amarillo</t>
        </is>
      </c>
      <c r="C80" s="3" t="n">
        <v>46025</v>
      </c>
      <c r="D80" s="2" t="inlineStr">
        <is>
          <t>A21718784</t>
        </is>
      </c>
      <c r="E80" s="2" t="inlineStr">
        <is>
          <t>Chapas Contemporáneos S.A.</t>
        </is>
      </c>
      <c r="F80" s="2" t="n">
        <v>4025054</v>
      </c>
      <c r="G80" s="4" t="n">
        <v>261.85</v>
      </c>
      <c r="H80" s="3" t="n">
        <v>46017</v>
      </c>
      <c r="I80" s="3" t="n">
        <v>46024</v>
      </c>
      <c r="J80" s="2" t="n">
        <v>34</v>
      </c>
      <c r="K80" s="2" t="n">
        <v>1.81</v>
      </c>
      <c r="L80" s="2" t="n">
        <v>1.7</v>
      </c>
      <c r="M80" s="4" t="n">
        <v>4.45</v>
      </c>
      <c r="N80" s="4" t="n">
        <v>0.45</v>
      </c>
      <c r="O80" s="2" t="n">
        <v>40</v>
      </c>
      <c r="P80" s="4" t="n">
        <v>1.49</v>
      </c>
      <c r="Q80" s="4" t="n">
        <v>0.14</v>
      </c>
      <c r="R80" s="4">
        <f>G80*(L80/100)*(O80/100)</f>
        <v/>
      </c>
      <c r="S80" s="4">
        <f>G80*(K80/360/100)*J80*(O80/100)</f>
        <v/>
      </c>
      <c r="T80" s="4">
        <f>P80-R80+Q80-S80</f>
        <v/>
      </c>
    </row>
    <row r="81">
      <c r="A81" s="2" t="inlineStr">
        <is>
          <t>Plata</t>
        </is>
      </c>
      <c r="B81" s="2" t="inlineStr">
        <is>
          <t>Amarillo</t>
        </is>
      </c>
      <c r="C81" s="3" t="n">
        <v>46025</v>
      </c>
      <c r="D81" s="2" t="inlineStr">
        <is>
          <t>A21718784</t>
        </is>
      </c>
      <c r="E81" s="2" t="inlineStr">
        <is>
          <t>Chapas Contemporáneos S.A.</t>
        </is>
      </c>
      <c r="F81" s="2" t="n">
        <v>1456997</v>
      </c>
      <c r="G81" s="4" t="n">
        <v>831.3099999999999</v>
      </c>
      <c r="H81" s="3" t="n">
        <v>45996</v>
      </c>
      <c r="I81" s="3" t="n">
        <v>46067</v>
      </c>
      <c r="J81" s="2" t="n">
        <v>61</v>
      </c>
      <c r="K81" s="2" t="n">
        <v>2.62</v>
      </c>
      <c r="L81" s="2" t="n">
        <v>2.11</v>
      </c>
      <c r="M81" s="4" t="n">
        <v>17.54</v>
      </c>
      <c r="N81" s="4" t="n">
        <v>3.69</v>
      </c>
      <c r="O81" s="2" t="n">
        <v>40</v>
      </c>
      <c r="P81" s="4" t="n">
        <v>7.16</v>
      </c>
      <c r="Q81" s="4" t="n">
        <v>1.41</v>
      </c>
      <c r="R81" s="4">
        <f>G81*(L81/100)*(O81/100)</f>
        <v/>
      </c>
      <c r="S81" s="4">
        <f>G81*(K81/360/100)*J81*(O81/100)</f>
        <v/>
      </c>
      <c r="T81" s="4">
        <f>P81-R81+Q81-S81</f>
        <v/>
      </c>
    </row>
    <row r="82">
      <c r="A82" s="2" t="inlineStr">
        <is>
          <t>Plata</t>
        </is>
      </c>
      <c r="B82" s="2" t="inlineStr">
        <is>
          <t>Amarillo</t>
        </is>
      </c>
      <c r="C82" s="3" t="n">
        <v>46025</v>
      </c>
      <c r="D82" s="2" t="inlineStr">
        <is>
          <t>A21718784</t>
        </is>
      </c>
      <c r="E82" s="2" t="inlineStr">
        <is>
          <t>Chapas Contemporáneos S.A.</t>
        </is>
      </c>
      <c r="F82" s="2" t="n">
        <v>3788973</v>
      </c>
      <c r="G82" s="4" t="n">
        <v>243.28</v>
      </c>
      <c r="H82" s="3" t="n">
        <v>46008</v>
      </c>
      <c r="I82" s="3" t="n">
        <v>46030</v>
      </c>
      <c r="J82" s="2" t="n">
        <v>73</v>
      </c>
      <c r="K82" s="2" t="n">
        <v>2.9</v>
      </c>
      <c r="L82" s="2" t="n">
        <v>2.22</v>
      </c>
      <c r="M82" s="4" t="n">
        <v>5.4</v>
      </c>
      <c r="N82" s="4" t="n">
        <v>1.43</v>
      </c>
      <c r="O82" s="2" t="n">
        <v>60</v>
      </c>
      <c r="P82" s="4" t="n">
        <v>3.25</v>
      </c>
      <c r="Q82" s="4" t="n">
        <v>1.08</v>
      </c>
      <c r="R82" s="4">
        <f>G82*(L82/100)*(O82/100)</f>
        <v/>
      </c>
      <c r="S82" s="4">
        <f>G82*(K82/360/100)*J82*(O82/100)</f>
        <v/>
      </c>
      <c r="T82" s="4">
        <f>P82-R82+Q82-S82</f>
        <v/>
      </c>
    </row>
    <row r="83">
      <c r="A83" s="2" t="inlineStr">
        <is>
          <t>Plata</t>
        </is>
      </c>
      <c r="B83" s="2" t="inlineStr">
        <is>
          <t>Amarillo</t>
        </is>
      </c>
      <c r="C83" s="3" t="n">
        <v>46025</v>
      </c>
      <c r="D83" s="2" t="inlineStr">
        <is>
          <t>A14584485</t>
        </is>
      </c>
      <c r="E83" s="2" t="inlineStr">
        <is>
          <t>Redes Innovadores S.A.</t>
        </is>
      </c>
      <c r="F83" s="2" t="n">
        <v>4739923</v>
      </c>
      <c r="G83" s="4" t="n">
        <v>757.47</v>
      </c>
      <c r="H83" s="3" t="n">
        <v>46014</v>
      </c>
      <c r="I83" s="3" t="n">
        <v>46077</v>
      </c>
      <c r="J83" s="2" t="n">
        <v>28</v>
      </c>
      <c r="K83" s="2" t="n">
        <v>3.67</v>
      </c>
      <c r="L83" s="2" t="n">
        <v>1.72</v>
      </c>
      <c r="M83" s="4" t="n">
        <v>13.03</v>
      </c>
      <c r="N83" s="4" t="n">
        <v>2.16</v>
      </c>
      <c r="O83" s="2" t="n">
        <v>70</v>
      </c>
      <c r="P83" s="4" t="n">
        <v>9.359999999999999</v>
      </c>
      <c r="Q83" s="4" t="n">
        <v>1.74</v>
      </c>
      <c r="R83" s="4">
        <f>G83*(L83/100)*(O83/100)</f>
        <v/>
      </c>
      <c r="S83" s="4">
        <f>G83*(K83/360/100)*J83*(O83/100)</f>
        <v/>
      </c>
      <c r="T83" s="4">
        <f>P83-R83+Q83-S83</f>
        <v/>
      </c>
    </row>
    <row r="84">
      <c r="A84" s="2" t="inlineStr">
        <is>
          <t>Plata</t>
        </is>
      </c>
      <c r="B84" s="2" t="inlineStr">
        <is>
          <t>Amarillo</t>
        </is>
      </c>
      <c r="C84" s="3" t="n">
        <v>46025</v>
      </c>
      <c r="D84" s="2" t="inlineStr">
        <is>
          <t>A14584485</t>
        </is>
      </c>
      <c r="E84" s="2" t="inlineStr">
        <is>
          <t>Redes Innovadores S.A.</t>
        </is>
      </c>
      <c r="F84" s="2" t="n">
        <v>4486891</v>
      </c>
      <c r="G84" s="4" t="n">
        <v>653.83</v>
      </c>
      <c r="H84" s="3" t="n">
        <v>46008</v>
      </c>
      <c r="I84" s="3" t="n">
        <v>46034</v>
      </c>
      <c r="J84" s="2" t="n">
        <v>29</v>
      </c>
      <c r="K84" s="2" t="n">
        <v>3.63</v>
      </c>
      <c r="L84" s="2" t="n">
        <v>1.19</v>
      </c>
      <c r="M84" s="4" t="n">
        <v>7.78</v>
      </c>
      <c r="N84" s="4" t="n">
        <v>1.91</v>
      </c>
      <c r="O84" s="2" t="n">
        <v>30</v>
      </c>
      <c r="P84" s="4" t="n">
        <v>2.62</v>
      </c>
      <c r="Q84" s="4" t="n">
        <v>0.59</v>
      </c>
      <c r="R84" s="4">
        <f>G84*(L84/100)*(O84/100)</f>
        <v/>
      </c>
      <c r="S84" s="4">
        <f>G84*(K84/360/100)*J84*(O84/100)</f>
        <v/>
      </c>
      <c r="T84" s="4">
        <f>P84-R84+Q84-S84</f>
        <v/>
      </c>
    </row>
    <row r="85">
      <c r="A85" s="2" t="inlineStr">
        <is>
          <t>Plata</t>
        </is>
      </c>
      <c r="B85" s="2" t="inlineStr">
        <is>
          <t>Amarillo</t>
        </is>
      </c>
      <c r="C85" s="3" t="n">
        <v>46025</v>
      </c>
      <c r="D85" s="2" t="inlineStr">
        <is>
          <t>A14584485</t>
        </is>
      </c>
      <c r="E85" s="2" t="inlineStr">
        <is>
          <t>Redes Innovadores S.A.</t>
        </is>
      </c>
      <c r="F85" s="2" t="n">
        <v>3153176</v>
      </c>
      <c r="G85" s="4" t="n">
        <v>233.49</v>
      </c>
      <c r="H85" s="3" t="n">
        <v>46000</v>
      </c>
      <c r="I85" s="3" t="n">
        <v>46058</v>
      </c>
      <c r="J85" s="2" t="n">
        <v>61</v>
      </c>
      <c r="K85" s="2" t="n">
        <v>1.69</v>
      </c>
      <c r="L85" s="2" t="n">
        <v>2.31</v>
      </c>
      <c r="M85" s="4" t="n">
        <v>5.39</v>
      </c>
      <c r="N85" s="4" t="n">
        <v>0.67</v>
      </c>
      <c r="O85" s="2" t="n">
        <v>70</v>
      </c>
      <c r="P85" s="4" t="n">
        <v>4</v>
      </c>
      <c r="Q85" s="4" t="n">
        <v>0.55</v>
      </c>
      <c r="R85" s="4">
        <f>G85*(L85/100)*(O85/100)</f>
        <v/>
      </c>
      <c r="S85" s="4">
        <f>G85*(K85/360/100)*J85*(O85/100)</f>
        <v/>
      </c>
      <c r="T85" s="4">
        <f>P85-R85+Q85-S85</f>
        <v/>
      </c>
    </row>
    <row r="86">
      <c r="A86" s="2" t="inlineStr">
        <is>
          <t>Plata</t>
        </is>
      </c>
      <c r="B86" s="2" t="inlineStr">
        <is>
          <t>Amarillo</t>
        </is>
      </c>
      <c r="C86" s="3" t="n">
        <v>46025</v>
      </c>
      <c r="D86" s="2" t="inlineStr">
        <is>
          <t>B50149591</t>
        </is>
      </c>
      <c r="E86" s="2" t="inlineStr">
        <is>
          <t>Pizarras Dorados S.L.</t>
        </is>
      </c>
      <c r="F86" s="2" t="n">
        <v>2958400</v>
      </c>
      <c r="G86" s="4" t="n">
        <v>658.5</v>
      </c>
      <c r="H86" s="3" t="n">
        <v>46016</v>
      </c>
      <c r="I86" s="3" t="n">
        <v>46045</v>
      </c>
      <c r="J86" s="2" t="n">
        <v>45</v>
      </c>
      <c r="K86" s="2" t="n">
        <v>4.34</v>
      </c>
      <c r="L86" s="2" t="n">
        <v>1.37</v>
      </c>
      <c r="M86" s="4" t="n">
        <v>9.02</v>
      </c>
      <c r="N86" s="4" t="n">
        <v>3.57</v>
      </c>
      <c r="O86" s="2" t="n">
        <v>40</v>
      </c>
      <c r="P86" s="4" t="n">
        <v>3.53</v>
      </c>
      <c r="Q86" s="4" t="n">
        <v>1.13</v>
      </c>
      <c r="R86" s="4">
        <f>G86*(L86/100)*(O86/100)</f>
        <v/>
      </c>
      <c r="S86" s="4">
        <f>G86*(K86/360/100)*J86*(O86/100)</f>
        <v/>
      </c>
      <c r="T86" s="4">
        <f>P86-R86+Q86-S86</f>
        <v/>
      </c>
    </row>
    <row r="87">
      <c r="A87" s="2" t="inlineStr">
        <is>
          <t>Plata</t>
        </is>
      </c>
      <c r="B87" s="2" t="inlineStr">
        <is>
          <t>Amarillo</t>
        </is>
      </c>
      <c r="C87" s="3" t="n">
        <v>46025</v>
      </c>
      <c r="D87" s="2" t="inlineStr">
        <is>
          <t>B50149591</t>
        </is>
      </c>
      <c r="E87" s="2" t="inlineStr">
        <is>
          <t>Pizarras Dorados S.L.</t>
        </is>
      </c>
      <c r="F87" s="2" t="n">
        <v>4636933</v>
      </c>
      <c r="G87" s="4" t="n">
        <v>2881.78</v>
      </c>
      <c r="H87" s="3" t="n">
        <v>46006</v>
      </c>
      <c r="I87" s="3" t="n">
        <v>46044</v>
      </c>
      <c r="J87" s="2" t="n">
        <v>67</v>
      </c>
      <c r="K87" s="2" t="n">
        <v>2.22</v>
      </c>
      <c r="L87" s="2" t="n">
        <v>1.61</v>
      </c>
      <c r="M87" s="4" t="n">
        <v>46.4</v>
      </c>
      <c r="N87" s="4" t="n">
        <v>11.91</v>
      </c>
      <c r="O87" s="2" t="n">
        <v>60</v>
      </c>
      <c r="P87" s="4" t="n">
        <v>27.78</v>
      </c>
      <c r="Q87" s="4" t="n">
        <v>7.31</v>
      </c>
      <c r="R87" s="4">
        <f>G87*(L87/100)*(O87/100)</f>
        <v/>
      </c>
      <c r="S87" s="4">
        <f>G87*(K87/360/100)*J87*(O87/100)</f>
        <v/>
      </c>
      <c r="T87" s="4">
        <f>P87-R87+Q87-S87</f>
        <v/>
      </c>
    </row>
    <row r="88">
      <c r="A88" s="2" t="inlineStr">
        <is>
          <t>Plata</t>
        </is>
      </c>
      <c r="B88" s="2" t="inlineStr">
        <is>
          <t>Amarillo</t>
        </is>
      </c>
      <c r="C88" s="3" t="n">
        <v>46025</v>
      </c>
      <c r="D88" s="2" t="inlineStr">
        <is>
          <t>B50149591</t>
        </is>
      </c>
      <c r="E88" s="2" t="inlineStr">
        <is>
          <t>Pizarras Dorados S.L.</t>
        </is>
      </c>
      <c r="F88" s="2" t="n">
        <v>1980528</v>
      </c>
      <c r="G88" s="4" t="n">
        <v>810.11</v>
      </c>
      <c r="H88" s="3" t="n">
        <v>46004</v>
      </c>
      <c r="I88" s="3" t="n">
        <v>46030</v>
      </c>
      <c r="J88" s="2" t="n">
        <v>42</v>
      </c>
      <c r="K88" s="2" t="n">
        <v>2.83</v>
      </c>
      <c r="L88" s="2" t="n">
        <v>2.2</v>
      </c>
      <c r="M88" s="4" t="n">
        <v>17.82</v>
      </c>
      <c r="N88" s="4" t="n">
        <v>2.67</v>
      </c>
      <c r="O88" s="2" t="n">
        <v>50</v>
      </c>
      <c r="P88" s="4" t="n">
        <v>8.800000000000001</v>
      </c>
      <c r="Q88" s="4" t="n">
        <v>1.32</v>
      </c>
      <c r="R88" s="4">
        <f>G88*(L88/100)*(O88/100)</f>
        <v/>
      </c>
      <c r="S88" s="4">
        <f>G88*(K88/360/100)*J88*(O88/100)</f>
        <v/>
      </c>
      <c r="T88" s="4">
        <f>P88-R88+Q88-S88</f>
        <v/>
      </c>
    </row>
    <row r="89">
      <c r="A89" s="2" t="inlineStr">
        <is>
          <t>Plata</t>
        </is>
      </c>
      <c r="B89" s="2" t="inlineStr">
        <is>
          <t>Amarillo</t>
        </is>
      </c>
      <c r="C89" s="3" t="n">
        <v>46025</v>
      </c>
      <c r="D89" s="2" t="inlineStr">
        <is>
          <t>B28229259</t>
        </is>
      </c>
      <c r="E89" s="2" t="inlineStr">
        <is>
          <t>Volquetes Sectoriales S.L.</t>
        </is>
      </c>
      <c r="F89" s="2" t="n">
        <v>2832918</v>
      </c>
      <c r="G89" s="4" t="n">
        <v>9489.459999999999</v>
      </c>
      <c r="H89" s="3" t="n">
        <v>46007</v>
      </c>
      <c r="I89" s="3" t="n">
        <v>46095</v>
      </c>
      <c r="J89" s="2" t="n">
        <v>74</v>
      </c>
      <c r="K89" s="2" t="n">
        <v>4.7</v>
      </c>
      <c r="L89" s="2" t="n">
        <v>0.99</v>
      </c>
      <c r="M89" s="4" t="n">
        <v>93.95</v>
      </c>
      <c r="N89" s="4" t="n">
        <v>91.68000000000001</v>
      </c>
      <c r="O89" s="2" t="n">
        <v>70</v>
      </c>
      <c r="P89" s="4" t="n">
        <v>66.01000000000001</v>
      </c>
      <c r="Q89" s="4" t="n">
        <v>64.01000000000001</v>
      </c>
      <c r="R89" s="4">
        <f>G89*(L89/100)*(O89/100)</f>
        <v/>
      </c>
      <c r="S89" s="4">
        <f>G89*(K89/360/100)*J89*(O89/100)</f>
        <v/>
      </c>
      <c r="T89" s="4">
        <f>P89-R89+Q89-S89</f>
        <v/>
      </c>
    </row>
    <row r="90">
      <c r="A90" s="2" t="inlineStr">
        <is>
          <t>Plata</t>
        </is>
      </c>
      <c r="B90" s="2" t="inlineStr">
        <is>
          <t>Amarillo</t>
        </is>
      </c>
      <c r="C90" s="3" t="n">
        <v>46025</v>
      </c>
      <c r="D90" s="2" t="inlineStr">
        <is>
          <t>B28229259</t>
        </is>
      </c>
      <c r="E90" s="2" t="inlineStr">
        <is>
          <t>Volquetes Sectoriales S.L.</t>
        </is>
      </c>
      <c r="F90" s="2" t="n">
        <v>3705819</v>
      </c>
      <c r="G90" s="4" t="n">
        <v>717.55</v>
      </c>
      <c r="H90" s="3" t="n">
        <v>46018</v>
      </c>
      <c r="I90" s="3" t="n">
        <v>46067</v>
      </c>
      <c r="J90" s="2" t="n">
        <v>37</v>
      </c>
      <c r="K90" s="2" t="n">
        <v>4.73</v>
      </c>
      <c r="L90" s="2" t="n">
        <v>1.62</v>
      </c>
      <c r="M90" s="4" t="n">
        <v>11.62</v>
      </c>
      <c r="N90" s="4" t="n">
        <v>3.49</v>
      </c>
      <c r="O90" s="2" t="n">
        <v>60</v>
      </c>
      <c r="P90" s="4" t="n">
        <v>7.27</v>
      </c>
      <c r="Q90" s="4" t="n">
        <v>2.02</v>
      </c>
      <c r="R90" s="4">
        <f>G90*(L90/100)*(O90/100)</f>
        <v/>
      </c>
      <c r="S90" s="4">
        <f>G90*(K90/360/100)*J90*(O90/100)</f>
        <v/>
      </c>
      <c r="T90" s="4">
        <f>P90-R90+Q90-S90</f>
        <v/>
      </c>
    </row>
    <row r="91">
      <c r="A91" s="2" t="inlineStr">
        <is>
          <t>Plata</t>
        </is>
      </c>
      <c r="B91" s="2" t="inlineStr">
        <is>
          <t>Amarillo</t>
        </is>
      </c>
      <c r="C91" s="3" t="n">
        <v>46025</v>
      </c>
      <c r="D91" s="2" t="inlineStr">
        <is>
          <t>B28229259</t>
        </is>
      </c>
      <c r="E91" s="2" t="inlineStr">
        <is>
          <t>Volquetes Sectoriales S.L.</t>
        </is>
      </c>
      <c r="F91" s="2" t="n">
        <v>1654398</v>
      </c>
      <c r="G91" s="4" t="n">
        <v>460.64</v>
      </c>
      <c r="H91" s="3" t="n">
        <v>46012</v>
      </c>
      <c r="I91" s="3" t="n">
        <v>46101</v>
      </c>
      <c r="J91" s="2" t="n">
        <v>30</v>
      </c>
      <c r="K91" s="2" t="n">
        <v>3.44</v>
      </c>
      <c r="L91" s="2" t="n">
        <v>1.74</v>
      </c>
      <c r="M91" s="4" t="n">
        <v>8.02</v>
      </c>
      <c r="N91" s="4" t="n">
        <v>1.32</v>
      </c>
      <c r="O91" s="2" t="n">
        <v>50</v>
      </c>
      <c r="P91" s="4" t="n">
        <v>4.05</v>
      </c>
      <c r="Q91" s="4" t="n">
        <v>0.43</v>
      </c>
      <c r="R91" s="4">
        <f>G91*(L91/100)*(O91/100)</f>
        <v/>
      </c>
      <c r="S91" s="4">
        <f>G91*(K91/360/100)*J91*(O91/100)</f>
        <v/>
      </c>
      <c r="T91" s="4">
        <f>P91-R91+Q91-S91</f>
        <v/>
      </c>
    </row>
    <row r="92">
      <c r="A92" s="2" t="inlineStr">
        <is>
          <t>Plata</t>
        </is>
      </c>
      <c r="B92" s="2" t="inlineStr">
        <is>
          <t>Amarillo</t>
        </is>
      </c>
      <c r="C92" s="3" t="n">
        <v>46025</v>
      </c>
      <c r="D92" s="2" t="inlineStr">
        <is>
          <t>A60138115</t>
        </is>
      </c>
      <c r="E92" s="2" t="inlineStr">
        <is>
          <t>Colorantes Sistemáticos S.A.</t>
        </is>
      </c>
      <c r="F92" s="2" t="n">
        <v>4832882</v>
      </c>
      <c r="G92" s="4" t="n">
        <v>742.9</v>
      </c>
      <c r="H92" s="3" t="n">
        <v>45995</v>
      </c>
      <c r="I92" s="3" t="n">
        <v>46040</v>
      </c>
      <c r="J92" s="2" t="n">
        <v>25</v>
      </c>
      <c r="K92" s="2" t="n">
        <v>3.8</v>
      </c>
      <c r="L92" s="2" t="n">
        <v>1.22</v>
      </c>
      <c r="M92" s="4" t="n">
        <v>9.06</v>
      </c>
      <c r="N92" s="4" t="n">
        <v>1.96</v>
      </c>
      <c r="O92" s="2" t="n">
        <v>50</v>
      </c>
      <c r="P92" s="4" t="n">
        <v>4.72</v>
      </c>
      <c r="Q92" s="4" t="n">
        <v>0.73</v>
      </c>
      <c r="R92" s="4">
        <f>G92*(L92/100)*(O92/100)</f>
        <v/>
      </c>
      <c r="S92" s="4">
        <f>G92*(K92/360/100)*J92*(O92/100)</f>
        <v/>
      </c>
      <c r="T92" s="4">
        <f>P92-R92+Q92-S92</f>
        <v/>
      </c>
    </row>
    <row r="93">
      <c r="A93" s="2" t="inlineStr">
        <is>
          <t>Plata</t>
        </is>
      </c>
      <c r="B93" s="2" t="inlineStr">
        <is>
          <t>Amarillo</t>
        </is>
      </c>
      <c r="C93" s="3" t="n">
        <v>46025</v>
      </c>
      <c r="D93" s="2" t="inlineStr">
        <is>
          <t>A60138115</t>
        </is>
      </c>
      <c r="E93" s="2" t="inlineStr">
        <is>
          <t>Colorantes Sistemáticos S.A.</t>
        </is>
      </c>
      <c r="F93" s="2" t="n">
        <v>2947341</v>
      </c>
      <c r="G93" s="4" t="n">
        <v>3481.25</v>
      </c>
      <c r="H93" s="3" t="n">
        <v>46017</v>
      </c>
      <c r="I93" s="3" t="n">
        <v>46079</v>
      </c>
      <c r="J93" s="2" t="n">
        <v>57</v>
      </c>
      <c r="K93" s="2" t="n">
        <v>3.22</v>
      </c>
      <c r="L93" s="2" t="n">
        <v>2.26</v>
      </c>
      <c r="M93" s="4" t="n">
        <v>78.68000000000001</v>
      </c>
      <c r="N93" s="4" t="n">
        <v>17.75</v>
      </c>
      <c r="O93" s="2" t="n">
        <v>70</v>
      </c>
      <c r="P93" s="4" t="n">
        <v>54.99</v>
      </c>
      <c r="Q93" s="4" t="n">
        <v>12.32</v>
      </c>
      <c r="R93" s="4">
        <f>G93*(L93/100)*(O93/100)</f>
        <v/>
      </c>
      <c r="S93" s="4">
        <f>G93*(K93/360/100)*J93*(O93/100)</f>
        <v/>
      </c>
      <c r="T93" s="4">
        <f>P93-R93+Q93-S93</f>
        <v/>
      </c>
    </row>
    <row r="94">
      <c r="A94" s="2" t="inlineStr">
        <is>
          <t>Plata</t>
        </is>
      </c>
      <c r="B94" s="2" t="inlineStr">
        <is>
          <t>Amarillo</t>
        </is>
      </c>
      <c r="C94" s="3" t="n">
        <v>46025</v>
      </c>
      <c r="D94" s="2" t="inlineStr">
        <is>
          <t>A60138115</t>
        </is>
      </c>
      <c r="E94" s="2" t="inlineStr">
        <is>
          <t>Colorantes Sistemáticos S.A.</t>
        </is>
      </c>
      <c r="F94" s="2" t="n">
        <v>1295528</v>
      </c>
      <c r="G94" s="4" t="n">
        <v>956.88</v>
      </c>
      <c r="H94" s="3" t="n">
        <v>46015</v>
      </c>
      <c r="I94" s="3" t="n">
        <v>46055</v>
      </c>
      <c r="J94" s="2" t="n">
        <v>28</v>
      </c>
      <c r="K94" s="2" t="n">
        <v>4.9</v>
      </c>
      <c r="L94" s="2" t="n">
        <v>1.8</v>
      </c>
      <c r="M94" s="4" t="n">
        <v>17.22</v>
      </c>
      <c r="N94" s="4" t="n">
        <v>3.65</v>
      </c>
      <c r="O94" s="2" t="n">
        <v>50</v>
      </c>
      <c r="P94" s="4" t="n">
        <v>8.390000000000001</v>
      </c>
      <c r="Q94" s="4" t="n">
        <v>1.71</v>
      </c>
      <c r="R94" s="4">
        <f>G94*(L94/100)*(O94/100)</f>
        <v/>
      </c>
      <c r="S94" s="4">
        <f>G94*(K94/360/100)*J94*(O94/100)</f>
        <v/>
      </c>
      <c r="T94" s="4">
        <f>P94-R94+Q94-S94</f>
        <v/>
      </c>
    </row>
    <row r="95">
      <c r="A95" s="2" t="inlineStr">
        <is>
          <t>Plata</t>
        </is>
      </c>
      <c r="B95" s="2" t="inlineStr">
        <is>
          <t>Amarillo</t>
        </is>
      </c>
      <c r="C95" s="3" t="n">
        <v>46025</v>
      </c>
      <c r="D95" s="2" t="inlineStr">
        <is>
          <t>A60138115</t>
        </is>
      </c>
      <c r="E95" s="2" t="inlineStr">
        <is>
          <t>Colorantes Sistemáticos S.A.</t>
        </is>
      </c>
      <c r="F95" s="2" t="n">
        <v>2398763</v>
      </c>
      <c r="G95" s="4" t="n">
        <v>177.14</v>
      </c>
      <c r="H95" s="3" t="n">
        <v>45999</v>
      </c>
      <c r="I95" s="3" t="n">
        <v>46095</v>
      </c>
      <c r="J95" s="2" t="n">
        <v>47</v>
      </c>
      <c r="K95" s="2" t="n">
        <v>1.58</v>
      </c>
      <c r="L95" s="2" t="n">
        <v>1.92</v>
      </c>
      <c r="M95" s="4" t="n">
        <v>3.4</v>
      </c>
      <c r="N95" s="4" t="n">
        <v>0.37</v>
      </c>
      <c r="O95" s="2" t="n">
        <v>30</v>
      </c>
      <c r="P95" s="4" t="n">
        <v>1.11</v>
      </c>
      <c r="Q95" s="4" t="n">
        <v>0.21</v>
      </c>
      <c r="R95" s="4">
        <f>G95*(L95/100)*(O95/100)</f>
        <v/>
      </c>
      <c r="S95" s="4">
        <f>G95*(K95/360/100)*J95*(O95/100)</f>
        <v/>
      </c>
      <c r="T95" s="4">
        <f>P95-R95+Q95-S95</f>
        <v/>
      </c>
    </row>
    <row r="96">
      <c r="A96" s="2" t="inlineStr">
        <is>
          <t>Plata</t>
        </is>
      </c>
      <c r="B96" s="2" t="inlineStr">
        <is>
          <t>Amarillo</t>
        </is>
      </c>
      <c r="C96" s="3" t="n">
        <v>46025</v>
      </c>
      <c r="D96" s="2" t="inlineStr">
        <is>
          <t>A68843027</t>
        </is>
      </c>
      <c r="E96" s="2" t="inlineStr">
        <is>
          <t>Tarimas Galvanizados S.A.</t>
        </is>
      </c>
      <c r="F96" s="2" t="n">
        <v>4425962</v>
      </c>
      <c r="G96" s="4" t="n">
        <v>3242.81</v>
      </c>
      <c r="H96" s="3" t="n">
        <v>46014</v>
      </c>
      <c r="I96" s="3" t="n">
        <v>46093</v>
      </c>
      <c r="J96" s="2" t="n">
        <v>57</v>
      </c>
      <c r="K96" s="2" t="n">
        <v>4.54</v>
      </c>
      <c r="L96" s="2" t="n">
        <v>0.58</v>
      </c>
      <c r="M96" s="4" t="n">
        <v>18.81</v>
      </c>
      <c r="N96" s="4" t="n">
        <v>23.31</v>
      </c>
      <c r="O96" s="2" t="n">
        <v>50</v>
      </c>
      <c r="P96" s="4" t="n">
        <v>9.199999999999999</v>
      </c>
      <c r="Q96" s="4" t="n">
        <v>11.82</v>
      </c>
      <c r="R96" s="4">
        <f>G96*(L96/100)*(O96/100)</f>
        <v/>
      </c>
      <c r="S96" s="4">
        <f>G96*(K96/360/100)*J96*(O96/100)</f>
        <v/>
      </c>
      <c r="T96" s="4">
        <f>P96-R96+Q96-S96</f>
        <v/>
      </c>
    </row>
    <row r="97">
      <c r="A97" s="2" t="inlineStr">
        <is>
          <t>Plata</t>
        </is>
      </c>
      <c r="B97" s="2" t="inlineStr">
        <is>
          <t>Amarillo</t>
        </is>
      </c>
      <c r="C97" s="3" t="n">
        <v>46025</v>
      </c>
      <c r="D97" s="2" t="inlineStr">
        <is>
          <t>A68843027</t>
        </is>
      </c>
      <c r="E97" s="2" t="inlineStr">
        <is>
          <t>Tarimas Galvanizados S.A.</t>
        </is>
      </c>
      <c r="F97" s="2" t="n">
        <v>2176949</v>
      </c>
      <c r="G97" s="4" t="n">
        <v>5023.07</v>
      </c>
      <c r="H97" s="3" t="n">
        <v>45993</v>
      </c>
      <c r="I97" s="3" t="n">
        <v>46079</v>
      </c>
      <c r="J97" s="2" t="n">
        <v>66</v>
      </c>
      <c r="K97" s="2" t="n">
        <v>3.03</v>
      </c>
      <c r="L97" s="2" t="n">
        <v>1.14</v>
      </c>
      <c r="M97" s="4" t="n">
        <v>57.26</v>
      </c>
      <c r="N97" s="4" t="n">
        <v>27.9</v>
      </c>
      <c r="O97" s="2" t="n">
        <v>60</v>
      </c>
      <c r="P97" s="4" t="n">
        <v>34.19</v>
      </c>
      <c r="Q97" s="4" t="n">
        <v>16.88</v>
      </c>
      <c r="R97" s="4">
        <f>G97*(L97/100)*(O97/100)</f>
        <v/>
      </c>
      <c r="S97" s="4">
        <f>G97*(K97/360/100)*J97*(O97/100)</f>
        <v/>
      </c>
      <c r="T97" s="4">
        <f>P97-R97+Q97-S97</f>
        <v/>
      </c>
    </row>
    <row r="98">
      <c r="A98" s="2" t="inlineStr">
        <is>
          <t>Plata</t>
        </is>
      </c>
      <c r="B98" s="2" t="inlineStr">
        <is>
          <t>Amarillo</t>
        </is>
      </c>
      <c r="C98" s="3" t="n">
        <v>46025</v>
      </c>
      <c r="D98" s="2" t="inlineStr">
        <is>
          <t>A68843027</t>
        </is>
      </c>
      <c r="E98" s="2" t="inlineStr">
        <is>
          <t>Tarimas Galvanizados S.A.</t>
        </is>
      </c>
      <c r="F98" s="2" t="n">
        <v>3145475</v>
      </c>
      <c r="G98" s="4" t="n">
        <v>5903.83</v>
      </c>
      <c r="H98" s="3" t="n">
        <v>46008</v>
      </c>
      <c r="I98" s="3" t="n">
        <v>46102</v>
      </c>
      <c r="J98" s="2" t="n">
        <v>51</v>
      </c>
      <c r="K98" s="2" t="n">
        <v>2.98</v>
      </c>
      <c r="L98" s="2" t="n">
        <v>1.83</v>
      </c>
      <c r="M98" s="4" t="n">
        <v>108.04</v>
      </c>
      <c r="N98" s="4" t="n">
        <v>24.92</v>
      </c>
      <c r="O98" s="2" t="n">
        <v>60</v>
      </c>
      <c r="P98" s="4" t="n">
        <v>64.54000000000001</v>
      </c>
      <c r="Q98" s="4" t="n">
        <v>15.09</v>
      </c>
      <c r="R98" s="4">
        <f>G98*(L98/100)*(O98/100)</f>
        <v/>
      </c>
      <c r="S98" s="4">
        <f>G98*(K98/360/100)*J98*(O98/100)</f>
        <v/>
      </c>
      <c r="T98" s="4">
        <f>P98-R98+Q98-S98</f>
        <v/>
      </c>
    </row>
    <row r="99">
      <c r="A99" s="2" t="inlineStr">
        <is>
          <t>Plata</t>
        </is>
      </c>
      <c r="B99" s="2" t="inlineStr">
        <is>
          <t>Amarillo</t>
        </is>
      </c>
      <c r="C99" s="3" t="n">
        <v>46025</v>
      </c>
      <c r="D99" s="2" t="inlineStr">
        <is>
          <t>A36686807</t>
        </is>
      </c>
      <c r="E99" s="2" t="inlineStr">
        <is>
          <t>Bioestimulantes Sólidos S.A.</t>
        </is>
      </c>
      <c r="F99" s="2" t="n">
        <v>2252812</v>
      </c>
      <c r="G99" s="4" t="n">
        <v>588.86</v>
      </c>
      <c r="H99" s="3" t="n">
        <v>46010</v>
      </c>
      <c r="I99" s="3" t="n">
        <v>46047</v>
      </c>
      <c r="J99" s="2" t="n">
        <v>64</v>
      </c>
      <c r="K99" s="2" t="n">
        <v>4.83</v>
      </c>
      <c r="L99" s="2" t="n">
        <v>0.5600000000000001</v>
      </c>
      <c r="M99" s="4" t="n">
        <v>3.3</v>
      </c>
      <c r="N99" s="4" t="n">
        <v>5.06</v>
      </c>
      <c r="O99" s="2" t="n">
        <v>40</v>
      </c>
      <c r="P99" s="4" t="n">
        <v>1.47</v>
      </c>
      <c r="Q99" s="4" t="n">
        <v>1.99</v>
      </c>
      <c r="R99" s="4">
        <f>G99*(L99/100)*(O99/100)</f>
        <v/>
      </c>
      <c r="S99" s="4">
        <f>G99*(K99/360/100)*J99*(O99/100)</f>
        <v/>
      </c>
      <c r="T99" s="4">
        <f>P99-R99+Q99-S99</f>
        <v/>
      </c>
    </row>
    <row r="100">
      <c r="A100" s="2" t="inlineStr">
        <is>
          <t>Plata</t>
        </is>
      </c>
      <c r="B100" s="2" t="inlineStr">
        <is>
          <t>Amarillo</t>
        </is>
      </c>
      <c r="C100" s="3" t="n">
        <v>46025</v>
      </c>
      <c r="D100" s="2" t="inlineStr">
        <is>
          <t>A36686807</t>
        </is>
      </c>
      <c r="E100" s="2" t="inlineStr">
        <is>
          <t>Bioestimulantes Sólidos S.A.</t>
        </is>
      </c>
      <c r="F100" s="2" t="n">
        <v>3332905</v>
      </c>
      <c r="G100" s="4" t="n">
        <v>5637.08</v>
      </c>
      <c r="H100" s="3" t="n">
        <v>46013</v>
      </c>
      <c r="I100" s="3" t="n">
        <v>46057</v>
      </c>
      <c r="J100" s="2" t="n">
        <v>21</v>
      </c>
      <c r="K100" s="2" t="n">
        <v>2.43</v>
      </c>
      <c r="L100" s="2" t="n">
        <v>2.22</v>
      </c>
      <c r="M100" s="4" t="n">
        <v>125.14</v>
      </c>
      <c r="N100" s="4" t="n">
        <v>7.99</v>
      </c>
      <c r="O100" s="2" t="n">
        <v>50</v>
      </c>
      <c r="P100" s="4" t="n">
        <v>62.64</v>
      </c>
      <c r="Q100" s="4" t="n">
        <v>3.98</v>
      </c>
      <c r="R100" s="4">
        <f>G100*(L100/100)*(O100/100)</f>
        <v/>
      </c>
      <c r="S100" s="4">
        <f>G100*(K100/360/100)*J100*(O100/100)</f>
        <v/>
      </c>
      <c r="T100" s="4">
        <f>P100-R100+Q100-S100</f>
        <v/>
      </c>
    </row>
    <row r="101">
      <c r="A101" s="2" t="inlineStr">
        <is>
          <t>Plata</t>
        </is>
      </c>
      <c r="B101" s="2" t="inlineStr">
        <is>
          <t>Amarillo</t>
        </is>
      </c>
      <c r="C101" s="3" t="n">
        <v>46025</v>
      </c>
      <c r="D101" s="2" t="inlineStr">
        <is>
          <t>B20637475</t>
        </is>
      </c>
      <c r="E101" s="2" t="inlineStr">
        <is>
          <t>Pavimentos Ampliados S.L.</t>
        </is>
      </c>
      <c r="F101" s="2" t="n">
        <v>3064344</v>
      </c>
      <c r="G101" s="4" t="n">
        <v>6831.86</v>
      </c>
      <c r="H101" s="3" t="n">
        <v>45995</v>
      </c>
      <c r="I101" s="3" t="n">
        <v>46030</v>
      </c>
      <c r="J101" s="2" t="n">
        <v>42</v>
      </c>
      <c r="K101" s="2" t="n">
        <v>2.06</v>
      </c>
      <c r="L101" s="2" t="n">
        <v>2.48</v>
      </c>
      <c r="M101" s="4" t="n">
        <v>169.43</v>
      </c>
      <c r="N101" s="4" t="n">
        <v>16.42</v>
      </c>
      <c r="O101" s="2" t="n">
        <v>30</v>
      </c>
      <c r="P101" s="4" t="n">
        <v>51</v>
      </c>
      <c r="Q101" s="4" t="n">
        <v>4.63</v>
      </c>
      <c r="R101" s="4">
        <f>G101*(L101/100)*(O101/100)</f>
        <v/>
      </c>
      <c r="S101" s="4">
        <f>G101*(K101/360/100)*J101*(O101/100)</f>
        <v/>
      </c>
      <c r="T101" s="4">
        <f>P101-R101+Q101-S101</f>
        <v/>
      </c>
    </row>
    <row r="102">
      <c r="A102" s="2" t="inlineStr">
        <is>
          <t>Plata</t>
        </is>
      </c>
      <c r="B102" s="2" t="inlineStr">
        <is>
          <t>Amarillo</t>
        </is>
      </c>
      <c r="C102" s="3" t="n">
        <v>46025</v>
      </c>
      <c r="D102" s="2" t="inlineStr">
        <is>
          <t>B20637475</t>
        </is>
      </c>
      <c r="E102" s="2" t="inlineStr">
        <is>
          <t>Pavimentos Ampliados S.L.</t>
        </is>
      </c>
      <c r="F102" s="2" t="n">
        <v>1075125</v>
      </c>
      <c r="G102" s="4" t="n">
        <v>4993.04</v>
      </c>
      <c r="H102" s="3" t="n">
        <v>46009</v>
      </c>
      <c r="I102" s="3" t="n">
        <v>46026</v>
      </c>
      <c r="J102" s="2" t="n">
        <v>61</v>
      </c>
      <c r="K102" s="2" t="n">
        <v>2.35</v>
      </c>
      <c r="L102" s="2" t="n">
        <v>1.52</v>
      </c>
      <c r="M102" s="4" t="n">
        <v>75.89</v>
      </c>
      <c r="N102" s="4" t="n">
        <v>19.88</v>
      </c>
      <c r="O102" s="2" t="n">
        <v>60</v>
      </c>
      <c r="P102" s="4" t="n">
        <v>45.46</v>
      </c>
      <c r="Q102" s="4" t="n">
        <v>12.03</v>
      </c>
      <c r="R102" s="4">
        <f>G102*(L102/100)*(O102/100)</f>
        <v/>
      </c>
      <c r="S102" s="4">
        <f>G102*(K102/360/100)*J102*(O102/100)</f>
        <v/>
      </c>
      <c r="T102" s="4">
        <f>P102-R102+Q102-S102</f>
        <v/>
      </c>
    </row>
    <row r="103">
      <c r="A103" s="2" t="inlineStr">
        <is>
          <t>Plata</t>
        </is>
      </c>
      <c r="B103" s="2" t="inlineStr">
        <is>
          <t>Amarillo</t>
        </is>
      </c>
      <c r="C103" s="3" t="n">
        <v>46025</v>
      </c>
      <c r="D103" s="2" t="inlineStr">
        <is>
          <t>B07073880</t>
        </is>
      </c>
      <c r="E103" s="2" t="inlineStr">
        <is>
          <t>Ferrosos Cibernéticos S.L.</t>
        </is>
      </c>
      <c r="F103" s="2" t="n">
        <v>2652561</v>
      </c>
      <c r="G103" s="4" t="n">
        <v>710</v>
      </c>
      <c r="H103" s="3" t="n">
        <v>46018</v>
      </c>
      <c r="I103" s="3" t="n">
        <v>46073</v>
      </c>
      <c r="J103" s="2" t="n">
        <v>37</v>
      </c>
      <c r="K103" s="2" t="n">
        <v>3.89</v>
      </c>
      <c r="L103" s="2" t="n">
        <v>0.65</v>
      </c>
      <c r="M103" s="4" t="n">
        <v>4.62</v>
      </c>
      <c r="N103" s="4" t="n">
        <v>2.84</v>
      </c>
      <c r="O103" s="2" t="n">
        <v>40</v>
      </c>
      <c r="P103" s="4" t="n">
        <v>2.04</v>
      </c>
      <c r="Q103" s="4" t="n">
        <v>1.01</v>
      </c>
      <c r="R103" s="4">
        <f>G103*(L103/100)*(O103/100)</f>
        <v/>
      </c>
      <c r="S103" s="4">
        <f>G103*(K103/360/100)*J103*(O103/100)</f>
        <v/>
      </c>
      <c r="T103" s="4">
        <f>P103-R103+Q103-S103</f>
        <v/>
      </c>
    </row>
    <row r="104">
      <c r="A104" s="2" t="inlineStr">
        <is>
          <t>Plata</t>
        </is>
      </c>
      <c r="B104" s="2" t="inlineStr">
        <is>
          <t>Amarillo</t>
        </is>
      </c>
      <c r="C104" s="3" t="n">
        <v>46025</v>
      </c>
      <c r="D104" s="2" t="inlineStr">
        <is>
          <t>B07073880</t>
        </is>
      </c>
      <c r="E104" s="2" t="inlineStr">
        <is>
          <t>Ferrosos Cibernéticos S.L.</t>
        </is>
      </c>
      <c r="F104" s="2" t="n">
        <v>3341675</v>
      </c>
      <c r="G104" s="4" t="n">
        <v>884.97</v>
      </c>
      <c r="H104" s="3" t="n">
        <v>46018</v>
      </c>
      <c r="I104" s="3" t="n">
        <v>46054</v>
      </c>
      <c r="J104" s="2" t="n">
        <v>45</v>
      </c>
      <c r="K104" s="2" t="n">
        <v>4.98</v>
      </c>
      <c r="L104" s="2" t="n">
        <v>1.68</v>
      </c>
      <c r="M104" s="4" t="n">
        <v>14.87</v>
      </c>
      <c r="N104" s="4" t="n">
        <v>5.51</v>
      </c>
      <c r="O104" s="2" t="n">
        <v>70</v>
      </c>
      <c r="P104" s="4" t="n">
        <v>10.66</v>
      </c>
      <c r="Q104" s="4" t="n">
        <v>3.8</v>
      </c>
      <c r="R104" s="4">
        <f>G104*(L104/100)*(O104/100)</f>
        <v/>
      </c>
      <c r="S104" s="4">
        <f>G104*(K104/360/100)*J104*(O104/100)</f>
        <v/>
      </c>
      <c r="T104" s="4">
        <f>P104-R104+Q104-S104</f>
        <v/>
      </c>
    </row>
    <row r="105">
      <c r="A105" s="2" t="inlineStr">
        <is>
          <t>Plata</t>
        </is>
      </c>
      <c r="B105" s="2" t="inlineStr">
        <is>
          <t>Amarillo</t>
        </is>
      </c>
      <c r="C105" s="3" t="n">
        <v>46025</v>
      </c>
      <c r="D105" s="2" t="inlineStr">
        <is>
          <t>B07073880</t>
        </is>
      </c>
      <c r="E105" s="2" t="inlineStr">
        <is>
          <t>Ferrosos Cibernéticos S.L.</t>
        </is>
      </c>
      <c r="F105" s="2" t="n">
        <v>3912342</v>
      </c>
      <c r="G105" s="4" t="n">
        <v>313.65</v>
      </c>
      <c r="H105" s="3" t="n">
        <v>46003</v>
      </c>
      <c r="I105" s="3" t="n">
        <v>46095</v>
      </c>
      <c r="J105" s="2" t="n">
        <v>58</v>
      </c>
      <c r="K105" s="2" t="n">
        <v>1.59</v>
      </c>
      <c r="L105" s="2" t="n">
        <v>0.67</v>
      </c>
      <c r="M105" s="4" t="n">
        <v>2.1</v>
      </c>
      <c r="N105" s="4" t="n">
        <v>0.8</v>
      </c>
      <c r="O105" s="2" t="n">
        <v>50</v>
      </c>
      <c r="P105" s="4" t="n">
        <v>0.86</v>
      </c>
      <c r="Q105" s="4" t="n">
        <v>0.5</v>
      </c>
      <c r="R105" s="4">
        <f>G105*(L105/100)*(O105/100)</f>
        <v/>
      </c>
      <c r="S105" s="4">
        <f>G105*(K105/360/100)*J105*(O105/100)</f>
        <v/>
      </c>
      <c r="T105" s="4">
        <f>P105-R105+Q105-S105</f>
        <v/>
      </c>
    </row>
    <row r="106">
      <c r="A106" s="2" t="inlineStr">
        <is>
          <t>Plata</t>
        </is>
      </c>
      <c r="B106" s="2" t="inlineStr">
        <is>
          <t>Amarillo</t>
        </is>
      </c>
      <c r="C106" s="3" t="n">
        <v>46025</v>
      </c>
      <c r="D106" s="2" t="inlineStr">
        <is>
          <t>B07073880</t>
        </is>
      </c>
      <c r="E106" s="2" t="inlineStr">
        <is>
          <t>Ferrosos Cibernéticos S.L.</t>
        </is>
      </c>
      <c r="F106" s="2" t="n">
        <v>3629647</v>
      </c>
      <c r="G106" s="4" t="n">
        <v>471.05</v>
      </c>
      <c r="H106" s="3" t="n">
        <v>46007</v>
      </c>
      <c r="I106" s="3" t="n">
        <v>46103</v>
      </c>
      <c r="J106" s="2" t="n">
        <v>27</v>
      </c>
      <c r="K106" s="2" t="n">
        <v>3.66</v>
      </c>
      <c r="L106" s="2" t="n">
        <v>1.66</v>
      </c>
      <c r="M106" s="4" t="n">
        <v>7.82</v>
      </c>
      <c r="N106" s="4" t="n">
        <v>1.29</v>
      </c>
      <c r="O106" s="2" t="n">
        <v>30</v>
      </c>
      <c r="P106" s="4" t="n">
        <v>2.19</v>
      </c>
      <c r="Q106" s="4" t="n">
        <v>0.46</v>
      </c>
      <c r="R106" s="4">
        <f>G106*(L106/100)*(O106/100)</f>
        <v/>
      </c>
      <c r="S106" s="4">
        <f>G106*(K106/360/100)*J106*(O106/100)</f>
        <v/>
      </c>
      <c r="T106" s="4">
        <f>P106-R106+Q106-S106</f>
        <v/>
      </c>
    </row>
    <row r="107">
      <c r="A107" s="2" t="inlineStr">
        <is>
          <t>Plata</t>
        </is>
      </c>
      <c r="B107" s="2" t="inlineStr">
        <is>
          <t>Amarillo</t>
        </is>
      </c>
      <c r="C107" s="3" t="n">
        <v>46025</v>
      </c>
      <c r="D107" s="2" t="inlineStr">
        <is>
          <t>B33010261</t>
        </is>
      </c>
      <c r="E107" s="2" t="inlineStr">
        <is>
          <t>Especias Mecanizados S.L.</t>
        </is>
      </c>
      <c r="F107" s="2" t="n">
        <v>4031965</v>
      </c>
      <c r="G107" s="4" t="n">
        <v>3504.67</v>
      </c>
      <c r="H107" s="3" t="n">
        <v>46019</v>
      </c>
      <c r="I107" s="3" t="n">
        <v>46066</v>
      </c>
      <c r="J107" s="2" t="n">
        <v>63</v>
      </c>
      <c r="K107" s="2" t="n">
        <v>1.6</v>
      </c>
      <c r="L107" s="2" t="n">
        <v>1.36</v>
      </c>
      <c r="M107" s="4" t="n">
        <v>47.66</v>
      </c>
      <c r="N107" s="4" t="n">
        <v>9.81</v>
      </c>
      <c r="O107" s="2" t="n">
        <v>60</v>
      </c>
      <c r="P107" s="4" t="n">
        <v>28.68</v>
      </c>
      <c r="Q107" s="4" t="n">
        <v>5.86</v>
      </c>
      <c r="R107" s="4">
        <f>G107*(L107/100)*(O107/100)</f>
        <v/>
      </c>
      <c r="S107" s="4">
        <f>G107*(K107/360/100)*J107*(O107/100)</f>
        <v/>
      </c>
      <c r="T107" s="4">
        <f>P107-R107+Q107-S107</f>
        <v/>
      </c>
    </row>
    <row r="108">
      <c r="A108" s="2" t="inlineStr">
        <is>
          <t>Plata</t>
        </is>
      </c>
      <c r="B108" s="2" t="inlineStr">
        <is>
          <t>Amarillo</t>
        </is>
      </c>
      <c r="C108" s="3" t="n">
        <v>46025</v>
      </c>
      <c r="D108" s="2" t="inlineStr">
        <is>
          <t>B33010261</t>
        </is>
      </c>
      <c r="E108" s="2" t="inlineStr">
        <is>
          <t>Especias Mecanizados S.L.</t>
        </is>
      </c>
      <c r="F108" s="2" t="n">
        <v>2474567</v>
      </c>
      <c r="G108" s="4" t="n">
        <v>869.26</v>
      </c>
      <c r="H108" s="3" t="n">
        <v>46019</v>
      </c>
      <c r="I108" s="3" t="n">
        <v>46029</v>
      </c>
      <c r="J108" s="2" t="n">
        <v>45</v>
      </c>
      <c r="K108" s="2" t="n">
        <v>4.2</v>
      </c>
      <c r="L108" s="2" t="n">
        <v>1.4</v>
      </c>
      <c r="M108" s="4" t="n">
        <v>12.17</v>
      </c>
      <c r="N108" s="4" t="n">
        <v>4.56</v>
      </c>
      <c r="O108" s="2" t="n">
        <v>60</v>
      </c>
      <c r="P108" s="4" t="n">
        <v>7.43</v>
      </c>
      <c r="Q108" s="4" t="n">
        <v>2.69</v>
      </c>
      <c r="R108" s="4">
        <f>G108*(L108/100)*(O108/100)</f>
        <v/>
      </c>
      <c r="S108" s="4">
        <f>G108*(K108/360/100)*J108*(O108/100)</f>
        <v/>
      </c>
      <c r="T108" s="4">
        <f>P108-R108+Q108-S108</f>
        <v/>
      </c>
    </row>
    <row r="109">
      <c r="A109" s="2" t="inlineStr">
        <is>
          <t>Plata</t>
        </is>
      </c>
      <c r="B109" s="2" t="inlineStr">
        <is>
          <t>Amarillo</t>
        </is>
      </c>
      <c r="C109" s="3" t="n">
        <v>46025</v>
      </c>
      <c r="D109" s="2" t="inlineStr">
        <is>
          <t>A85619710</t>
        </is>
      </c>
      <c r="E109" s="2" t="inlineStr">
        <is>
          <t>Volquetes Confiables S.A.</t>
        </is>
      </c>
      <c r="F109" s="2" t="n">
        <v>2224823</v>
      </c>
      <c r="G109" s="4" t="n">
        <v>544.0700000000001</v>
      </c>
      <c r="H109" s="3" t="n">
        <v>46004</v>
      </c>
      <c r="I109" s="3" t="n">
        <v>46101</v>
      </c>
      <c r="J109" s="2" t="n">
        <v>62</v>
      </c>
      <c r="K109" s="2" t="n">
        <v>4.59</v>
      </c>
      <c r="L109" s="2" t="n">
        <v>2.45</v>
      </c>
      <c r="M109" s="4" t="n">
        <v>13.33</v>
      </c>
      <c r="N109" s="4" t="n">
        <v>4.3</v>
      </c>
      <c r="O109" s="2" t="n">
        <v>40</v>
      </c>
      <c r="P109" s="4" t="n">
        <v>5.16</v>
      </c>
      <c r="Q109" s="4" t="n">
        <v>1.46</v>
      </c>
      <c r="R109" s="4">
        <f>G109*(L109/100)*(O109/100)</f>
        <v/>
      </c>
      <c r="S109" s="4">
        <f>G109*(K109/360/100)*J109*(O109/100)</f>
        <v/>
      </c>
      <c r="T109" s="4">
        <f>P109-R109+Q109-S109</f>
        <v/>
      </c>
    </row>
    <row r="110">
      <c r="A110" s="2" t="inlineStr">
        <is>
          <t>Plata</t>
        </is>
      </c>
      <c r="B110" s="2" t="inlineStr">
        <is>
          <t>Amarillo</t>
        </is>
      </c>
      <c r="C110" s="3" t="n">
        <v>46025</v>
      </c>
      <c r="D110" s="2" t="inlineStr">
        <is>
          <t>A85619710</t>
        </is>
      </c>
      <c r="E110" s="2" t="inlineStr">
        <is>
          <t>Volquetes Confiables S.A.</t>
        </is>
      </c>
      <c r="F110" s="2" t="n">
        <v>3201423</v>
      </c>
      <c r="G110" s="4" t="n">
        <v>960.67</v>
      </c>
      <c r="H110" s="3" t="n">
        <v>46016</v>
      </c>
      <c r="I110" s="3" t="n">
        <v>46087</v>
      </c>
      <c r="J110" s="2" t="n">
        <v>59</v>
      </c>
      <c r="K110" s="2" t="n">
        <v>2.93</v>
      </c>
      <c r="L110" s="2" t="n">
        <v>1.33</v>
      </c>
      <c r="M110" s="4" t="n">
        <v>12.78</v>
      </c>
      <c r="N110" s="4" t="n">
        <v>4.61</v>
      </c>
      <c r="O110" s="2" t="n">
        <v>50</v>
      </c>
      <c r="P110" s="4" t="n">
        <v>6.35</v>
      </c>
      <c r="Q110" s="4" t="n">
        <v>2.15</v>
      </c>
      <c r="R110" s="4">
        <f>G110*(L110/100)*(O110/100)</f>
        <v/>
      </c>
      <c r="S110" s="4">
        <f>G110*(K110/360/100)*J110*(O110/100)</f>
        <v/>
      </c>
      <c r="T110" s="4">
        <f>P110-R110+Q110-S110</f>
        <v/>
      </c>
    </row>
    <row r="111">
      <c r="A111" s="2" t="inlineStr">
        <is>
          <t>Plata</t>
        </is>
      </c>
      <c r="B111" s="2" t="inlineStr">
        <is>
          <t>Amarillo</t>
        </is>
      </c>
      <c r="C111" s="3" t="n">
        <v>46025</v>
      </c>
      <c r="D111" s="2" t="inlineStr">
        <is>
          <t>B20204624</t>
        </is>
      </c>
      <c r="E111" s="2" t="inlineStr">
        <is>
          <t>Insecticidas Ferruginosos S.L.</t>
        </is>
      </c>
      <c r="F111" s="2" t="n">
        <v>3981483</v>
      </c>
      <c r="G111" s="4" t="n">
        <v>444.86</v>
      </c>
      <c r="H111" s="3" t="n">
        <v>46007</v>
      </c>
      <c r="I111" s="3" t="n">
        <v>46096</v>
      </c>
      <c r="J111" s="2" t="n">
        <v>56</v>
      </c>
      <c r="K111" s="2" t="n">
        <v>3</v>
      </c>
      <c r="L111" s="2" t="n">
        <v>2.39</v>
      </c>
      <c r="M111" s="4" t="n">
        <v>10.63</v>
      </c>
      <c r="N111" s="4" t="n">
        <v>2.08</v>
      </c>
      <c r="O111" s="2" t="n">
        <v>70</v>
      </c>
      <c r="P111" s="4" t="n">
        <v>7.27</v>
      </c>
      <c r="Q111" s="4" t="n">
        <v>1.59</v>
      </c>
      <c r="R111" s="4">
        <f>G111*(L111/100)*(O111/100)</f>
        <v/>
      </c>
      <c r="S111" s="4">
        <f>G111*(K111/360/100)*J111*(O111/100)</f>
        <v/>
      </c>
      <c r="T111" s="4">
        <f>P111-R111+Q111-S111</f>
        <v/>
      </c>
    </row>
    <row r="112">
      <c r="A112" s="2" t="inlineStr">
        <is>
          <t>Plata</t>
        </is>
      </c>
      <c r="B112" s="2" t="inlineStr">
        <is>
          <t>Amarillo</t>
        </is>
      </c>
      <c r="C112" s="3" t="n">
        <v>46025</v>
      </c>
      <c r="D112" s="2" t="inlineStr">
        <is>
          <t>B20204624</t>
        </is>
      </c>
      <c r="E112" s="2" t="inlineStr">
        <is>
          <t>Insecticidas Ferruginosos S.L.</t>
        </is>
      </c>
      <c r="F112" s="2" t="n">
        <v>1609577</v>
      </c>
      <c r="G112" s="4" t="n">
        <v>995.11</v>
      </c>
      <c r="H112" s="3" t="n">
        <v>45995</v>
      </c>
      <c r="I112" s="3" t="n">
        <v>46070</v>
      </c>
      <c r="J112" s="2" t="n">
        <v>62</v>
      </c>
      <c r="K112" s="2" t="n">
        <v>1.69</v>
      </c>
      <c r="L112" s="2" t="n">
        <v>1.64</v>
      </c>
      <c r="M112" s="4" t="n">
        <v>16.32</v>
      </c>
      <c r="N112" s="4" t="n">
        <v>2.9</v>
      </c>
      <c r="O112" s="2" t="n">
        <v>70</v>
      </c>
      <c r="P112" s="4" t="n">
        <v>11.21</v>
      </c>
      <c r="Q112" s="4" t="n">
        <v>1.79</v>
      </c>
      <c r="R112" s="4">
        <f>G112*(L112/100)*(O112/100)</f>
        <v/>
      </c>
      <c r="S112" s="4">
        <f>G112*(K112/360/100)*J112*(O112/100)</f>
        <v/>
      </c>
      <c r="T112" s="4">
        <f>P112-R112+Q112-S112</f>
        <v/>
      </c>
    </row>
    <row r="113">
      <c r="A113" s="2" t="inlineStr">
        <is>
          <t>Plata</t>
        </is>
      </c>
      <c r="B113" s="2" t="inlineStr">
        <is>
          <t>Amarillo</t>
        </is>
      </c>
      <c r="C113" s="3" t="n">
        <v>46025</v>
      </c>
      <c r="D113" s="2" t="inlineStr">
        <is>
          <t>A21675026</t>
        </is>
      </c>
      <c r="E113" s="2" t="inlineStr">
        <is>
          <t>Vehículos Estructurados S.A.</t>
        </is>
      </c>
      <c r="F113" s="2" t="n">
        <v>2741795</v>
      </c>
      <c r="G113" s="4" t="n">
        <v>519.98</v>
      </c>
      <c r="H113" s="3" t="n">
        <v>45997</v>
      </c>
      <c r="I113" s="3" t="n">
        <v>46095</v>
      </c>
      <c r="J113" s="2" t="n">
        <v>44</v>
      </c>
      <c r="K113" s="2" t="n">
        <v>1.82</v>
      </c>
      <c r="L113" s="2" t="n">
        <v>0.84</v>
      </c>
      <c r="M113" s="4" t="n">
        <v>4.37</v>
      </c>
      <c r="N113" s="4" t="n">
        <v>1.16</v>
      </c>
      <c r="O113" s="2" t="n">
        <v>60</v>
      </c>
      <c r="P113" s="4" t="n">
        <v>2.78</v>
      </c>
      <c r="Q113" s="4" t="n">
        <v>0.54</v>
      </c>
      <c r="R113" s="4">
        <f>G113*(L113/100)*(O113/100)</f>
        <v/>
      </c>
      <c r="S113" s="4">
        <f>G113*(K113/360/100)*J113*(O113/100)</f>
        <v/>
      </c>
      <c r="T113" s="4">
        <f>P113-R113+Q113-S113</f>
        <v/>
      </c>
    </row>
    <row r="114">
      <c r="A114" s="2" t="inlineStr">
        <is>
          <t>Plata</t>
        </is>
      </c>
      <c r="B114" s="2" t="inlineStr">
        <is>
          <t>Amarillo</t>
        </is>
      </c>
      <c r="C114" s="3" t="n">
        <v>46025</v>
      </c>
      <c r="D114" s="2" t="inlineStr">
        <is>
          <t>A21675026</t>
        </is>
      </c>
      <c r="E114" s="2" t="inlineStr">
        <is>
          <t>Vehículos Estructurados S.A.</t>
        </is>
      </c>
      <c r="F114" s="2" t="n">
        <v>4904892</v>
      </c>
      <c r="G114" s="4" t="n">
        <v>458.67</v>
      </c>
      <c r="H114" s="3" t="n">
        <v>46007</v>
      </c>
      <c r="I114" s="3" t="n">
        <v>46031</v>
      </c>
      <c r="J114" s="2" t="n">
        <v>54</v>
      </c>
      <c r="K114" s="2" t="n">
        <v>4.52</v>
      </c>
      <c r="L114" s="2" t="n">
        <v>1.11</v>
      </c>
      <c r="M114" s="4" t="n">
        <v>5.09</v>
      </c>
      <c r="N114" s="4" t="n">
        <v>3.11</v>
      </c>
      <c r="O114" s="2" t="n">
        <v>60</v>
      </c>
      <c r="P114" s="4" t="n">
        <v>2.9</v>
      </c>
      <c r="Q114" s="4" t="n">
        <v>2.1</v>
      </c>
      <c r="R114" s="4">
        <f>G114*(L114/100)*(O114/100)</f>
        <v/>
      </c>
      <c r="S114" s="4">
        <f>G114*(K114/360/100)*J114*(O114/100)</f>
        <v/>
      </c>
      <c r="T114" s="4">
        <f>P114-R114+Q114-S114</f>
        <v/>
      </c>
    </row>
    <row r="115">
      <c r="A115" s="2" t="inlineStr">
        <is>
          <t>Plata</t>
        </is>
      </c>
      <c r="B115" s="2" t="inlineStr">
        <is>
          <t>Amarillo</t>
        </is>
      </c>
      <c r="C115" s="3" t="n">
        <v>46025</v>
      </c>
      <c r="D115" s="2" t="inlineStr">
        <is>
          <t>A21675026</t>
        </is>
      </c>
      <c r="E115" s="2" t="inlineStr">
        <is>
          <t>Vehículos Estructurados S.A.</t>
        </is>
      </c>
      <c r="F115" s="2" t="n">
        <v>4955902</v>
      </c>
      <c r="G115" s="4" t="n">
        <v>270.06</v>
      </c>
      <c r="H115" s="3" t="n">
        <v>46017</v>
      </c>
      <c r="I115" s="3" t="n">
        <v>46074</v>
      </c>
      <c r="J115" s="2" t="n">
        <v>55</v>
      </c>
      <c r="K115" s="2" t="n">
        <v>2.77</v>
      </c>
      <c r="L115" s="2" t="n">
        <v>1.01</v>
      </c>
      <c r="M115" s="4" t="n">
        <v>2.73</v>
      </c>
      <c r="N115" s="4" t="n">
        <v>1.14</v>
      </c>
      <c r="O115" s="2" t="n">
        <v>30</v>
      </c>
      <c r="P115" s="4" t="n">
        <v>0.58</v>
      </c>
      <c r="Q115" s="4" t="n">
        <v>0.29</v>
      </c>
      <c r="R115" s="4">
        <f>G115*(L115/100)*(O115/100)</f>
        <v/>
      </c>
      <c r="S115" s="4">
        <f>G115*(K115/360/100)*J115*(O115/100)</f>
        <v/>
      </c>
      <c r="T115" s="4">
        <f>P115-R115+Q115-S115</f>
        <v/>
      </c>
    </row>
    <row r="116">
      <c r="A116" s="2" t="inlineStr">
        <is>
          <t>Plata</t>
        </is>
      </c>
      <c r="B116" s="2" t="inlineStr">
        <is>
          <t>Amarillo</t>
        </is>
      </c>
      <c r="C116" s="3" t="n">
        <v>46025</v>
      </c>
      <c r="D116" s="2" t="inlineStr">
        <is>
          <t>A22002209</t>
        </is>
      </c>
      <c r="E116" s="2" t="inlineStr">
        <is>
          <t>Biomasas Habilitados S.A.</t>
        </is>
      </c>
      <c r="F116" s="2" t="n">
        <v>4250195</v>
      </c>
      <c r="G116" s="4" t="n">
        <v>5756.97</v>
      </c>
      <c r="H116" s="3" t="n">
        <v>45992</v>
      </c>
      <c r="I116" s="3" t="n">
        <v>46086</v>
      </c>
      <c r="J116" s="2" t="n">
        <v>38</v>
      </c>
      <c r="K116" s="2" t="n">
        <v>1.63</v>
      </c>
      <c r="L116" s="2" t="n">
        <v>1.77</v>
      </c>
      <c r="M116" s="4" t="n">
        <v>101.9</v>
      </c>
      <c r="N116" s="4" t="n">
        <v>9.91</v>
      </c>
      <c r="O116" s="2" t="n">
        <v>60</v>
      </c>
      <c r="P116" s="4" t="n">
        <v>61.38</v>
      </c>
      <c r="Q116" s="4" t="n">
        <v>6.09</v>
      </c>
      <c r="R116" s="4">
        <f>G116*(L116/100)*(O116/100)</f>
        <v/>
      </c>
      <c r="S116" s="4">
        <f>G116*(K116/360/100)*J116*(O116/100)</f>
        <v/>
      </c>
      <c r="T116" s="4">
        <f>P116-R116+Q116-S116</f>
        <v/>
      </c>
    </row>
    <row r="117">
      <c r="A117" s="2" t="inlineStr">
        <is>
          <t>Plata</t>
        </is>
      </c>
      <c r="B117" s="2" t="inlineStr">
        <is>
          <t>Amarillo</t>
        </is>
      </c>
      <c r="C117" s="3" t="n">
        <v>46025</v>
      </c>
      <c r="D117" s="2" t="inlineStr">
        <is>
          <t>A22002209</t>
        </is>
      </c>
      <c r="E117" s="2" t="inlineStr">
        <is>
          <t>Biomasas Habilitados S.A.</t>
        </is>
      </c>
      <c r="F117" s="2" t="n">
        <v>3666742</v>
      </c>
      <c r="G117" s="4" t="n">
        <v>734.29</v>
      </c>
      <c r="H117" s="3" t="n">
        <v>46018</v>
      </c>
      <c r="I117" s="3" t="n">
        <v>46087</v>
      </c>
      <c r="J117" s="2" t="n">
        <v>29</v>
      </c>
      <c r="K117" s="2" t="n">
        <v>3</v>
      </c>
      <c r="L117" s="2" t="n">
        <v>2.4</v>
      </c>
      <c r="M117" s="4" t="n">
        <v>17.62</v>
      </c>
      <c r="N117" s="4" t="n">
        <v>1.77</v>
      </c>
      <c r="O117" s="2" t="n">
        <v>60</v>
      </c>
      <c r="P117" s="4" t="n">
        <v>10.78</v>
      </c>
      <c r="Q117" s="4" t="n">
        <v>0.99</v>
      </c>
      <c r="R117" s="4">
        <f>G117*(L117/100)*(O117/100)</f>
        <v/>
      </c>
      <c r="S117" s="4">
        <f>G117*(K117/360/100)*J117*(O117/100)</f>
        <v/>
      </c>
      <c r="T117" s="4">
        <f>P117-R117+Q117-S117</f>
        <v/>
      </c>
    </row>
    <row r="118">
      <c r="A118" s="2" t="inlineStr">
        <is>
          <t>Plata</t>
        </is>
      </c>
      <c r="B118" s="2" t="inlineStr">
        <is>
          <t>Amarillo</t>
        </is>
      </c>
      <c r="C118" s="3" t="n">
        <v>46025</v>
      </c>
      <c r="D118" s="2" t="inlineStr">
        <is>
          <t>A12635750</t>
        </is>
      </c>
      <c r="E118" s="2" t="inlineStr">
        <is>
          <t>Baterías Sulfúricos S.A.</t>
        </is>
      </c>
      <c r="F118" s="2" t="n">
        <v>2775964</v>
      </c>
      <c r="G118" s="4" t="n">
        <v>695.55</v>
      </c>
      <c r="H118" s="3" t="n">
        <v>46017</v>
      </c>
      <c r="I118" s="3" t="n">
        <v>46076</v>
      </c>
      <c r="J118" s="2" t="n">
        <v>69</v>
      </c>
      <c r="K118" s="2" t="n">
        <v>3.24</v>
      </c>
      <c r="L118" s="2" t="n">
        <v>1.28</v>
      </c>
      <c r="M118" s="4" t="n">
        <v>8.9</v>
      </c>
      <c r="N118" s="4" t="n">
        <v>4.32</v>
      </c>
      <c r="O118" s="2" t="n">
        <v>70</v>
      </c>
      <c r="P118" s="4" t="n">
        <v>6.47</v>
      </c>
      <c r="Q118" s="4" t="n">
        <v>3.3</v>
      </c>
      <c r="R118" s="4">
        <f>G118*(L118/100)*(O118/100)</f>
        <v/>
      </c>
      <c r="S118" s="4">
        <f>G118*(K118/360/100)*J118*(O118/100)</f>
        <v/>
      </c>
      <c r="T118" s="4">
        <f>P118-R118+Q118-S118</f>
        <v/>
      </c>
    </row>
    <row r="119">
      <c r="A119" s="2" t="inlineStr">
        <is>
          <t>Plata</t>
        </is>
      </c>
      <c r="B119" s="2" t="inlineStr">
        <is>
          <t>Amarillo</t>
        </is>
      </c>
      <c r="C119" s="3" t="n">
        <v>46025</v>
      </c>
      <c r="D119" s="2" t="inlineStr">
        <is>
          <t>A12635750</t>
        </is>
      </c>
      <c r="E119" s="2" t="inlineStr">
        <is>
          <t>Baterías Sulfúricos S.A.</t>
        </is>
      </c>
      <c r="F119" s="2" t="n">
        <v>1884567</v>
      </c>
      <c r="G119" s="4" t="n">
        <v>6239.54</v>
      </c>
      <c r="H119" s="3" t="n">
        <v>46008</v>
      </c>
      <c r="I119" s="3" t="n">
        <v>46060</v>
      </c>
      <c r="J119" s="2" t="n">
        <v>16</v>
      </c>
      <c r="K119" s="2" t="n">
        <v>4.32</v>
      </c>
      <c r="L119" s="2" t="n">
        <v>0.99</v>
      </c>
      <c r="M119" s="4" t="n">
        <v>61.77</v>
      </c>
      <c r="N119" s="4" t="n">
        <v>11.98</v>
      </c>
      <c r="O119" s="2" t="n">
        <v>50</v>
      </c>
      <c r="P119" s="4" t="n">
        <v>31.03</v>
      </c>
      <c r="Q119" s="4" t="n">
        <v>5.82</v>
      </c>
      <c r="R119" s="4">
        <f>G119*(L119/100)*(O119/100)</f>
        <v/>
      </c>
      <c r="S119" s="4">
        <f>G119*(K119/360/100)*J119*(O119/100)</f>
        <v/>
      </c>
      <c r="T119" s="4">
        <f>P119-R119+Q119-S119</f>
        <v/>
      </c>
    </row>
    <row r="120">
      <c r="A120" s="2" t="inlineStr">
        <is>
          <t>Plata</t>
        </is>
      </c>
      <c r="B120" s="2" t="inlineStr">
        <is>
          <t>Amarillo</t>
        </is>
      </c>
      <c r="C120" s="3" t="n">
        <v>46025</v>
      </c>
      <c r="D120" s="2" t="inlineStr">
        <is>
          <t>A12635750</t>
        </is>
      </c>
      <c r="E120" s="2" t="inlineStr">
        <is>
          <t>Baterías Sulfúricos S.A.</t>
        </is>
      </c>
      <c r="F120" s="2" t="n">
        <v>4167915</v>
      </c>
      <c r="G120" s="4" t="n">
        <v>346.81</v>
      </c>
      <c r="H120" s="3" t="n">
        <v>46008</v>
      </c>
      <c r="I120" s="3" t="n">
        <v>46070</v>
      </c>
      <c r="J120" s="2" t="n">
        <v>15</v>
      </c>
      <c r="K120" s="2" t="n">
        <v>1.86</v>
      </c>
      <c r="L120" s="2" t="n">
        <v>0.77</v>
      </c>
      <c r="M120" s="4" t="n">
        <v>2.67</v>
      </c>
      <c r="N120" s="4" t="n">
        <v>0.27</v>
      </c>
      <c r="O120" s="2" t="n">
        <v>50</v>
      </c>
      <c r="P120" s="4" t="n">
        <v>1.17</v>
      </c>
      <c r="Q120" s="4" t="n">
        <v>0.37</v>
      </c>
      <c r="R120" s="4">
        <f>G120*(L120/100)*(O120/100)</f>
        <v/>
      </c>
      <c r="S120" s="4">
        <f>G120*(K120/360/100)*J120*(O120/100)</f>
        <v/>
      </c>
      <c r="T120" s="4">
        <f>P120-R120+Q120-S120</f>
        <v/>
      </c>
    </row>
    <row r="121">
      <c r="A121" s="2" t="inlineStr">
        <is>
          <t>Plata</t>
        </is>
      </c>
      <c r="B121" s="2" t="inlineStr">
        <is>
          <t>Amarillo</t>
        </is>
      </c>
      <c r="C121" s="3" t="n">
        <v>46025</v>
      </c>
      <c r="D121" s="2" t="inlineStr">
        <is>
          <t>A42543657</t>
        </is>
      </c>
      <c r="E121" s="2" t="inlineStr">
        <is>
          <t>Aromas Consistentes S.A.</t>
        </is>
      </c>
      <c r="F121" s="2" t="n">
        <v>2514223</v>
      </c>
      <c r="G121" s="4" t="n">
        <v>9150.940000000001</v>
      </c>
      <c r="H121" s="3" t="n">
        <v>46000</v>
      </c>
      <c r="I121" s="3" t="n">
        <v>46031</v>
      </c>
      <c r="J121" s="2" t="n">
        <v>62</v>
      </c>
      <c r="K121" s="2" t="n">
        <v>1.97</v>
      </c>
      <c r="L121" s="2" t="n">
        <v>1.51</v>
      </c>
      <c r="M121" s="4" t="n">
        <v>138.18</v>
      </c>
      <c r="N121" s="4" t="n">
        <v>31.05</v>
      </c>
      <c r="O121" s="2" t="n">
        <v>30</v>
      </c>
      <c r="P121" s="4" t="n">
        <v>41.36</v>
      </c>
      <c r="Q121" s="4" t="n">
        <v>9.24</v>
      </c>
      <c r="R121" s="4">
        <f>G121*(L121/100)*(O121/100)</f>
        <v/>
      </c>
      <c r="S121" s="4">
        <f>G121*(K121/360/100)*J121*(O121/100)</f>
        <v/>
      </c>
      <c r="T121" s="4">
        <f>P121-R121+Q121-S121</f>
        <v/>
      </c>
    </row>
    <row r="122">
      <c r="A122" s="2" t="inlineStr">
        <is>
          <t>Plata</t>
        </is>
      </c>
      <c r="B122" s="2" t="inlineStr">
        <is>
          <t>Amarillo</t>
        </is>
      </c>
      <c r="C122" s="3" t="n">
        <v>46025</v>
      </c>
      <c r="D122" s="2" t="inlineStr">
        <is>
          <t>A42543657</t>
        </is>
      </c>
      <c r="E122" s="2" t="inlineStr">
        <is>
          <t>Aromas Consistentes S.A.</t>
        </is>
      </c>
      <c r="F122" s="2" t="n">
        <v>4123592</v>
      </c>
      <c r="G122" s="4" t="n">
        <v>9465.540000000001</v>
      </c>
      <c r="H122" s="3" t="n">
        <v>46010</v>
      </c>
      <c r="I122" s="3" t="n">
        <v>46034</v>
      </c>
      <c r="J122" s="2" t="n">
        <v>45</v>
      </c>
      <c r="K122" s="2" t="n">
        <v>2.38</v>
      </c>
      <c r="L122" s="2" t="n">
        <v>2.44</v>
      </c>
      <c r="M122" s="4" t="n">
        <v>230.96</v>
      </c>
      <c r="N122" s="4" t="n">
        <v>28.16</v>
      </c>
      <c r="O122" s="2" t="n">
        <v>50</v>
      </c>
      <c r="P122" s="4" t="n">
        <v>115.62</v>
      </c>
      <c r="Q122" s="4" t="n">
        <v>13.87</v>
      </c>
      <c r="R122" s="4">
        <f>G122*(L122/100)*(O122/100)</f>
        <v/>
      </c>
      <c r="S122" s="4">
        <f>G122*(K122/360/100)*J122*(O122/100)</f>
        <v/>
      </c>
      <c r="T122" s="4">
        <f>P122-R122+Q122-S122</f>
        <v/>
      </c>
    </row>
    <row r="123">
      <c r="A123" s="2" t="inlineStr">
        <is>
          <t>Plata</t>
        </is>
      </c>
      <c r="B123" s="2" t="inlineStr">
        <is>
          <t>Amarillo</t>
        </is>
      </c>
      <c r="C123" s="3" t="n">
        <v>46025</v>
      </c>
      <c r="D123" s="2" t="inlineStr">
        <is>
          <t>A53687590</t>
        </is>
      </c>
      <c r="E123" s="2" t="inlineStr">
        <is>
          <t>Cables Oxidados S.A.</t>
        </is>
      </c>
      <c r="F123" s="2" t="n">
        <v>2764729</v>
      </c>
      <c r="G123" s="4" t="n">
        <v>666.74</v>
      </c>
      <c r="H123" s="3" t="n">
        <v>45999</v>
      </c>
      <c r="I123" s="3" t="n">
        <v>46061</v>
      </c>
      <c r="J123" s="2" t="n">
        <v>39</v>
      </c>
      <c r="K123" s="2" t="n">
        <v>4.07</v>
      </c>
      <c r="L123" s="2" t="n">
        <v>1.09</v>
      </c>
      <c r="M123" s="4" t="n">
        <v>7.27</v>
      </c>
      <c r="N123" s="4" t="n">
        <v>2.94</v>
      </c>
      <c r="O123" s="2" t="n">
        <v>30</v>
      </c>
      <c r="P123" s="4" t="n">
        <v>1.9</v>
      </c>
      <c r="Q123" s="4" t="n">
        <v>1.09</v>
      </c>
      <c r="R123" s="4">
        <f>G123*(L123/100)*(O123/100)</f>
        <v/>
      </c>
      <c r="S123" s="4">
        <f>G123*(K123/360/100)*J123*(O123/100)</f>
        <v/>
      </c>
      <c r="T123" s="4">
        <f>P123-R123+Q123-S123</f>
        <v/>
      </c>
    </row>
    <row r="124">
      <c r="A124" s="2" t="inlineStr">
        <is>
          <t>Plata</t>
        </is>
      </c>
      <c r="B124" s="2" t="inlineStr">
        <is>
          <t>Amarillo</t>
        </is>
      </c>
      <c r="C124" s="3" t="n">
        <v>46025</v>
      </c>
      <c r="D124" s="2" t="inlineStr">
        <is>
          <t>A53687590</t>
        </is>
      </c>
      <c r="E124" s="2" t="inlineStr">
        <is>
          <t>Cables Oxidados S.A.</t>
        </is>
      </c>
      <c r="F124" s="2" t="n">
        <v>4528005</v>
      </c>
      <c r="G124" s="4" t="n">
        <v>3338.44</v>
      </c>
      <c r="H124" s="3" t="n">
        <v>46002</v>
      </c>
      <c r="I124" s="3" t="n">
        <v>46093</v>
      </c>
      <c r="J124" s="2" t="n">
        <v>32</v>
      </c>
      <c r="K124" s="2" t="n">
        <v>1.71</v>
      </c>
      <c r="L124" s="2" t="n">
        <v>1.02</v>
      </c>
      <c r="M124" s="4" t="n">
        <v>34.05</v>
      </c>
      <c r="N124" s="4" t="n">
        <v>5.07</v>
      </c>
      <c r="O124" s="2" t="n">
        <v>70</v>
      </c>
      <c r="P124" s="4" t="n">
        <v>23.97</v>
      </c>
      <c r="Q124" s="4" t="n">
        <v>3.71</v>
      </c>
      <c r="R124" s="4">
        <f>G124*(L124/100)*(O124/100)</f>
        <v/>
      </c>
      <c r="S124" s="4">
        <f>G124*(K124/360/100)*J124*(O124/100)</f>
        <v/>
      </c>
      <c r="T124" s="4">
        <f>P124-R124+Q124-S124</f>
        <v/>
      </c>
    </row>
    <row r="125">
      <c r="A125" s="2" t="inlineStr">
        <is>
          <t>Plata</t>
        </is>
      </c>
      <c r="B125" s="2" t="inlineStr">
        <is>
          <t>Amarillo</t>
        </is>
      </c>
      <c r="C125" s="3" t="n">
        <v>46025</v>
      </c>
      <c r="D125" s="2" t="inlineStr">
        <is>
          <t>A53687590</t>
        </is>
      </c>
      <c r="E125" s="2" t="inlineStr">
        <is>
          <t>Cables Oxidados S.A.</t>
        </is>
      </c>
      <c r="F125" s="2" t="n">
        <v>4872748</v>
      </c>
      <c r="G125" s="4" t="n">
        <v>609.11</v>
      </c>
      <c r="H125" s="3" t="n">
        <v>46000</v>
      </c>
      <c r="I125" s="3" t="n">
        <v>46095</v>
      </c>
      <c r="J125" s="2" t="n">
        <v>41</v>
      </c>
      <c r="K125" s="2" t="n">
        <v>4.91</v>
      </c>
      <c r="L125" s="2" t="n">
        <v>1.71</v>
      </c>
      <c r="M125" s="4" t="n">
        <v>10.42</v>
      </c>
      <c r="N125" s="4" t="n">
        <v>3.41</v>
      </c>
      <c r="O125" s="2" t="n">
        <v>50</v>
      </c>
      <c r="P125" s="4" t="n">
        <v>5.37</v>
      </c>
      <c r="Q125" s="4" t="n">
        <v>1.95</v>
      </c>
      <c r="R125" s="4">
        <f>G125*(L125/100)*(O125/100)</f>
        <v/>
      </c>
      <c r="S125" s="4">
        <f>G125*(K125/360/100)*J125*(O125/100)</f>
        <v/>
      </c>
      <c r="T125" s="4">
        <f>P125-R125+Q125-S125</f>
        <v/>
      </c>
    </row>
    <row r="126">
      <c r="A126" s="2" t="inlineStr">
        <is>
          <t>Plata</t>
        </is>
      </c>
      <c r="B126" s="2" t="inlineStr">
        <is>
          <t>Amarillo</t>
        </is>
      </c>
      <c r="C126" s="3" t="n">
        <v>46025</v>
      </c>
      <c r="D126" s="2" t="inlineStr">
        <is>
          <t>B66083614</t>
        </is>
      </c>
      <c r="E126" s="2" t="inlineStr">
        <is>
          <t>Silicatos Importadores S.L.</t>
        </is>
      </c>
      <c r="F126" s="2" t="n">
        <v>4446243</v>
      </c>
      <c r="G126" s="4" t="n">
        <v>5106.42</v>
      </c>
      <c r="H126" s="3" t="n">
        <v>46010</v>
      </c>
      <c r="I126" s="3" t="n">
        <v>46077</v>
      </c>
      <c r="J126" s="2" t="n">
        <v>39</v>
      </c>
      <c r="K126" s="2" t="n">
        <v>2.08</v>
      </c>
      <c r="L126" s="2" t="n">
        <v>1.73</v>
      </c>
      <c r="M126" s="4" t="n">
        <v>88.34</v>
      </c>
      <c r="N126" s="4" t="n">
        <v>11.51</v>
      </c>
      <c r="O126" s="2" t="n">
        <v>60</v>
      </c>
      <c r="P126" s="4" t="n">
        <v>52.81</v>
      </c>
      <c r="Q126" s="4" t="n">
        <v>6.73</v>
      </c>
      <c r="R126" s="4">
        <f>G126*(L126/100)*(O126/100)</f>
        <v/>
      </c>
      <c r="S126" s="4">
        <f>G126*(K126/360/100)*J126*(O126/100)</f>
        <v/>
      </c>
      <c r="T126" s="4">
        <f>P126-R126+Q126-S126</f>
        <v/>
      </c>
    </row>
    <row r="127">
      <c r="A127" s="2" t="inlineStr">
        <is>
          <t>Plata</t>
        </is>
      </c>
      <c r="B127" s="2" t="inlineStr">
        <is>
          <t>Amarillo</t>
        </is>
      </c>
      <c r="C127" s="3" t="n">
        <v>46025</v>
      </c>
      <c r="D127" s="2" t="inlineStr">
        <is>
          <t>B66083614</t>
        </is>
      </c>
      <c r="E127" s="2" t="inlineStr">
        <is>
          <t>Silicatos Importadores S.L.</t>
        </is>
      </c>
      <c r="F127" s="2" t="n">
        <v>3828729</v>
      </c>
      <c r="G127" s="4" t="n">
        <v>1646.44</v>
      </c>
      <c r="H127" s="3" t="n">
        <v>46011</v>
      </c>
      <c r="I127" s="3" t="n">
        <v>46066</v>
      </c>
      <c r="J127" s="2" t="n">
        <v>23</v>
      </c>
      <c r="K127" s="2" t="n">
        <v>3.46</v>
      </c>
      <c r="L127" s="2" t="n">
        <v>1.77</v>
      </c>
      <c r="M127" s="4" t="n">
        <v>29.14</v>
      </c>
      <c r="N127" s="4" t="n">
        <v>3.64</v>
      </c>
      <c r="O127" s="2" t="n">
        <v>40</v>
      </c>
      <c r="P127" s="4" t="n">
        <v>11.39</v>
      </c>
      <c r="Q127" s="4" t="n">
        <v>1.6</v>
      </c>
      <c r="R127" s="4">
        <f>G127*(L127/100)*(O127/100)</f>
        <v/>
      </c>
      <c r="S127" s="4">
        <f>G127*(K127/360/100)*J127*(O127/100)</f>
        <v/>
      </c>
      <c r="T127" s="4">
        <f>P127-R127+Q127-S127</f>
        <v/>
      </c>
    </row>
    <row r="128">
      <c r="A128" s="2" t="inlineStr">
        <is>
          <t>Plata</t>
        </is>
      </c>
      <c r="B128" s="2" t="inlineStr">
        <is>
          <t>Amarillo</t>
        </is>
      </c>
      <c r="C128" s="3" t="n">
        <v>46025</v>
      </c>
      <c r="D128" s="2" t="inlineStr">
        <is>
          <t>B66083614</t>
        </is>
      </c>
      <c r="E128" s="2" t="inlineStr">
        <is>
          <t>Silicatos Importadores S.L.</t>
        </is>
      </c>
      <c r="F128" s="2" t="n">
        <v>2186582</v>
      </c>
      <c r="G128" s="4" t="n">
        <v>195.5</v>
      </c>
      <c r="H128" s="3" t="n">
        <v>46007</v>
      </c>
      <c r="I128" s="3" t="n">
        <v>46038</v>
      </c>
      <c r="J128" s="2" t="n">
        <v>18</v>
      </c>
      <c r="K128" s="2" t="n">
        <v>3.62</v>
      </c>
      <c r="L128" s="2" t="n">
        <v>1.79</v>
      </c>
      <c r="M128" s="4" t="n">
        <v>3.5</v>
      </c>
      <c r="N128" s="4" t="n">
        <v>0.35</v>
      </c>
      <c r="O128" s="2" t="n">
        <v>60</v>
      </c>
      <c r="P128" s="4" t="n">
        <v>2.03</v>
      </c>
      <c r="Q128" s="4" t="n">
        <v>0.41</v>
      </c>
      <c r="R128" s="4">
        <f>G128*(L128/100)*(O128/100)</f>
        <v/>
      </c>
      <c r="S128" s="4">
        <f>G128*(K128/360/100)*J128*(O128/100)</f>
        <v/>
      </c>
      <c r="T128" s="4">
        <f>P128-R128+Q128-S128</f>
        <v/>
      </c>
    </row>
    <row r="129">
      <c r="A129" s="2" t="inlineStr">
        <is>
          <t>Plata</t>
        </is>
      </c>
      <c r="B129" s="2" t="inlineStr">
        <is>
          <t>Amarillo</t>
        </is>
      </c>
      <c r="C129" s="3" t="n">
        <v>46025</v>
      </c>
      <c r="D129" s="2" t="inlineStr">
        <is>
          <t>B66083614</t>
        </is>
      </c>
      <c r="E129" s="2" t="inlineStr">
        <is>
          <t>Silicatos Importadores S.L.</t>
        </is>
      </c>
      <c r="F129" s="2" t="n">
        <v>1768095</v>
      </c>
      <c r="G129" s="4" t="n">
        <v>743.1</v>
      </c>
      <c r="H129" s="3" t="n">
        <v>46011</v>
      </c>
      <c r="I129" s="3" t="n">
        <v>46106</v>
      </c>
      <c r="J129" s="2" t="n">
        <v>61</v>
      </c>
      <c r="K129" s="2" t="n">
        <v>4.75</v>
      </c>
      <c r="L129" s="2" t="n">
        <v>1.27</v>
      </c>
      <c r="M129" s="4" t="n">
        <v>9.44</v>
      </c>
      <c r="N129" s="4" t="n">
        <v>5.98</v>
      </c>
      <c r="O129" s="2" t="n">
        <v>40</v>
      </c>
      <c r="P129" s="4" t="n">
        <v>3.58</v>
      </c>
      <c r="Q129" s="4" t="n">
        <v>2.16</v>
      </c>
      <c r="R129" s="4">
        <f>G129*(L129/100)*(O129/100)</f>
        <v/>
      </c>
      <c r="S129" s="4">
        <f>G129*(K129/360/100)*J129*(O129/100)</f>
        <v/>
      </c>
      <c r="T129" s="4">
        <f>P129-R129+Q129-S129</f>
        <v/>
      </c>
    </row>
    <row r="130">
      <c r="A130" s="2" t="inlineStr">
        <is>
          <t>Plata</t>
        </is>
      </c>
      <c r="B130" s="2" t="inlineStr">
        <is>
          <t>Amarillo</t>
        </is>
      </c>
      <c r="C130" s="3" t="n">
        <v>46025</v>
      </c>
      <c r="D130" s="2" t="inlineStr">
        <is>
          <t>A58137369</t>
        </is>
      </c>
      <c r="E130" s="2" t="inlineStr">
        <is>
          <t>Anclas Antiestáticos S.A.</t>
        </is>
      </c>
      <c r="F130" s="2" t="n">
        <v>3750343</v>
      </c>
      <c r="G130" s="4" t="n">
        <v>307.52</v>
      </c>
      <c r="H130" s="3" t="n">
        <v>45999</v>
      </c>
      <c r="I130" s="3" t="n">
        <v>46066</v>
      </c>
      <c r="J130" s="2" t="n">
        <v>17</v>
      </c>
      <c r="K130" s="2" t="n">
        <v>3.08</v>
      </c>
      <c r="L130" s="2" t="n">
        <v>1.68</v>
      </c>
      <c r="M130" s="4" t="n">
        <v>5.17</v>
      </c>
      <c r="N130" s="4" t="n">
        <v>0.45</v>
      </c>
      <c r="O130" s="2" t="n">
        <v>30</v>
      </c>
      <c r="P130" s="4" t="n">
        <v>1.28</v>
      </c>
      <c r="Q130" s="4" t="n">
        <v>-0.1</v>
      </c>
      <c r="R130" s="4">
        <f>G130*(L130/100)*(O130/100)</f>
        <v/>
      </c>
      <c r="S130" s="4">
        <f>G130*(K130/360/100)*J130*(O130/100)</f>
        <v/>
      </c>
      <c r="T130" s="4">
        <f>P130-R130+Q130-S130</f>
        <v/>
      </c>
    </row>
    <row r="131">
      <c r="A131" s="2" t="inlineStr">
        <is>
          <t>Plata</t>
        </is>
      </c>
      <c r="B131" s="2" t="inlineStr">
        <is>
          <t>Amarillo</t>
        </is>
      </c>
      <c r="C131" s="3" t="n">
        <v>46025</v>
      </c>
      <c r="D131" s="2" t="inlineStr">
        <is>
          <t>A58137369</t>
        </is>
      </c>
      <c r="E131" s="2" t="inlineStr">
        <is>
          <t>Anclas Antiestáticos S.A.</t>
        </is>
      </c>
      <c r="F131" s="2" t="n">
        <v>3103937</v>
      </c>
      <c r="G131" s="4" t="n">
        <v>607.1799999999999</v>
      </c>
      <c r="H131" s="3" t="n">
        <v>46016</v>
      </c>
      <c r="I131" s="3" t="n">
        <v>46046</v>
      </c>
      <c r="J131" s="2" t="n">
        <v>58</v>
      </c>
      <c r="K131" s="2" t="n">
        <v>4.9</v>
      </c>
      <c r="L131" s="2" t="n">
        <v>2.3</v>
      </c>
      <c r="M131" s="4" t="n">
        <v>13.97</v>
      </c>
      <c r="N131" s="4" t="n">
        <v>4.79</v>
      </c>
      <c r="O131" s="2" t="n">
        <v>50</v>
      </c>
      <c r="P131" s="4" t="n">
        <v>6.85</v>
      </c>
      <c r="Q131" s="4" t="n">
        <v>2.16</v>
      </c>
      <c r="R131" s="4">
        <f>G131*(L131/100)*(O131/100)</f>
        <v/>
      </c>
      <c r="S131" s="4">
        <f>G131*(K131/360/100)*J131*(O131/100)</f>
        <v/>
      </c>
      <c r="T131" s="4">
        <f>P131-R131+Q131-S131</f>
        <v/>
      </c>
    </row>
    <row r="132">
      <c r="A132" s="2" t="inlineStr">
        <is>
          <t>Plata</t>
        </is>
      </c>
      <c r="B132" s="2" t="inlineStr">
        <is>
          <t>Amarillo</t>
        </is>
      </c>
      <c r="C132" s="3" t="n">
        <v>46025</v>
      </c>
      <c r="D132" s="2" t="inlineStr">
        <is>
          <t>A58428781</t>
        </is>
      </c>
      <c r="E132" s="2" t="inlineStr">
        <is>
          <t>Anclas Privados S.A.</t>
        </is>
      </c>
      <c r="F132" s="2" t="n">
        <v>3509669</v>
      </c>
      <c r="G132" s="4" t="n">
        <v>580.73</v>
      </c>
      <c r="H132" s="3" t="n">
        <v>46015</v>
      </c>
      <c r="I132" s="3" t="n">
        <v>46067</v>
      </c>
      <c r="J132" s="2" t="n">
        <v>17</v>
      </c>
      <c r="K132" s="2" t="n">
        <v>4.78</v>
      </c>
      <c r="L132" s="2" t="n">
        <v>1.23</v>
      </c>
      <c r="M132" s="4" t="n">
        <v>7.14</v>
      </c>
      <c r="N132" s="4" t="n">
        <v>1.31</v>
      </c>
      <c r="O132" s="2" t="n">
        <v>70</v>
      </c>
      <c r="P132" s="4" t="n">
        <v>4.96</v>
      </c>
      <c r="Q132" s="4" t="n">
        <v>0.9</v>
      </c>
      <c r="R132" s="4">
        <f>G132*(L132/100)*(O132/100)</f>
        <v/>
      </c>
      <c r="S132" s="4">
        <f>G132*(K132/360/100)*J132*(O132/100)</f>
        <v/>
      </c>
      <c r="T132" s="4">
        <f>P132-R132+Q132-S132</f>
        <v/>
      </c>
    </row>
    <row r="133">
      <c r="A133" s="2" t="inlineStr">
        <is>
          <t>Plata</t>
        </is>
      </c>
      <c r="B133" s="2" t="inlineStr">
        <is>
          <t>Amarillo</t>
        </is>
      </c>
      <c r="C133" s="3" t="n">
        <v>46025</v>
      </c>
      <c r="D133" s="2" t="inlineStr">
        <is>
          <t>A58428781</t>
        </is>
      </c>
      <c r="E133" s="2" t="inlineStr">
        <is>
          <t>Anclas Privados S.A.</t>
        </is>
      </c>
      <c r="F133" s="2" t="n">
        <v>4606429</v>
      </c>
      <c r="G133" s="4" t="n">
        <v>8694.08</v>
      </c>
      <c r="H133" s="3" t="n">
        <v>46002</v>
      </c>
      <c r="I133" s="3" t="n">
        <v>46098</v>
      </c>
      <c r="J133" s="2" t="n">
        <v>67</v>
      </c>
      <c r="K133" s="2" t="n">
        <v>3.33</v>
      </c>
      <c r="L133" s="2" t="n">
        <v>0.55</v>
      </c>
      <c r="M133" s="4" t="n">
        <v>47.82</v>
      </c>
      <c r="N133" s="4" t="n">
        <v>53.88</v>
      </c>
      <c r="O133" s="2" t="n">
        <v>50</v>
      </c>
      <c r="P133" s="4" t="n">
        <v>23.9</v>
      </c>
      <c r="Q133" s="4" t="n">
        <v>26.83</v>
      </c>
      <c r="R133" s="4">
        <f>G133*(L133/100)*(O133/100)</f>
        <v/>
      </c>
      <c r="S133" s="4">
        <f>G133*(K133/360/100)*J133*(O133/100)</f>
        <v/>
      </c>
      <c r="T133" s="4">
        <f>P133-R133+Q133-S133</f>
        <v/>
      </c>
    </row>
    <row r="134">
      <c r="A134" s="2" t="inlineStr">
        <is>
          <t>Plata</t>
        </is>
      </c>
      <c r="B134" s="2" t="inlineStr">
        <is>
          <t>Amarillo</t>
        </is>
      </c>
      <c r="C134" s="3" t="n">
        <v>46025</v>
      </c>
      <c r="D134" s="2" t="inlineStr">
        <is>
          <t>A25151671</t>
        </is>
      </c>
      <c r="E134" s="2" t="inlineStr">
        <is>
          <t>Cables Orgánicos S.A.</t>
        </is>
      </c>
      <c r="F134" s="2" t="n">
        <v>2069130</v>
      </c>
      <c r="G134" s="4" t="n">
        <v>862.1</v>
      </c>
      <c r="H134" s="3" t="n">
        <v>46003</v>
      </c>
      <c r="I134" s="3" t="n">
        <v>46102</v>
      </c>
      <c r="J134" s="2" t="n">
        <v>36</v>
      </c>
      <c r="K134" s="2" t="n">
        <v>4.6</v>
      </c>
      <c r="L134" s="2" t="n">
        <v>1.27</v>
      </c>
      <c r="M134" s="4" t="n">
        <v>10.95</v>
      </c>
      <c r="N134" s="4" t="n">
        <v>3.97</v>
      </c>
      <c r="O134" s="2" t="n">
        <v>30</v>
      </c>
      <c r="P134" s="4" t="n">
        <v>2.99</v>
      </c>
      <c r="Q134" s="4" t="n">
        <v>1.06</v>
      </c>
      <c r="R134" s="4">
        <f>G134*(L134/100)*(O134/100)</f>
        <v/>
      </c>
      <c r="S134" s="4">
        <f>G134*(K134/360/100)*J134*(O134/100)</f>
        <v/>
      </c>
      <c r="T134" s="4">
        <f>P134-R134+Q134-S134</f>
        <v/>
      </c>
    </row>
    <row r="135">
      <c r="A135" s="2" t="inlineStr">
        <is>
          <t>Plata</t>
        </is>
      </c>
      <c r="B135" s="2" t="inlineStr">
        <is>
          <t>Amarillo</t>
        </is>
      </c>
      <c r="C135" s="3" t="n">
        <v>46025</v>
      </c>
      <c r="D135" s="2" t="inlineStr">
        <is>
          <t>A25151671</t>
        </is>
      </c>
      <c r="E135" s="2" t="inlineStr">
        <is>
          <t>Cables Orgánicos S.A.</t>
        </is>
      </c>
      <c r="F135" s="2" t="n">
        <v>3793183</v>
      </c>
      <c r="G135" s="4" t="n">
        <v>332.49</v>
      </c>
      <c r="H135" s="3" t="n">
        <v>46003</v>
      </c>
      <c r="I135" s="3" t="n">
        <v>46096</v>
      </c>
      <c r="J135" s="2" t="n">
        <v>43</v>
      </c>
      <c r="K135" s="2" t="n">
        <v>3.48</v>
      </c>
      <c r="L135" s="2" t="n">
        <v>0.7</v>
      </c>
      <c r="M135" s="4" t="n">
        <v>2.33</v>
      </c>
      <c r="N135" s="4" t="n">
        <v>1.38</v>
      </c>
      <c r="O135" s="2" t="n">
        <v>50</v>
      </c>
      <c r="P135" s="4" t="n">
        <v>1.36</v>
      </c>
      <c r="Q135" s="4" t="n">
        <v>0.9399999999999999</v>
      </c>
      <c r="R135" s="4">
        <f>G135*(L135/100)*(O135/100)</f>
        <v/>
      </c>
      <c r="S135" s="4">
        <f>G135*(K135/360/100)*J135*(O135/100)</f>
        <v/>
      </c>
      <c r="T135" s="4">
        <f>P135-R135+Q135-S135</f>
        <v/>
      </c>
    </row>
    <row r="136">
      <c r="A136" s="2" t="inlineStr">
        <is>
          <t>Plata</t>
        </is>
      </c>
      <c r="B136" s="2" t="inlineStr">
        <is>
          <t>Amarillo</t>
        </is>
      </c>
      <c r="C136" s="3" t="n">
        <v>46025</v>
      </c>
      <c r="D136" s="2" t="inlineStr">
        <is>
          <t>A25151671</t>
        </is>
      </c>
      <c r="E136" s="2" t="inlineStr">
        <is>
          <t>Cables Orgánicos S.A.</t>
        </is>
      </c>
      <c r="F136" s="2" t="n">
        <v>4219342</v>
      </c>
      <c r="G136" s="4" t="n">
        <v>941.78</v>
      </c>
      <c r="H136" s="3" t="n">
        <v>46003</v>
      </c>
      <c r="I136" s="3" t="n">
        <v>46032</v>
      </c>
      <c r="J136" s="2" t="n">
        <v>38</v>
      </c>
      <c r="K136" s="2" t="n">
        <v>4.75</v>
      </c>
      <c r="L136" s="2" t="n">
        <v>0.71</v>
      </c>
      <c r="M136" s="4" t="n">
        <v>6.69</v>
      </c>
      <c r="N136" s="4" t="n">
        <v>4.72</v>
      </c>
      <c r="O136" s="2" t="n">
        <v>30</v>
      </c>
      <c r="P136" s="4" t="n">
        <v>1.74</v>
      </c>
      <c r="Q136" s="4" t="n">
        <v>1.59</v>
      </c>
      <c r="R136" s="4">
        <f>G136*(L136/100)*(O136/100)</f>
        <v/>
      </c>
      <c r="S136" s="4">
        <f>G136*(K136/360/100)*J136*(O136/100)</f>
        <v/>
      </c>
      <c r="T136" s="4">
        <f>P136-R136+Q136-S136</f>
        <v/>
      </c>
    </row>
    <row r="137">
      <c r="A137" s="2" t="inlineStr">
        <is>
          <t>Plata</t>
        </is>
      </c>
      <c r="B137" s="2" t="inlineStr">
        <is>
          <t>Amarillo</t>
        </is>
      </c>
      <c r="C137" s="3" t="n">
        <v>46025</v>
      </c>
      <c r="D137" s="2" t="inlineStr">
        <is>
          <t>B35806964</t>
        </is>
      </c>
      <c r="E137" s="2" t="inlineStr">
        <is>
          <t>Canalizaciones Alpinos S.L.</t>
        </is>
      </c>
      <c r="F137" s="2" t="n">
        <v>1799912</v>
      </c>
      <c r="G137" s="4" t="n">
        <v>7478.96</v>
      </c>
      <c r="H137" s="3" t="n">
        <v>46017</v>
      </c>
      <c r="I137" s="3" t="n">
        <v>46039</v>
      </c>
      <c r="J137" s="2" t="n">
        <v>33</v>
      </c>
      <c r="K137" s="2" t="n">
        <v>4.91</v>
      </c>
      <c r="L137" s="2" t="n">
        <v>0.8100000000000001</v>
      </c>
      <c r="M137" s="4" t="n">
        <v>60.58</v>
      </c>
      <c r="N137" s="4" t="n">
        <v>33.66</v>
      </c>
      <c r="O137" s="2" t="n">
        <v>60</v>
      </c>
      <c r="P137" s="4" t="n">
        <v>36.27</v>
      </c>
      <c r="Q137" s="4" t="n">
        <v>19.93</v>
      </c>
      <c r="R137" s="4">
        <f>G137*(L137/100)*(O137/100)</f>
        <v/>
      </c>
      <c r="S137" s="4">
        <f>G137*(K137/360/100)*J137*(O137/100)</f>
        <v/>
      </c>
      <c r="T137" s="4">
        <f>P137-R137+Q137-S137</f>
        <v/>
      </c>
    </row>
    <row r="138">
      <c r="A138" s="2" t="inlineStr">
        <is>
          <t>Plata</t>
        </is>
      </c>
      <c r="B138" s="2" t="inlineStr">
        <is>
          <t>Amarillo</t>
        </is>
      </c>
      <c r="C138" s="3" t="n">
        <v>46025</v>
      </c>
      <c r="D138" s="2" t="inlineStr">
        <is>
          <t>B35806964</t>
        </is>
      </c>
      <c r="E138" s="2" t="inlineStr">
        <is>
          <t>Canalizaciones Alpinos S.L.</t>
        </is>
      </c>
      <c r="F138" s="2" t="n">
        <v>1178143</v>
      </c>
      <c r="G138" s="4" t="n">
        <v>734.16</v>
      </c>
      <c r="H138" s="3" t="n">
        <v>46015</v>
      </c>
      <c r="I138" s="3" t="n">
        <v>46105</v>
      </c>
      <c r="J138" s="2" t="n">
        <v>27</v>
      </c>
      <c r="K138" s="2" t="n">
        <v>3.23</v>
      </c>
      <c r="L138" s="2" t="n">
        <v>2.34</v>
      </c>
      <c r="M138" s="4" t="n">
        <v>17.18</v>
      </c>
      <c r="N138" s="4" t="n">
        <v>1.78</v>
      </c>
      <c r="O138" s="2" t="n">
        <v>50</v>
      </c>
      <c r="P138" s="4" t="n">
        <v>8.84</v>
      </c>
      <c r="Q138" s="4" t="n">
        <v>0.6899999999999999</v>
      </c>
      <c r="R138" s="4">
        <f>G138*(L138/100)*(O138/100)</f>
        <v/>
      </c>
      <c r="S138" s="4">
        <f>G138*(K138/360/100)*J138*(O138/100)</f>
        <v/>
      </c>
      <c r="T138" s="4">
        <f>P138-R138+Q138-S138</f>
        <v/>
      </c>
    </row>
    <row r="139">
      <c r="A139" s="2" t="inlineStr">
        <is>
          <t>Plata</t>
        </is>
      </c>
      <c r="B139" s="2" t="inlineStr">
        <is>
          <t>Amarillo</t>
        </is>
      </c>
      <c r="C139" s="3" t="n">
        <v>46025</v>
      </c>
      <c r="D139" s="2" t="inlineStr">
        <is>
          <t>B35806964</t>
        </is>
      </c>
      <c r="E139" s="2" t="inlineStr">
        <is>
          <t>Canalizaciones Alpinos S.L.</t>
        </is>
      </c>
      <c r="F139" s="2" t="n">
        <v>2928898</v>
      </c>
      <c r="G139" s="4" t="n">
        <v>686.67</v>
      </c>
      <c r="H139" s="3" t="n">
        <v>46006</v>
      </c>
      <c r="I139" s="3" t="n">
        <v>46083</v>
      </c>
      <c r="J139" s="2" t="n">
        <v>69</v>
      </c>
      <c r="K139" s="2" t="n">
        <v>3.54</v>
      </c>
      <c r="L139" s="2" t="n">
        <v>1.01</v>
      </c>
      <c r="M139" s="4" t="n">
        <v>6.94</v>
      </c>
      <c r="N139" s="4" t="n">
        <v>4.66</v>
      </c>
      <c r="O139" s="2" t="n">
        <v>40</v>
      </c>
      <c r="P139" s="4" t="n">
        <v>3.06</v>
      </c>
      <c r="Q139" s="4" t="n">
        <v>2.12</v>
      </c>
      <c r="R139" s="4">
        <f>G139*(L139/100)*(O139/100)</f>
        <v/>
      </c>
      <c r="S139" s="4">
        <f>G139*(K139/360/100)*J139*(O139/100)</f>
        <v/>
      </c>
      <c r="T139" s="4">
        <f>P139-R139+Q139-S139</f>
        <v/>
      </c>
    </row>
    <row r="140">
      <c r="A140" s="2" t="inlineStr">
        <is>
          <t>Plata</t>
        </is>
      </c>
      <c r="B140" s="2" t="inlineStr">
        <is>
          <t>Amarillo</t>
        </is>
      </c>
      <c r="C140" s="3" t="n">
        <v>46025</v>
      </c>
      <c r="D140" s="2" t="inlineStr">
        <is>
          <t>B35806964</t>
        </is>
      </c>
      <c r="E140" s="2" t="inlineStr">
        <is>
          <t>Canalizaciones Alpinos S.L.</t>
        </is>
      </c>
      <c r="F140" s="2" t="n">
        <v>3605705</v>
      </c>
      <c r="G140" s="4" t="n">
        <v>994.33</v>
      </c>
      <c r="H140" s="3" t="n">
        <v>45994</v>
      </c>
      <c r="I140" s="3" t="n">
        <v>46040</v>
      </c>
      <c r="J140" s="2" t="n">
        <v>44</v>
      </c>
      <c r="K140" s="2" t="n">
        <v>2.81</v>
      </c>
      <c r="L140" s="2" t="n">
        <v>0.96</v>
      </c>
      <c r="M140" s="4" t="n">
        <v>9.550000000000001</v>
      </c>
      <c r="N140" s="4" t="n">
        <v>3.41</v>
      </c>
      <c r="O140" s="2" t="n">
        <v>40</v>
      </c>
      <c r="P140" s="4" t="n">
        <v>3.78</v>
      </c>
      <c r="Q140" s="4" t="n">
        <v>1.41</v>
      </c>
      <c r="R140" s="4">
        <f>G140*(L140/100)*(O140/100)</f>
        <v/>
      </c>
      <c r="S140" s="4">
        <f>G140*(K140/360/100)*J140*(O140/100)</f>
        <v/>
      </c>
      <c r="T140" s="4">
        <f>P140-R140+Q140-S140</f>
        <v/>
      </c>
    </row>
    <row r="141">
      <c r="A141" s="2" t="inlineStr">
        <is>
          <t>Plata</t>
        </is>
      </c>
      <c r="B141" s="2" t="inlineStr">
        <is>
          <t>Amarillo</t>
        </is>
      </c>
      <c r="C141" s="3" t="n">
        <v>46025</v>
      </c>
      <c r="D141" s="2" t="inlineStr">
        <is>
          <t>B74319728</t>
        </is>
      </c>
      <c r="E141" s="2" t="inlineStr">
        <is>
          <t>Inversores Conectados S.L.</t>
        </is>
      </c>
      <c r="F141" s="2" t="n">
        <v>1709336</v>
      </c>
      <c r="G141" s="4" t="n">
        <v>799</v>
      </c>
      <c r="H141" s="3" t="n">
        <v>46018</v>
      </c>
      <c r="I141" s="3" t="n">
        <v>46043</v>
      </c>
      <c r="J141" s="2" t="n">
        <v>67</v>
      </c>
      <c r="K141" s="2" t="n">
        <v>2.53</v>
      </c>
      <c r="L141" s="2" t="n">
        <v>0.89</v>
      </c>
      <c r="M141" s="4" t="n">
        <v>7.11</v>
      </c>
      <c r="N141" s="4" t="n">
        <v>3.76</v>
      </c>
      <c r="O141" s="2" t="n">
        <v>60</v>
      </c>
      <c r="P141" s="4" t="n">
        <v>4.49</v>
      </c>
      <c r="Q141" s="4" t="n">
        <v>2.33</v>
      </c>
      <c r="R141" s="4">
        <f>G141*(L141/100)*(O141/100)</f>
        <v/>
      </c>
      <c r="S141" s="4">
        <f>G141*(K141/360/100)*J141*(O141/100)</f>
        <v/>
      </c>
      <c r="T141" s="4">
        <f>P141-R141+Q141-S141</f>
        <v/>
      </c>
    </row>
    <row r="142">
      <c r="A142" s="2" t="inlineStr">
        <is>
          <t>Plata</t>
        </is>
      </c>
      <c r="B142" s="2" t="inlineStr">
        <is>
          <t>Amarillo</t>
        </is>
      </c>
      <c r="C142" s="3" t="n">
        <v>46025</v>
      </c>
      <c r="D142" s="2" t="inlineStr">
        <is>
          <t>B74319728</t>
        </is>
      </c>
      <c r="E142" s="2" t="inlineStr">
        <is>
          <t>Inversores Conectados S.L.</t>
        </is>
      </c>
      <c r="F142" s="2" t="n">
        <v>2286718</v>
      </c>
      <c r="G142" s="4" t="n">
        <v>293.16</v>
      </c>
      <c r="H142" s="3" t="n">
        <v>45992</v>
      </c>
      <c r="I142" s="3" t="n">
        <v>46036</v>
      </c>
      <c r="J142" s="2" t="n">
        <v>29</v>
      </c>
      <c r="K142" s="2" t="n">
        <v>2.42</v>
      </c>
      <c r="L142" s="2" t="n">
        <v>2.15</v>
      </c>
      <c r="M142" s="4" t="n">
        <v>6.3</v>
      </c>
      <c r="N142" s="4" t="n">
        <v>0.57</v>
      </c>
      <c r="O142" s="2" t="n">
        <v>40</v>
      </c>
      <c r="P142" s="4" t="n">
        <v>2.81</v>
      </c>
      <c r="Q142" s="4" t="n">
        <v>0.05</v>
      </c>
      <c r="R142" s="4">
        <f>G142*(L142/100)*(O142/100)</f>
        <v/>
      </c>
      <c r="S142" s="4">
        <f>G142*(K142/360/100)*J142*(O142/100)</f>
        <v/>
      </c>
      <c r="T142" s="4">
        <f>P142-R142+Q142-S142</f>
        <v/>
      </c>
    </row>
    <row r="143">
      <c r="A143" s="2" t="inlineStr">
        <is>
          <t>Plata</t>
        </is>
      </c>
      <c r="B143" s="2" t="inlineStr">
        <is>
          <t>Amarillo</t>
        </is>
      </c>
      <c r="C143" s="3" t="n">
        <v>46025</v>
      </c>
      <c r="D143" s="2" t="inlineStr">
        <is>
          <t>B74319728</t>
        </is>
      </c>
      <c r="E143" s="2" t="inlineStr">
        <is>
          <t>Inversores Conectados S.L.</t>
        </is>
      </c>
      <c r="F143" s="2" t="n">
        <v>1224249</v>
      </c>
      <c r="G143" s="4" t="n">
        <v>803.24</v>
      </c>
      <c r="H143" s="3" t="n">
        <v>46000</v>
      </c>
      <c r="I143" s="3" t="n">
        <v>46063</v>
      </c>
      <c r="J143" s="2" t="n">
        <v>53</v>
      </c>
      <c r="K143" s="2" t="n">
        <v>1.72</v>
      </c>
      <c r="L143" s="2" t="n">
        <v>1.07</v>
      </c>
      <c r="M143" s="4" t="n">
        <v>8.59</v>
      </c>
      <c r="N143" s="4" t="n">
        <v>2.03</v>
      </c>
      <c r="O143" s="2" t="n">
        <v>70</v>
      </c>
      <c r="P143" s="4" t="n">
        <v>5.95</v>
      </c>
      <c r="Q143" s="4" t="n">
        <v>1.21</v>
      </c>
      <c r="R143" s="4">
        <f>G143*(L143/100)*(O143/100)</f>
        <v/>
      </c>
      <c r="S143" s="4">
        <f>G143*(K143/360/100)*J143*(O143/100)</f>
        <v/>
      </c>
      <c r="T143" s="4">
        <f>P143-R143+Q143-S143</f>
        <v/>
      </c>
    </row>
    <row r="144">
      <c r="A144" s="2" t="inlineStr">
        <is>
          <t>Plata</t>
        </is>
      </c>
      <c r="B144" s="2" t="inlineStr">
        <is>
          <t>Amarillo</t>
        </is>
      </c>
      <c r="C144" s="3" t="n">
        <v>46025</v>
      </c>
      <c r="D144" s="2" t="inlineStr">
        <is>
          <t>B74319728</t>
        </is>
      </c>
      <c r="E144" s="2" t="inlineStr">
        <is>
          <t>Inversores Conectados S.L.</t>
        </is>
      </c>
      <c r="F144" s="2" t="n">
        <v>2356195</v>
      </c>
      <c r="G144" s="4" t="n">
        <v>757.38</v>
      </c>
      <c r="H144" s="3" t="n">
        <v>46008</v>
      </c>
      <c r="I144" s="3" t="n">
        <v>46033</v>
      </c>
      <c r="J144" s="2" t="n">
        <v>25</v>
      </c>
      <c r="K144" s="2" t="n">
        <v>2.7</v>
      </c>
      <c r="L144" s="2" t="n">
        <v>2.4</v>
      </c>
      <c r="M144" s="4" t="n">
        <v>18.18</v>
      </c>
      <c r="N144" s="4" t="n">
        <v>1.42</v>
      </c>
      <c r="O144" s="2" t="n">
        <v>30</v>
      </c>
      <c r="P144" s="4" t="n">
        <v>5.69</v>
      </c>
      <c r="Q144" s="4" t="n">
        <v>0.45</v>
      </c>
      <c r="R144" s="4">
        <f>G144*(L144/100)*(O144/100)</f>
        <v/>
      </c>
      <c r="S144" s="4">
        <f>G144*(K144/360/100)*J144*(O144/100)</f>
        <v/>
      </c>
      <c r="T144" s="4">
        <f>P144-R144+Q144-S144</f>
        <v/>
      </c>
    </row>
    <row r="145">
      <c r="A145" s="2" t="inlineStr">
        <is>
          <t>Plata</t>
        </is>
      </c>
      <c r="B145" s="2" t="inlineStr">
        <is>
          <t>Amarillo</t>
        </is>
      </c>
      <c r="C145" s="3" t="n">
        <v>46025</v>
      </c>
      <c r="D145" s="2" t="inlineStr">
        <is>
          <t>B50766877</t>
        </is>
      </c>
      <c r="E145" s="2" t="inlineStr">
        <is>
          <t>Depuraciones Mineralizados S.L.</t>
        </is>
      </c>
      <c r="F145" s="2" t="n">
        <v>3657955</v>
      </c>
      <c r="G145" s="4" t="n">
        <v>8004.62</v>
      </c>
      <c r="H145" s="3" t="n">
        <v>46018</v>
      </c>
      <c r="I145" s="3" t="n">
        <v>46045</v>
      </c>
      <c r="J145" s="2" t="n">
        <v>67</v>
      </c>
      <c r="K145" s="2" t="n">
        <v>3.56</v>
      </c>
      <c r="L145" s="2" t="n">
        <v>1.51</v>
      </c>
      <c r="M145" s="4" t="n">
        <v>120.87</v>
      </c>
      <c r="N145" s="4" t="n">
        <v>53.04</v>
      </c>
      <c r="O145" s="2" t="n">
        <v>50</v>
      </c>
      <c r="P145" s="4" t="n">
        <v>60.4</v>
      </c>
      <c r="Q145" s="4" t="n">
        <v>26.62</v>
      </c>
      <c r="R145" s="4">
        <f>G145*(L145/100)*(O145/100)</f>
        <v/>
      </c>
      <c r="S145" s="4">
        <f>G145*(K145/360/100)*J145*(O145/100)</f>
        <v/>
      </c>
      <c r="T145" s="4">
        <f>P145-R145+Q145-S145</f>
        <v/>
      </c>
    </row>
    <row r="146">
      <c r="A146" s="2" t="inlineStr">
        <is>
          <t>Plata</t>
        </is>
      </c>
      <c r="B146" s="2" t="inlineStr">
        <is>
          <t>Amarillo</t>
        </is>
      </c>
      <c r="C146" s="3" t="n">
        <v>46025</v>
      </c>
      <c r="D146" s="2" t="inlineStr">
        <is>
          <t>B50766877</t>
        </is>
      </c>
      <c r="E146" s="2" t="inlineStr">
        <is>
          <t>Depuraciones Mineralizados S.L.</t>
        </is>
      </c>
      <c r="F146" s="2" t="n">
        <v>2013087</v>
      </c>
      <c r="G146" s="4" t="n">
        <v>251.5</v>
      </c>
      <c r="H146" s="3" t="n">
        <v>46008</v>
      </c>
      <c r="I146" s="3" t="n">
        <v>46027</v>
      </c>
      <c r="J146" s="2" t="n">
        <v>43</v>
      </c>
      <c r="K146" s="2" t="n">
        <v>2.76</v>
      </c>
      <c r="L146" s="2" t="n">
        <v>1.81</v>
      </c>
      <c r="M146" s="4" t="n">
        <v>4.55</v>
      </c>
      <c r="N146" s="4" t="n">
        <v>0.83</v>
      </c>
      <c r="O146" s="2" t="n">
        <v>70</v>
      </c>
      <c r="P146" s="4" t="n">
        <v>3.04</v>
      </c>
      <c r="Q146" s="4" t="n">
        <v>0.31</v>
      </c>
      <c r="R146" s="4">
        <f>G146*(L146/100)*(O146/100)</f>
        <v/>
      </c>
      <c r="S146" s="4">
        <f>G146*(K146/360/100)*J146*(O146/100)</f>
        <v/>
      </c>
      <c r="T146" s="4">
        <f>P146-R146+Q146-S146</f>
        <v/>
      </c>
    </row>
    <row r="147">
      <c r="A147" s="2" t="inlineStr">
        <is>
          <t>Plata</t>
        </is>
      </c>
      <c r="B147" s="2" t="inlineStr">
        <is>
          <t>Amarillo</t>
        </is>
      </c>
      <c r="C147" s="3" t="n">
        <v>46025</v>
      </c>
      <c r="D147" s="2" t="inlineStr">
        <is>
          <t>B50766877</t>
        </is>
      </c>
      <c r="E147" s="2" t="inlineStr">
        <is>
          <t>Depuraciones Mineralizados S.L.</t>
        </is>
      </c>
      <c r="F147" s="2" t="n">
        <v>3096712</v>
      </c>
      <c r="G147" s="4" t="n">
        <v>645</v>
      </c>
      <c r="H147" s="3" t="n">
        <v>46013</v>
      </c>
      <c r="I147" s="3" t="n">
        <v>46076</v>
      </c>
      <c r="J147" s="2" t="n">
        <v>39</v>
      </c>
      <c r="K147" s="2" t="n">
        <v>2.95</v>
      </c>
      <c r="L147" s="2" t="n">
        <v>0.72</v>
      </c>
      <c r="M147" s="4" t="n">
        <v>4.64</v>
      </c>
      <c r="N147" s="4" t="n">
        <v>2.06</v>
      </c>
      <c r="O147" s="2" t="n">
        <v>60</v>
      </c>
      <c r="P147" s="4" t="n">
        <v>2.86</v>
      </c>
      <c r="Q147" s="4" t="n">
        <v>1.09</v>
      </c>
      <c r="R147" s="4">
        <f>G147*(L147/100)*(O147/100)</f>
        <v/>
      </c>
      <c r="S147" s="4">
        <f>G147*(K147/360/100)*J147*(O147/100)</f>
        <v/>
      </c>
      <c r="T147" s="4">
        <f>P147-R147+Q147-S147</f>
        <v/>
      </c>
    </row>
    <row r="148">
      <c r="A148" s="2" t="inlineStr">
        <is>
          <t>Plata</t>
        </is>
      </c>
      <c r="B148" s="2" t="inlineStr">
        <is>
          <t>Amarillo</t>
        </is>
      </c>
      <c r="C148" s="3" t="n">
        <v>46025</v>
      </c>
      <c r="D148" s="2" t="inlineStr">
        <is>
          <t>B50766877</t>
        </is>
      </c>
      <c r="E148" s="2" t="inlineStr">
        <is>
          <t>Depuraciones Mineralizados S.L.</t>
        </is>
      </c>
      <c r="F148" s="2" t="n">
        <v>3300165</v>
      </c>
      <c r="G148" s="4" t="n">
        <v>240.78</v>
      </c>
      <c r="H148" s="3" t="n">
        <v>46001</v>
      </c>
      <c r="I148" s="3" t="n">
        <v>46030</v>
      </c>
      <c r="J148" s="2" t="n">
        <v>44</v>
      </c>
      <c r="K148" s="2" t="n">
        <v>4.81</v>
      </c>
      <c r="L148" s="2" t="n">
        <v>0.61</v>
      </c>
      <c r="M148" s="4" t="n">
        <v>1.47</v>
      </c>
      <c r="N148" s="4" t="n">
        <v>1.42</v>
      </c>
      <c r="O148" s="2" t="n">
        <v>40</v>
      </c>
      <c r="P148" s="4" t="n">
        <v>0.54</v>
      </c>
      <c r="Q148" s="4" t="n">
        <v>0.67</v>
      </c>
      <c r="R148" s="4">
        <f>G148*(L148/100)*(O148/100)</f>
        <v/>
      </c>
      <c r="S148" s="4">
        <f>G148*(K148/360/100)*J148*(O148/100)</f>
        <v/>
      </c>
      <c r="T148" s="4">
        <f>P148-R148+Q148-S148</f>
        <v/>
      </c>
    </row>
    <row r="149">
      <c r="A149" s="2" t="inlineStr">
        <is>
          <t>Plata</t>
        </is>
      </c>
      <c r="B149" s="2" t="inlineStr">
        <is>
          <t>Amarillo</t>
        </is>
      </c>
      <c r="C149" s="3" t="n">
        <v>46025</v>
      </c>
      <c r="D149" s="2" t="inlineStr">
        <is>
          <t>A00909400</t>
        </is>
      </c>
      <c r="E149" s="2" t="inlineStr">
        <is>
          <t>Auditorías Criogénicos S.A.</t>
        </is>
      </c>
      <c r="F149" s="2" t="n">
        <v>3702395</v>
      </c>
      <c r="G149" s="4" t="n">
        <v>747.25</v>
      </c>
      <c r="H149" s="3" t="n">
        <v>46004</v>
      </c>
      <c r="I149" s="3" t="n">
        <v>46079</v>
      </c>
      <c r="J149" s="2" t="n">
        <v>21</v>
      </c>
      <c r="K149" s="2" t="n">
        <v>1.74</v>
      </c>
      <c r="L149" s="2" t="n">
        <v>0.59</v>
      </c>
      <c r="M149" s="4" t="n">
        <v>4.41</v>
      </c>
      <c r="N149" s="4" t="n">
        <v>0.76</v>
      </c>
      <c r="O149" s="2" t="n">
        <v>40</v>
      </c>
      <c r="P149" s="4" t="n">
        <v>1.69</v>
      </c>
      <c r="Q149" s="4" t="n">
        <v>0.09</v>
      </c>
      <c r="R149" s="4">
        <f>G149*(L149/100)*(O149/100)</f>
        <v/>
      </c>
      <c r="S149" s="4">
        <f>G149*(K149/360/100)*J149*(O149/100)</f>
        <v/>
      </c>
      <c r="T149" s="4">
        <f>P149-R149+Q149-S149</f>
        <v/>
      </c>
    </row>
    <row r="150">
      <c r="A150" s="2" t="inlineStr">
        <is>
          <t>Plata</t>
        </is>
      </c>
      <c r="B150" s="2" t="inlineStr">
        <is>
          <t>Amarillo</t>
        </is>
      </c>
      <c r="C150" s="3" t="n">
        <v>46025</v>
      </c>
      <c r="D150" s="2" t="inlineStr">
        <is>
          <t>A00909400</t>
        </is>
      </c>
      <c r="E150" s="2" t="inlineStr">
        <is>
          <t>Auditorías Criogénicos S.A.</t>
        </is>
      </c>
      <c r="F150" s="2" t="n">
        <v>4032962</v>
      </c>
      <c r="G150" s="4" t="n">
        <v>727.99</v>
      </c>
      <c r="H150" s="3" t="n">
        <v>45997</v>
      </c>
      <c r="I150" s="3" t="n">
        <v>46097</v>
      </c>
      <c r="J150" s="2" t="n">
        <v>29</v>
      </c>
      <c r="K150" s="2" t="n">
        <v>3.17</v>
      </c>
      <c r="L150" s="2" t="n">
        <v>0.91</v>
      </c>
      <c r="M150" s="4" t="n">
        <v>6.62</v>
      </c>
      <c r="N150" s="4" t="n">
        <v>1.86</v>
      </c>
      <c r="O150" s="2" t="n">
        <v>60</v>
      </c>
      <c r="P150" s="4" t="n">
        <v>3.98</v>
      </c>
      <c r="Q150" s="4" t="n">
        <v>1.2</v>
      </c>
      <c r="R150" s="4">
        <f>G150*(L150/100)*(O150/100)</f>
        <v/>
      </c>
      <c r="S150" s="4">
        <f>G150*(K150/360/100)*J150*(O150/100)</f>
        <v/>
      </c>
      <c r="T150" s="4">
        <f>P150-R150+Q150-S150</f>
        <v/>
      </c>
    </row>
    <row r="151">
      <c r="A151" s="2" t="inlineStr">
        <is>
          <t>Plata</t>
        </is>
      </c>
      <c r="B151" s="2" t="inlineStr">
        <is>
          <t>Amarillo</t>
        </is>
      </c>
      <c r="C151" s="3" t="n">
        <v>46025</v>
      </c>
      <c r="D151" s="2" t="inlineStr">
        <is>
          <t>A00909400</t>
        </is>
      </c>
      <c r="E151" s="2" t="inlineStr">
        <is>
          <t>Auditorías Criogénicos S.A.</t>
        </is>
      </c>
      <c r="F151" s="2" t="n">
        <v>1182922</v>
      </c>
      <c r="G151" s="4" t="n">
        <v>746.87</v>
      </c>
      <c r="H151" s="3" t="n">
        <v>46019</v>
      </c>
      <c r="I151" s="3" t="n">
        <v>46066</v>
      </c>
      <c r="J151" s="2" t="n">
        <v>39</v>
      </c>
      <c r="K151" s="2" t="n">
        <v>1.59</v>
      </c>
      <c r="L151" s="2" t="n">
        <v>2.12</v>
      </c>
      <c r="M151" s="4" t="n">
        <v>15.83</v>
      </c>
      <c r="N151" s="4" t="n">
        <v>1.29</v>
      </c>
      <c r="O151" s="2" t="n">
        <v>70</v>
      </c>
      <c r="P151" s="4" t="n">
        <v>11.37</v>
      </c>
      <c r="Q151" s="4" t="n">
        <v>0.6899999999999999</v>
      </c>
      <c r="R151" s="4">
        <f>G151*(L151/100)*(O151/100)</f>
        <v/>
      </c>
      <c r="S151" s="4">
        <f>G151*(K151/360/100)*J151*(O151/100)</f>
        <v/>
      </c>
      <c r="T151" s="4">
        <f>P151-R151+Q151-S151</f>
        <v/>
      </c>
    </row>
    <row r="152">
      <c r="A152" s="2" t="inlineStr">
        <is>
          <t>Plata</t>
        </is>
      </c>
      <c r="B152" s="2" t="inlineStr">
        <is>
          <t>Amarillo</t>
        </is>
      </c>
      <c r="C152" s="3" t="n">
        <v>46025</v>
      </c>
      <c r="D152" s="2" t="inlineStr">
        <is>
          <t>A83221422</t>
        </is>
      </c>
      <c r="E152" s="2" t="inlineStr">
        <is>
          <t>Fertilizantes Medianos S.A.</t>
        </is>
      </c>
      <c r="F152" s="2" t="n">
        <v>2478955</v>
      </c>
      <c r="G152" s="4" t="n">
        <v>865.02</v>
      </c>
      <c r="H152" s="3" t="n">
        <v>46011</v>
      </c>
      <c r="I152" s="3" t="n">
        <v>46039</v>
      </c>
      <c r="J152" s="2" t="n">
        <v>55</v>
      </c>
      <c r="K152" s="2" t="n">
        <v>4.15</v>
      </c>
      <c r="L152" s="2" t="n">
        <v>0.61</v>
      </c>
      <c r="M152" s="4" t="n">
        <v>5.28</v>
      </c>
      <c r="N152" s="4" t="n">
        <v>5.48</v>
      </c>
      <c r="O152" s="2" t="n">
        <v>30</v>
      </c>
      <c r="P152" s="4" t="n">
        <v>1.81</v>
      </c>
      <c r="Q152" s="4" t="n">
        <v>1.37</v>
      </c>
      <c r="R152" s="4">
        <f>G152*(L152/100)*(O152/100)</f>
        <v/>
      </c>
      <c r="S152" s="4">
        <f>G152*(K152/360/100)*J152*(O152/100)</f>
        <v/>
      </c>
      <c r="T152" s="4">
        <f>P152-R152+Q152-S152</f>
        <v/>
      </c>
    </row>
    <row r="153">
      <c r="A153" s="2" t="inlineStr">
        <is>
          <t>Plata</t>
        </is>
      </c>
      <c r="B153" s="2" t="inlineStr">
        <is>
          <t>Amarillo</t>
        </is>
      </c>
      <c r="C153" s="3" t="n">
        <v>46025</v>
      </c>
      <c r="D153" s="2" t="inlineStr">
        <is>
          <t>A83221422</t>
        </is>
      </c>
      <c r="E153" s="2" t="inlineStr">
        <is>
          <t>Fertilizantes Medianos S.A.</t>
        </is>
      </c>
      <c r="F153" s="2" t="n">
        <v>3262105</v>
      </c>
      <c r="G153" s="4" t="n">
        <v>285.89</v>
      </c>
      <c r="H153" s="3" t="n">
        <v>46001</v>
      </c>
      <c r="I153" s="3" t="n">
        <v>46091</v>
      </c>
      <c r="J153" s="2" t="n">
        <v>17</v>
      </c>
      <c r="K153" s="2" t="n">
        <v>2.12</v>
      </c>
      <c r="L153" s="2" t="n">
        <v>1.98</v>
      </c>
      <c r="M153" s="4" t="n">
        <v>5.66</v>
      </c>
      <c r="N153" s="4" t="n">
        <v>0.29</v>
      </c>
      <c r="O153" s="2" t="n">
        <v>70</v>
      </c>
      <c r="P153" s="4" t="n">
        <v>3.99</v>
      </c>
      <c r="Q153" s="4" t="n">
        <v>0.37</v>
      </c>
      <c r="R153" s="4">
        <f>G153*(L153/100)*(O153/100)</f>
        <v/>
      </c>
      <c r="S153" s="4">
        <f>G153*(K153/360/100)*J153*(O153/100)</f>
        <v/>
      </c>
      <c r="T153" s="4">
        <f>P153-R153+Q153-S153</f>
        <v/>
      </c>
    </row>
    <row r="154">
      <c r="A154" s="2" t="inlineStr">
        <is>
          <t>Plata</t>
        </is>
      </c>
      <c r="B154" s="2" t="inlineStr">
        <is>
          <t>Amarillo</t>
        </is>
      </c>
      <c r="C154" s="3" t="n">
        <v>46025</v>
      </c>
      <c r="D154" s="2" t="inlineStr">
        <is>
          <t>A83221422</t>
        </is>
      </c>
      <c r="E154" s="2" t="inlineStr">
        <is>
          <t>Fertilizantes Medianos S.A.</t>
        </is>
      </c>
      <c r="F154" s="2" t="n">
        <v>2545508</v>
      </c>
      <c r="G154" s="4" t="n">
        <v>849.87</v>
      </c>
      <c r="H154" s="3" t="n">
        <v>46009</v>
      </c>
      <c r="I154" s="3" t="n">
        <v>46050</v>
      </c>
      <c r="J154" s="2" t="n">
        <v>34</v>
      </c>
      <c r="K154" s="2" t="n">
        <v>4.1</v>
      </c>
      <c r="L154" s="2" t="n">
        <v>1.46</v>
      </c>
      <c r="M154" s="4" t="n">
        <v>12.41</v>
      </c>
      <c r="N154" s="4" t="n">
        <v>3.29</v>
      </c>
      <c r="O154" s="2" t="n">
        <v>50</v>
      </c>
      <c r="P154" s="4" t="n">
        <v>6.24</v>
      </c>
      <c r="Q154" s="4" t="n">
        <v>1.61</v>
      </c>
      <c r="R154" s="4">
        <f>G154*(L154/100)*(O154/100)</f>
        <v/>
      </c>
      <c r="S154" s="4">
        <f>G154*(K154/360/100)*J154*(O154/100)</f>
        <v/>
      </c>
      <c r="T154" s="4">
        <f>P154-R154+Q154-S154</f>
        <v/>
      </c>
    </row>
    <row r="155">
      <c r="A155" s="2" t="inlineStr">
        <is>
          <t>Plata</t>
        </is>
      </c>
      <c r="B155" s="2" t="inlineStr">
        <is>
          <t>Amarillo</t>
        </is>
      </c>
      <c r="C155" s="3" t="n">
        <v>46025</v>
      </c>
      <c r="D155" s="2" t="inlineStr">
        <is>
          <t>A83221422</t>
        </is>
      </c>
      <c r="E155" s="2" t="inlineStr">
        <is>
          <t>Fertilizantes Medianos S.A.</t>
        </is>
      </c>
      <c r="F155" s="2" t="n">
        <v>3286655</v>
      </c>
      <c r="G155" s="4" t="n">
        <v>1816.52</v>
      </c>
      <c r="H155" s="3" t="n">
        <v>45995</v>
      </c>
      <c r="I155" s="3" t="n">
        <v>46057</v>
      </c>
      <c r="J155" s="2" t="n">
        <v>72</v>
      </c>
      <c r="K155" s="2" t="n">
        <v>4.33</v>
      </c>
      <c r="L155" s="2" t="n">
        <v>1.95</v>
      </c>
      <c r="M155" s="4" t="n">
        <v>35.42</v>
      </c>
      <c r="N155" s="4" t="n">
        <v>15.73</v>
      </c>
      <c r="O155" s="2" t="n">
        <v>30</v>
      </c>
      <c r="P155" s="4" t="n">
        <v>10.44</v>
      </c>
      <c r="Q155" s="4" t="n">
        <v>4.46</v>
      </c>
      <c r="R155" s="4">
        <f>G155*(L155/100)*(O155/100)</f>
        <v/>
      </c>
      <c r="S155" s="4">
        <f>G155*(K155/360/100)*J155*(O155/100)</f>
        <v/>
      </c>
      <c r="T155" s="4">
        <f>P155-R155+Q155-S155</f>
        <v/>
      </c>
    </row>
    <row r="156">
      <c r="A156" s="2" t="inlineStr">
        <is>
          <t>Plata</t>
        </is>
      </c>
      <c r="B156" s="2" t="inlineStr">
        <is>
          <t>Amarillo</t>
        </is>
      </c>
      <c r="C156" s="3" t="n">
        <v>46025</v>
      </c>
      <c r="D156" s="2" t="inlineStr">
        <is>
          <t>A68218920</t>
        </is>
      </c>
      <c r="E156" s="2" t="inlineStr">
        <is>
          <t>Ferrosos Centenarios S.A.</t>
        </is>
      </c>
      <c r="F156" s="2" t="n">
        <v>4190535</v>
      </c>
      <c r="G156" s="4" t="n">
        <v>534.24</v>
      </c>
      <c r="H156" s="3" t="n">
        <v>46014</v>
      </c>
      <c r="I156" s="3" t="n">
        <v>46089</v>
      </c>
      <c r="J156" s="2" t="n">
        <v>65</v>
      </c>
      <c r="K156" s="2" t="n">
        <v>1.55</v>
      </c>
      <c r="L156" s="2" t="n">
        <v>1.52</v>
      </c>
      <c r="M156" s="4" t="n">
        <v>8.119999999999999</v>
      </c>
      <c r="N156" s="4" t="n">
        <v>1.5</v>
      </c>
      <c r="O156" s="2" t="n">
        <v>30</v>
      </c>
      <c r="P156" s="4" t="n">
        <v>2.14</v>
      </c>
      <c r="Q156" s="4" t="n">
        <v>0.27</v>
      </c>
      <c r="R156" s="4">
        <f>G156*(L156/100)*(O156/100)</f>
        <v/>
      </c>
      <c r="S156" s="4">
        <f>G156*(K156/360/100)*J156*(O156/100)</f>
        <v/>
      </c>
      <c r="T156" s="4">
        <f>P156-R156+Q156-S156</f>
        <v/>
      </c>
    </row>
    <row r="157">
      <c r="A157" s="2" t="inlineStr">
        <is>
          <t>Plata</t>
        </is>
      </c>
      <c r="B157" s="2" t="inlineStr">
        <is>
          <t>Amarillo</t>
        </is>
      </c>
      <c r="C157" s="3" t="n">
        <v>46025</v>
      </c>
      <c r="D157" s="2" t="inlineStr">
        <is>
          <t>A68218920</t>
        </is>
      </c>
      <c r="E157" s="2" t="inlineStr">
        <is>
          <t>Ferrosos Centenarios S.A.</t>
        </is>
      </c>
      <c r="F157" s="2" t="n">
        <v>2290552</v>
      </c>
      <c r="G157" s="4" t="n">
        <v>860.89</v>
      </c>
      <c r="H157" s="3" t="n">
        <v>46006</v>
      </c>
      <c r="I157" s="3" t="n">
        <v>46044</v>
      </c>
      <c r="J157" s="2" t="n">
        <v>36</v>
      </c>
      <c r="K157" s="2" t="n">
        <v>4.19</v>
      </c>
      <c r="L157" s="2" t="n">
        <v>0.9</v>
      </c>
      <c r="M157" s="4" t="n">
        <v>7.75</v>
      </c>
      <c r="N157" s="4" t="n">
        <v>3.61</v>
      </c>
      <c r="O157" s="2" t="n">
        <v>30</v>
      </c>
      <c r="P157" s="4" t="n">
        <v>2.55</v>
      </c>
      <c r="Q157" s="4" t="n">
        <v>1.34</v>
      </c>
      <c r="R157" s="4">
        <f>G157*(L157/100)*(O157/100)</f>
        <v/>
      </c>
      <c r="S157" s="4">
        <f>G157*(K157/360/100)*J157*(O157/100)</f>
        <v/>
      </c>
      <c r="T157" s="4">
        <f>P157-R157+Q157-S157</f>
        <v/>
      </c>
    </row>
    <row r="158">
      <c r="A158" s="2" t="inlineStr">
        <is>
          <t>Plata</t>
        </is>
      </c>
      <c r="B158" s="2" t="inlineStr">
        <is>
          <t>Amarillo</t>
        </is>
      </c>
      <c r="C158" s="3" t="n">
        <v>46025</v>
      </c>
      <c r="D158" s="2" t="inlineStr">
        <is>
          <t>A68218920</t>
        </is>
      </c>
      <c r="E158" s="2" t="inlineStr">
        <is>
          <t>Ferrosos Centenarios S.A.</t>
        </is>
      </c>
      <c r="F158" s="2" t="n">
        <v>3196859</v>
      </c>
      <c r="G158" s="4" t="n">
        <v>2464.65</v>
      </c>
      <c r="H158" s="3" t="n">
        <v>46014</v>
      </c>
      <c r="I158" s="3" t="n">
        <v>46098</v>
      </c>
      <c r="J158" s="2" t="n">
        <v>41</v>
      </c>
      <c r="K158" s="2" t="n">
        <v>3.23</v>
      </c>
      <c r="L158" s="2" t="n">
        <v>0.7</v>
      </c>
      <c r="M158" s="4" t="n">
        <v>17.25</v>
      </c>
      <c r="N158" s="4" t="n">
        <v>9.07</v>
      </c>
      <c r="O158" s="2" t="n">
        <v>30</v>
      </c>
      <c r="P158" s="4" t="n">
        <v>5.14</v>
      </c>
      <c r="Q158" s="4" t="n">
        <v>2.75</v>
      </c>
      <c r="R158" s="4">
        <f>G158*(L158/100)*(O158/100)</f>
        <v/>
      </c>
      <c r="S158" s="4">
        <f>G158*(K158/360/100)*J158*(O158/100)</f>
        <v/>
      </c>
      <c r="T158" s="4">
        <f>P158-R158+Q158-S158</f>
        <v/>
      </c>
    </row>
    <row r="159">
      <c r="A159" s="2" t="inlineStr">
        <is>
          <t>Plata</t>
        </is>
      </c>
      <c r="B159" s="2" t="inlineStr">
        <is>
          <t>Amarillo</t>
        </is>
      </c>
      <c r="C159" s="3" t="n">
        <v>46025</v>
      </c>
      <c r="D159" s="2" t="inlineStr">
        <is>
          <t>A68218920</t>
        </is>
      </c>
      <c r="E159" s="2" t="inlineStr">
        <is>
          <t>Ferrosos Centenarios S.A.</t>
        </is>
      </c>
      <c r="F159" s="2" t="n">
        <v>4598456</v>
      </c>
      <c r="G159" s="4" t="n">
        <v>7216.77</v>
      </c>
      <c r="H159" s="3" t="n">
        <v>45996</v>
      </c>
      <c r="I159" s="3" t="n">
        <v>46057</v>
      </c>
      <c r="J159" s="2" t="n">
        <v>30</v>
      </c>
      <c r="K159" s="2" t="n">
        <v>3.9</v>
      </c>
      <c r="L159" s="2" t="n">
        <v>1.1</v>
      </c>
      <c r="M159" s="4" t="n">
        <v>79.38</v>
      </c>
      <c r="N159" s="4" t="n">
        <v>23.45</v>
      </c>
      <c r="O159" s="2" t="n">
        <v>60</v>
      </c>
      <c r="P159" s="4" t="n">
        <v>47.87</v>
      </c>
      <c r="Q159" s="4" t="n">
        <v>14.27</v>
      </c>
      <c r="R159" s="4">
        <f>G159*(L159/100)*(O159/100)</f>
        <v/>
      </c>
      <c r="S159" s="4">
        <f>G159*(K159/360/100)*J159*(O159/100)</f>
        <v/>
      </c>
      <c r="T159" s="4">
        <f>P159-R159+Q159-S159</f>
        <v/>
      </c>
    </row>
    <row r="160">
      <c r="A160" s="2" t="inlineStr">
        <is>
          <t>Plata</t>
        </is>
      </c>
      <c r="B160" s="2" t="inlineStr">
        <is>
          <t>Amarillo</t>
        </is>
      </c>
      <c r="C160" s="3" t="n">
        <v>46025</v>
      </c>
      <c r="D160" s="2" t="inlineStr">
        <is>
          <t>B87003538</t>
        </is>
      </c>
      <c r="E160" s="2" t="inlineStr">
        <is>
          <t>Bombeos Internacionales S.L.</t>
        </is>
      </c>
      <c r="F160" s="2" t="n">
        <v>1704294</v>
      </c>
      <c r="G160" s="4" t="n">
        <v>623.3099999999999</v>
      </c>
      <c r="H160" s="3" t="n">
        <v>46006</v>
      </c>
      <c r="I160" s="3" t="n">
        <v>46084</v>
      </c>
      <c r="J160" s="2" t="n">
        <v>21</v>
      </c>
      <c r="K160" s="2" t="n">
        <v>4.28</v>
      </c>
      <c r="L160" s="2" t="n">
        <v>1.15</v>
      </c>
      <c r="M160" s="4" t="n">
        <v>7.17</v>
      </c>
      <c r="N160" s="4" t="n">
        <v>1.56</v>
      </c>
      <c r="O160" s="2" t="n">
        <v>40</v>
      </c>
      <c r="P160" s="4" t="n">
        <v>2.9</v>
      </c>
      <c r="Q160" s="4" t="n">
        <v>0.67</v>
      </c>
      <c r="R160" s="4">
        <f>G160*(L160/100)*(O160/100)</f>
        <v/>
      </c>
      <c r="S160" s="4">
        <f>G160*(K160/360/100)*J160*(O160/100)</f>
        <v/>
      </c>
      <c r="T160" s="4">
        <f>P160-R160+Q160-S160</f>
        <v/>
      </c>
    </row>
    <row r="161">
      <c r="A161" s="2" t="inlineStr">
        <is>
          <t>Plata</t>
        </is>
      </c>
      <c r="B161" s="2" t="inlineStr">
        <is>
          <t>Amarillo</t>
        </is>
      </c>
      <c r="C161" s="3" t="n">
        <v>46025</v>
      </c>
      <c r="D161" s="2" t="inlineStr">
        <is>
          <t>B87003538</t>
        </is>
      </c>
      <c r="E161" s="2" t="inlineStr">
        <is>
          <t>Bombeos Internacionales S.L.</t>
        </is>
      </c>
      <c r="F161" s="2" t="n">
        <v>1551581</v>
      </c>
      <c r="G161" s="4" t="n">
        <v>6256.24</v>
      </c>
      <c r="H161" s="3" t="n">
        <v>46015</v>
      </c>
      <c r="I161" s="3" t="n">
        <v>46109</v>
      </c>
      <c r="J161" s="2" t="n">
        <v>26</v>
      </c>
      <c r="K161" s="2" t="n">
        <v>2.88</v>
      </c>
      <c r="L161" s="2" t="n">
        <v>0.58</v>
      </c>
      <c r="M161" s="4" t="n">
        <v>36.29</v>
      </c>
      <c r="N161" s="4" t="n">
        <v>13.01</v>
      </c>
      <c r="O161" s="2" t="n">
        <v>70</v>
      </c>
      <c r="P161" s="4" t="n">
        <v>25.17</v>
      </c>
      <c r="Q161" s="4" t="n">
        <v>9.35</v>
      </c>
      <c r="R161" s="4">
        <f>G161*(L161/100)*(O161/100)</f>
        <v/>
      </c>
      <c r="S161" s="4">
        <f>G161*(K161/360/100)*J161*(O161/100)</f>
        <v/>
      </c>
      <c r="T161" s="4">
        <f>P161-R161+Q161-S161</f>
        <v/>
      </c>
    </row>
    <row r="162">
      <c r="A162" s="2" t="inlineStr">
        <is>
          <t>Plata</t>
        </is>
      </c>
      <c r="B162" s="2" t="inlineStr">
        <is>
          <t>Amarillo</t>
        </is>
      </c>
      <c r="C162" s="3" t="n">
        <v>46025</v>
      </c>
      <c r="D162" s="2" t="inlineStr">
        <is>
          <t>B87003538</t>
        </is>
      </c>
      <c r="E162" s="2" t="inlineStr">
        <is>
          <t>Bombeos Internacionales S.L.</t>
        </is>
      </c>
      <c r="F162" s="2" t="n">
        <v>1347052</v>
      </c>
      <c r="G162" s="4" t="n">
        <v>942.52</v>
      </c>
      <c r="H162" s="3" t="n">
        <v>46014</v>
      </c>
      <c r="I162" s="3" t="n">
        <v>46076</v>
      </c>
      <c r="J162" s="2" t="n">
        <v>39</v>
      </c>
      <c r="K162" s="2" t="n">
        <v>3.44</v>
      </c>
      <c r="L162" s="2" t="n">
        <v>2.38</v>
      </c>
      <c r="M162" s="4" t="n">
        <v>22.43</v>
      </c>
      <c r="N162" s="4" t="n">
        <v>3.51</v>
      </c>
      <c r="O162" s="2" t="n">
        <v>30</v>
      </c>
      <c r="P162" s="4" t="n">
        <v>6.81</v>
      </c>
      <c r="Q162" s="4" t="n">
        <v>1.08</v>
      </c>
      <c r="R162" s="4">
        <f>G162*(L162/100)*(O162/100)</f>
        <v/>
      </c>
      <c r="S162" s="4">
        <f>G162*(K162/360/100)*J162*(O162/100)</f>
        <v/>
      </c>
      <c r="T162" s="4">
        <f>P162-R162+Q162-S162</f>
        <v/>
      </c>
    </row>
    <row r="163">
      <c r="A163" s="2" t="inlineStr">
        <is>
          <t>Plata</t>
        </is>
      </c>
      <c r="B163" s="2" t="inlineStr">
        <is>
          <t>Amarillo</t>
        </is>
      </c>
      <c r="C163" s="3" t="n">
        <v>46025</v>
      </c>
      <c r="D163" s="2" t="inlineStr">
        <is>
          <t>B87003538</t>
        </is>
      </c>
      <c r="E163" s="2" t="inlineStr">
        <is>
          <t>Bombeos Internacionales S.L.</t>
        </is>
      </c>
      <c r="F163" s="2" t="n">
        <v>1320234</v>
      </c>
      <c r="G163" s="4" t="n">
        <v>797.8</v>
      </c>
      <c r="H163" s="3" t="n">
        <v>46004</v>
      </c>
      <c r="I163" s="3" t="n">
        <v>46037</v>
      </c>
      <c r="J163" s="2" t="n">
        <v>25</v>
      </c>
      <c r="K163" s="2" t="n">
        <v>4.66</v>
      </c>
      <c r="L163" s="2" t="n">
        <v>1.39</v>
      </c>
      <c r="M163" s="4" t="n">
        <v>11.09</v>
      </c>
      <c r="N163" s="4" t="n">
        <v>2.58</v>
      </c>
      <c r="O163" s="2" t="n">
        <v>50</v>
      </c>
      <c r="P163" s="4" t="n">
        <v>5.74</v>
      </c>
      <c r="Q163" s="4" t="n">
        <v>1.09</v>
      </c>
      <c r="R163" s="4">
        <f>G163*(L163/100)*(O163/100)</f>
        <v/>
      </c>
      <c r="S163" s="4">
        <f>G163*(K163/360/100)*J163*(O163/100)</f>
        <v/>
      </c>
      <c r="T163" s="4">
        <f>P163-R163+Q163-S163</f>
        <v/>
      </c>
    </row>
    <row r="164">
      <c r="A164" s="2" t="inlineStr">
        <is>
          <t>Plata</t>
        </is>
      </c>
      <c r="B164" s="2" t="inlineStr">
        <is>
          <t>Amarillo</t>
        </is>
      </c>
      <c r="C164" s="3" t="n">
        <v>46025</v>
      </c>
      <c r="D164" s="2" t="inlineStr">
        <is>
          <t>B56898139</t>
        </is>
      </c>
      <c r="E164" s="2" t="inlineStr">
        <is>
          <t>Rectificadores Extremeños S.L.</t>
        </is>
      </c>
      <c r="F164" s="2" t="n">
        <v>1573973</v>
      </c>
      <c r="G164" s="4" t="n">
        <v>386.38</v>
      </c>
      <c r="H164" s="3" t="n">
        <v>45996</v>
      </c>
      <c r="I164" s="3" t="n">
        <v>46089</v>
      </c>
      <c r="J164" s="2" t="n">
        <v>28</v>
      </c>
      <c r="K164" s="2" t="n">
        <v>4.83</v>
      </c>
      <c r="L164" s="2" t="n">
        <v>1.43</v>
      </c>
      <c r="M164" s="4" t="n">
        <v>5.53</v>
      </c>
      <c r="N164" s="4" t="n">
        <v>1.45</v>
      </c>
      <c r="O164" s="2" t="n">
        <v>70</v>
      </c>
      <c r="P164" s="4" t="n">
        <v>4.13</v>
      </c>
      <c r="Q164" s="4" t="n">
        <v>0.95</v>
      </c>
      <c r="R164" s="4">
        <f>G164*(L164/100)*(O164/100)</f>
        <v/>
      </c>
      <c r="S164" s="4">
        <f>G164*(K164/360/100)*J164*(O164/100)</f>
        <v/>
      </c>
      <c r="T164" s="4">
        <f>P164-R164+Q164-S164</f>
        <v/>
      </c>
    </row>
    <row r="165">
      <c r="A165" s="2" t="inlineStr">
        <is>
          <t>Plata</t>
        </is>
      </c>
      <c r="B165" s="2" t="inlineStr">
        <is>
          <t>Amarillo</t>
        </is>
      </c>
      <c r="C165" s="3" t="n">
        <v>46025</v>
      </c>
      <c r="D165" s="2" t="inlineStr">
        <is>
          <t>B56898139</t>
        </is>
      </c>
      <c r="E165" s="2" t="inlineStr">
        <is>
          <t>Rectificadores Extremeños S.L.</t>
        </is>
      </c>
      <c r="F165" s="2" t="n">
        <v>1894141</v>
      </c>
      <c r="G165" s="4" t="n">
        <v>584.14</v>
      </c>
      <c r="H165" s="3" t="n">
        <v>46003</v>
      </c>
      <c r="I165" s="3" t="n">
        <v>46097</v>
      </c>
      <c r="J165" s="2" t="n">
        <v>24</v>
      </c>
      <c r="K165" s="2" t="n">
        <v>3.27</v>
      </c>
      <c r="L165" s="2" t="n">
        <v>1.78</v>
      </c>
      <c r="M165" s="4" t="n">
        <v>10.4</v>
      </c>
      <c r="N165" s="4" t="n">
        <v>1.27</v>
      </c>
      <c r="O165" s="2" t="n">
        <v>70</v>
      </c>
      <c r="P165" s="4" t="n">
        <v>7.5</v>
      </c>
      <c r="Q165" s="4" t="n">
        <v>1.05</v>
      </c>
      <c r="R165" s="4">
        <f>G165*(L165/100)*(O165/100)</f>
        <v/>
      </c>
      <c r="S165" s="4">
        <f>G165*(K165/360/100)*J165*(O165/100)</f>
        <v/>
      </c>
      <c r="T165" s="4">
        <f>P165-R165+Q165-S165</f>
        <v/>
      </c>
    </row>
    <row r="166">
      <c r="A166" s="2" t="inlineStr">
        <is>
          <t>Plata</t>
        </is>
      </c>
      <c r="B166" s="2" t="inlineStr">
        <is>
          <t>Amarillo</t>
        </is>
      </c>
      <c r="C166" s="3" t="n">
        <v>46025</v>
      </c>
      <c r="D166" s="2" t="inlineStr">
        <is>
          <t>B56898139</t>
        </is>
      </c>
      <c r="E166" s="2" t="inlineStr">
        <is>
          <t>Rectificadores Extremeños S.L.</t>
        </is>
      </c>
      <c r="F166" s="2" t="n">
        <v>3510894</v>
      </c>
      <c r="G166" s="4" t="n">
        <v>653.4</v>
      </c>
      <c r="H166" s="3" t="n">
        <v>46016</v>
      </c>
      <c r="I166" s="3" t="n">
        <v>46040</v>
      </c>
      <c r="J166" s="2" t="n">
        <v>47</v>
      </c>
      <c r="K166" s="2" t="n">
        <v>3.92</v>
      </c>
      <c r="L166" s="2" t="n">
        <v>1.42</v>
      </c>
      <c r="M166" s="4" t="n">
        <v>9.279999999999999</v>
      </c>
      <c r="N166" s="4" t="n">
        <v>3.34</v>
      </c>
      <c r="O166" s="2" t="n">
        <v>30</v>
      </c>
      <c r="P166" s="4" t="n">
        <v>3.06</v>
      </c>
      <c r="Q166" s="4" t="n">
        <v>1.06</v>
      </c>
      <c r="R166" s="4">
        <f>G166*(L166/100)*(O166/100)</f>
        <v/>
      </c>
      <c r="S166" s="4">
        <f>G166*(K166/360/100)*J166*(O166/100)</f>
        <v/>
      </c>
      <c r="T166" s="4">
        <f>P166-R166+Q166-S166</f>
        <v/>
      </c>
    </row>
    <row r="167">
      <c r="A167" s="2" t="inlineStr">
        <is>
          <t>Plata</t>
        </is>
      </c>
      <c r="B167" s="2" t="inlineStr">
        <is>
          <t>Amarillo</t>
        </is>
      </c>
      <c r="C167" s="3" t="n">
        <v>46025</v>
      </c>
      <c r="D167" s="2" t="inlineStr">
        <is>
          <t>B56898139</t>
        </is>
      </c>
      <c r="E167" s="2" t="inlineStr">
        <is>
          <t>Rectificadores Extremeños S.L.</t>
        </is>
      </c>
      <c r="F167" s="2" t="n">
        <v>4771705</v>
      </c>
      <c r="G167" s="4" t="n">
        <v>771.79</v>
      </c>
      <c r="H167" s="3" t="n">
        <v>46004</v>
      </c>
      <c r="I167" s="3" t="n">
        <v>46096</v>
      </c>
      <c r="J167" s="2" t="n">
        <v>37</v>
      </c>
      <c r="K167" s="2" t="n">
        <v>2.25</v>
      </c>
      <c r="L167" s="2" t="n">
        <v>2.26</v>
      </c>
      <c r="M167" s="4" t="n">
        <v>17.44</v>
      </c>
      <c r="N167" s="4" t="n">
        <v>1.78</v>
      </c>
      <c r="O167" s="2" t="n">
        <v>50</v>
      </c>
      <c r="P167" s="4" t="n">
        <v>9.02</v>
      </c>
      <c r="Q167" s="4" t="n">
        <v>0.85</v>
      </c>
      <c r="R167" s="4">
        <f>G167*(L167/100)*(O167/100)</f>
        <v/>
      </c>
      <c r="S167" s="4">
        <f>G167*(K167/360/100)*J167*(O167/100)</f>
        <v/>
      </c>
      <c r="T167" s="4">
        <f>P167-R167+Q167-S167</f>
        <v/>
      </c>
    </row>
    <row r="168">
      <c r="A168" s="5" t="inlineStr">
        <is>
          <t>Total</t>
        </is>
      </c>
      <c r="G168" s="6">
        <f>SUBTOTAL(109,G2:G167)</f>
        <v/>
      </c>
      <c r="M168" s="6">
        <f>SUBTOTAL(109,M2:M167)</f>
        <v/>
      </c>
      <c r="N168" s="6">
        <f>SUBTOTAL(109,N2:N167)</f>
        <v/>
      </c>
      <c r="P168" s="6">
        <f>SUBTOTAL(109,P2:P167)</f>
        <v/>
      </c>
      <c r="Q168" s="6">
        <f>SUBTOTAL(109,Q2:Q167)</f>
        <v/>
      </c>
      <c r="R168" s="6">
        <f>SUBTOTAL(109,R2:R167)</f>
        <v/>
      </c>
      <c r="S168" s="6">
        <f>SUBTOTAL(109,S2:S167)</f>
        <v/>
      </c>
      <c r="T168" s="6">
        <f>SUBTOTAL(109,T2:T167)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168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2" customWidth="1" min="4" max="4"/>
    <col width="6" customWidth="1" min="5" max="5"/>
    <col width="8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8" customWidth="1" min="12" max="12"/>
    <col width="11" customWidth="1" min="13" max="13"/>
    <col width="11" customWidth="1" min="14" max="14"/>
    <col width="11" customWidth="1" min="15" max="15"/>
  </cols>
  <sheetData>
    <row r="1" ht="26" customHeight="1">
      <c r="A1" s="1" t="inlineStr">
        <is>
          <t>CIF</t>
        </is>
      </c>
      <c r="B1" s="1" t="inlineStr">
        <is>
          <t>Importe</t>
        </is>
      </c>
      <c r="C1" s="1" t="inlineStr">
        <is>
          <t>F. Anticipo</t>
        </is>
      </c>
      <c r="D1" s="1" t="inlineStr">
        <is>
          <t>F. Vencimiento</t>
        </is>
      </c>
      <c r="E1" s="1" t="inlineStr">
        <is>
          <t>Días</t>
        </is>
      </c>
      <c r="F1" s="1" t="inlineStr">
        <is>
          <t>% Interés</t>
        </is>
      </c>
      <c r="G1" s="1" t="inlineStr">
        <is>
          <t>% Comisión</t>
        </is>
      </c>
      <c r="H1" s="1" t="inlineStr">
        <is>
          <t>Total Comisión</t>
        </is>
      </c>
      <c r="I1" s="1" t="inlineStr">
        <is>
          <t>Total Interés</t>
        </is>
      </c>
      <c r="J1" s="1" t="inlineStr">
        <is>
          <t>% Reparto</t>
        </is>
      </c>
      <c r="K1" s="1" t="inlineStr">
        <is>
          <t>Comisión Prisma</t>
        </is>
      </c>
      <c r="L1" s="1" t="inlineStr">
        <is>
          <t>Interés Prisma</t>
        </is>
      </c>
      <c r="M1" s="1" t="inlineStr">
        <is>
          <t>Calculo
com Prisma</t>
        </is>
      </c>
      <c r="N1" s="1" t="inlineStr">
        <is>
          <t>Calculo
int prisma</t>
        </is>
      </c>
      <c r="O1" s="1" t="inlineStr">
        <is>
          <t>Total
diferencia</t>
        </is>
      </c>
    </row>
    <row r="2">
      <c r="A2" s="2" t="inlineStr">
        <is>
          <t>B74972191</t>
        </is>
      </c>
      <c r="B2" s="4" t="n">
        <v>225.73</v>
      </c>
      <c r="C2" s="3" t="n">
        <v>46011</v>
      </c>
      <c r="D2" s="3" t="n">
        <v>46079</v>
      </c>
      <c r="E2" s="2" t="n">
        <v>68</v>
      </c>
      <c r="F2" s="2" t="n">
        <v>3.36</v>
      </c>
      <c r="G2" s="2" t="n">
        <v>1.56</v>
      </c>
      <c r="H2" s="4" t="n">
        <v>3.52</v>
      </c>
      <c r="I2" s="4" t="n">
        <v>1.43</v>
      </c>
      <c r="J2" s="2" t="n">
        <v>50</v>
      </c>
      <c r="K2" s="4" t="n">
        <v>1.95</v>
      </c>
      <c r="L2" s="4" t="n">
        <v>0.68</v>
      </c>
      <c r="M2" s="4">
        <f>B2*(G2/100)*(J2/100)</f>
        <v/>
      </c>
      <c r="N2" s="4">
        <f>B2*(F2/360/100)*E2*(J2/100)</f>
        <v/>
      </c>
      <c r="O2" s="4">
        <f>K2-M2+L2-N2</f>
        <v/>
      </c>
    </row>
    <row r="3">
      <c r="A3" s="2" t="inlineStr">
        <is>
          <t>B74972191</t>
        </is>
      </c>
      <c r="B3" s="4" t="n">
        <v>216.49</v>
      </c>
      <c r="C3" s="3" t="n">
        <v>46001</v>
      </c>
      <c r="D3" s="3" t="n">
        <v>46082</v>
      </c>
      <c r="E3" s="2" t="n">
        <v>67</v>
      </c>
      <c r="F3" s="2" t="n">
        <v>3.55</v>
      </c>
      <c r="G3" s="2" t="n">
        <v>1.9</v>
      </c>
      <c r="H3" s="4" t="n">
        <v>4.11</v>
      </c>
      <c r="I3" s="4" t="n">
        <v>1.43</v>
      </c>
      <c r="J3" s="2" t="n">
        <v>40</v>
      </c>
      <c r="K3" s="4" t="n">
        <v>1.35</v>
      </c>
      <c r="L3" s="4" t="n">
        <v>0.65</v>
      </c>
      <c r="M3" s="4">
        <f>B3*(G3/100)*(J3/100)</f>
        <v/>
      </c>
      <c r="N3" s="4">
        <f>B3*(F3/360/100)*E3*(J3/100)</f>
        <v/>
      </c>
      <c r="O3" s="4">
        <f>K3-M3+L3-N3</f>
        <v/>
      </c>
    </row>
    <row r="4">
      <c r="A4" s="2" t="inlineStr">
        <is>
          <t>A43738330</t>
        </is>
      </c>
      <c r="B4" s="4" t="n">
        <v>900.65</v>
      </c>
      <c r="C4" s="3" t="n">
        <v>45998</v>
      </c>
      <c r="D4" s="3" t="n">
        <v>46025</v>
      </c>
      <c r="E4" s="2" t="n">
        <v>74</v>
      </c>
      <c r="F4" s="2" t="n">
        <v>2.42</v>
      </c>
      <c r="G4" s="2" t="n">
        <v>1.95</v>
      </c>
      <c r="H4" s="4" t="n">
        <v>17.56</v>
      </c>
      <c r="I4" s="4" t="n">
        <v>4.48</v>
      </c>
      <c r="J4" s="2" t="n">
        <v>40</v>
      </c>
      <c r="K4" s="4" t="n">
        <v>6.9</v>
      </c>
      <c r="L4" s="4" t="n">
        <v>1.56</v>
      </c>
      <c r="M4" s="4">
        <f>B4*(G4/100)*(J4/100)</f>
        <v/>
      </c>
      <c r="N4" s="4">
        <f>B4*(F4/360/100)*E4*(J4/100)</f>
        <v/>
      </c>
      <c r="O4" s="4">
        <f>K4-M4+L4-N4</f>
        <v/>
      </c>
    </row>
    <row r="5">
      <c r="A5" s="2" t="inlineStr">
        <is>
          <t>A43738330</t>
        </is>
      </c>
      <c r="B5" s="4" t="n">
        <v>6939.29</v>
      </c>
      <c r="C5" s="3" t="n">
        <v>46015</v>
      </c>
      <c r="D5" s="3" t="n">
        <v>46032</v>
      </c>
      <c r="E5" s="2" t="n">
        <v>54</v>
      </c>
      <c r="F5" s="2" t="n">
        <v>3.49</v>
      </c>
      <c r="G5" s="2" t="n">
        <v>0.73</v>
      </c>
      <c r="H5" s="4" t="n">
        <v>50.66</v>
      </c>
      <c r="I5" s="4" t="n">
        <v>36.33</v>
      </c>
      <c r="J5" s="2" t="n">
        <v>60</v>
      </c>
      <c r="K5" s="4" t="n">
        <v>30.24</v>
      </c>
      <c r="L5" s="4" t="n">
        <v>21.84</v>
      </c>
      <c r="M5" s="4">
        <f>B5*(G5/100)*(J5/100)</f>
        <v/>
      </c>
      <c r="N5" s="4">
        <f>B5*(F5/360/100)*E5*(J5/100)</f>
        <v/>
      </c>
      <c r="O5" s="4">
        <f>K5-M5+L5-N5</f>
        <v/>
      </c>
    </row>
    <row r="6">
      <c r="A6" s="2" t="inlineStr">
        <is>
          <t>A43738330</t>
        </is>
      </c>
      <c r="B6" s="4" t="n">
        <v>2163.21</v>
      </c>
      <c r="C6" s="3" t="n">
        <v>45999</v>
      </c>
      <c r="D6" s="3" t="n">
        <v>46067</v>
      </c>
      <c r="E6" s="2" t="n">
        <v>21</v>
      </c>
      <c r="F6" s="2" t="n">
        <v>2.36</v>
      </c>
      <c r="G6" s="2" t="n">
        <v>1</v>
      </c>
      <c r="H6" s="4" t="n">
        <v>21.63</v>
      </c>
      <c r="I6" s="4" t="n">
        <v>2.98</v>
      </c>
      <c r="J6" s="2" t="n">
        <v>70</v>
      </c>
      <c r="K6" s="4" t="n">
        <v>15.43</v>
      </c>
      <c r="L6" s="4" t="n">
        <v>2.05</v>
      </c>
      <c r="M6" s="4">
        <f>B6*(G6/100)*(J6/100)</f>
        <v/>
      </c>
      <c r="N6" s="4">
        <f>B6*(F6/360/100)*E6*(J6/100)</f>
        <v/>
      </c>
      <c r="O6" s="4">
        <f>K6-M6+L6-N6</f>
        <v/>
      </c>
    </row>
    <row r="7">
      <c r="A7" s="2" t="inlineStr">
        <is>
          <t>B36150061</t>
        </is>
      </c>
      <c r="B7" s="4" t="n">
        <v>6929.66</v>
      </c>
      <c r="C7" s="3" t="n">
        <v>46001</v>
      </c>
      <c r="D7" s="3" t="n">
        <v>46023</v>
      </c>
      <c r="E7" s="2" t="n">
        <v>23</v>
      </c>
      <c r="F7" s="2" t="n">
        <v>1.7</v>
      </c>
      <c r="G7" s="2" t="n">
        <v>1.39</v>
      </c>
      <c r="H7" s="4" t="n">
        <v>96.31999999999999</v>
      </c>
      <c r="I7" s="4" t="n">
        <v>7.53</v>
      </c>
      <c r="J7" s="2" t="n">
        <v>50</v>
      </c>
      <c r="K7" s="4" t="n">
        <v>47.92</v>
      </c>
      <c r="L7" s="4" t="n">
        <v>3.85</v>
      </c>
      <c r="M7" s="4">
        <f>B7*(G7/100)*(J7/100)</f>
        <v/>
      </c>
      <c r="N7" s="4">
        <f>B7*(F7/360/100)*E7*(J7/100)</f>
        <v/>
      </c>
      <c r="O7" s="4">
        <f>K7-M7+L7-N7</f>
        <v/>
      </c>
    </row>
    <row r="8">
      <c r="A8" s="2" t="inlineStr">
        <is>
          <t>B36150061</t>
        </is>
      </c>
      <c r="B8" s="4" t="n">
        <v>6385.77</v>
      </c>
      <c r="C8" s="3" t="n">
        <v>46013</v>
      </c>
      <c r="D8" s="3" t="n">
        <v>46083</v>
      </c>
      <c r="E8" s="2" t="n">
        <v>41</v>
      </c>
      <c r="F8" s="2" t="n">
        <v>2.4</v>
      </c>
      <c r="G8" s="2" t="n">
        <v>2.18</v>
      </c>
      <c r="H8" s="4" t="n">
        <v>139.21</v>
      </c>
      <c r="I8" s="4" t="n">
        <v>17.45</v>
      </c>
      <c r="J8" s="2" t="n">
        <v>50</v>
      </c>
      <c r="K8" s="4" t="n">
        <v>69.70999999999999</v>
      </c>
      <c r="L8" s="4" t="n">
        <v>8.91</v>
      </c>
      <c r="M8" s="4">
        <f>B8*(G8/100)*(J8/100)</f>
        <v/>
      </c>
      <c r="N8" s="4">
        <f>B8*(F8/360/100)*E8*(J8/100)</f>
        <v/>
      </c>
      <c r="O8" s="4">
        <f>K8-M8+L8-N8</f>
        <v/>
      </c>
    </row>
    <row r="9">
      <c r="A9" s="2" t="inlineStr">
        <is>
          <t>B36150061</t>
        </is>
      </c>
      <c r="B9" s="4" t="n">
        <v>888.8099999999999</v>
      </c>
      <c r="C9" s="3" t="n">
        <v>46000</v>
      </c>
      <c r="D9" s="3" t="n">
        <v>46109</v>
      </c>
      <c r="E9" s="2" t="n">
        <v>25</v>
      </c>
      <c r="F9" s="2" t="n">
        <v>2.69</v>
      </c>
      <c r="G9" s="2" t="n">
        <v>1.49</v>
      </c>
      <c r="H9" s="4" t="n">
        <v>13.24</v>
      </c>
      <c r="I9" s="4" t="n">
        <v>1.66</v>
      </c>
      <c r="J9" s="2" t="n">
        <v>60</v>
      </c>
      <c r="K9" s="4" t="n">
        <v>7.85</v>
      </c>
      <c r="L9" s="4" t="n">
        <v>0.79</v>
      </c>
      <c r="M9" s="4">
        <f>B9*(G9/100)*(J9/100)</f>
        <v/>
      </c>
      <c r="N9" s="4">
        <f>B9*(F9/360/100)*E9*(J9/100)</f>
        <v/>
      </c>
      <c r="O9" s="4">
        <f>K9-M9+L9-N9</f>
        <v/>
      </c>
    </row>
    <row r="10">
      <c r="A10" s="2" t="inlineStr">
        <is>
          <t>B36150061</t>
        </is>
      </c>
      <c r="B10" s="4" t="n">
        <v>868.66</v>
      </c>
      <c r="C10" s="3" t="n">
        <v>46012</v>
      </c>
      <c r="D10" s="3" t="n">
        <v>46088</v>
      </c>
      <c r="E10" s="2" t="n">
        <v>52</v>
      </c>
      <c r="F10" s="2" t="n">
        <v>3.81</v>
      </c>
      <c r="G10" s="2" t="n">
        <v>1.32</v>
      </c>
      <c r="H10" s="4" t="n">
        <v>11.47</v>
      </c>
      <c r="I10" s="4" t="n">
        <v>4.78</v>
      </c>
      <c r="J10" s="2" t="n">
        <v>60</v>
      </c>
      <c r="K10" s="4" t="n">
        <v>6.96</v>
      </c>
      <c r="L10" s="4" t="n">
        <v>2.7</v>
      </c>
      <c r="M10" s="4">
        <f>B10*(G10/100)*(J10/100)</f>
        <v/>
      </c>
      <c r="N10" s="4">
        <f>B10*(F10/360/100)*E10*(J10/100)</f>
        <v/>
      </c>
      <c r="O10" s="4">
        <f>K10-M10+L10-N10</f>
        <v/>
      </c>
    </row>
    <row r="11">
      <c r="A11" s="2" t="inlineStr">
        <is>
          <t>A88363100</t>
        </is>
      </c>
      <c r="B11" s="4" t="n">
        <v>7807.61</v>
      </c>
      <c r="C11" s="3" t="n">
        <v>45999</v>
      </c>
      <c r="D11" s="3" t="n">
        <v>46108</v>
      </c>
      <c r="E11" s="2" t="n">
        <v>31</v>
      </c>
      <c r="F11" s="2" t="n">
        <v>2</v>
      </c>
      <c r="G11" s="2" t="n">
        <v>0.75</v>
      </c>
      <c r="H11" s="4" t="n">
        <v>58.56</v>
      </c>
      <c r="I11" s="4" t="n">
        <v>13.45</v>
      </c>
      <c r="J11" s="2" t="n">
        <v>40</v>
      </c>
      <c r="K11" s="4" t="n">
        <v>23.59</v>
      </c>
      <c r="L11" s="4" t="n">
        <v>5.32</v>
      </c>
      <c r="M11" s="4">
        <f>B11*(G11/100)*(J11/100)</f>
        <v/>
      </c>
      <c r="N11" s="4">
        <f>B11*(F11/360/100)*E11*(J11/100)</f>
        <v/>
      </c>
      <c r="O11" s="4">
        <f>K11-M11+L11-N11</f>
        <v/>
      </c>
    </row>
    <row r="12">
      <c r="A12" s="2" t="inlineStr">
        <is>
          <t>A88363100</t>
        </is>
      </c>
      <c r="B12" s="4" t="n">
        <v>928.05</v>
      </c>
      <c r="C12" s="3" t="n">
        <v>46017</v>
      </c>
      <c r="D12" s="3" t="n">
        <v>46073</v>
      </c>
      <c r="E12" s="2" t="n">
        <v>64</v>
      </c>
      <c r="F12" s="2" t="n">
        <v>4.47</v>
      </c>
      <c r="G12" s="2" t="n">
        <v>0.82</v>
      </c>
      <c r="H12" s="4" t="n">
        <v>7.61</v>
      </c>
      <c r="I12" s="4" t="n">
        <v>7.37</v>
      </c>
      <c r="J12" s="2" t="n">
        <v>70</v>
      </c>
      <c r="K12" s="4" t="n">
        <v>5.06</v>
      </c>
      <c r="L12" s="4" t="n">
        <v>5.37</v>
      </c>
      <c r="M12" s="4">
        <f>B12*(G12/100)*(J12/100)</f>
        <v/>
      </c>
      <c r="N12" s="4">
        <f>B12*(F12/360/100)*E12*(J12/100)</f>
        <v/>
      </c>
      <c r="O12" s="4">
        <f>K12-M12+L12-N12</f>
        <v/>
      </c>
    </row>
    <row r="13">
      <c r="A13" s="2" t="inlineStr">
        <is>
          <t>B85162309</t>
        </is>
      </c>
      <c r="B13" s="4" t="n">
        <v>392.04</v>
      </c>
      <c r="C13" s="3" t="n">
        <v>46000</v>
      </c>
      <c r="D13" s="3" t="n">
        <v>46097</v>
      </c>
      <c r="E13" s="2" t="n">
        <v>66</v>
      </c>
      <c r="F13" s="2" t="n">
        <v>2.5</v>
      </c>
      <c r="G13" s="2" t="n">
        <v>1.14</v>
      </c>
      <c r="H13" s="4" t="n">
        <v>4.47</v>
      </c>
      <c r="I13" s="4" t="n">
        <v>1.8</v>
      </c>
      <c r="J13" s="2" t="n">
        <v>40</v>
      </c>
      <c r="K13" s="4" t="n">
        <v>2.07</v>
      </c>
      <c r="L13" s="4" t="n">
        <v>0.46</v>
      </c>
      <c r="M13" s="4">
        <f>B13*(G13/100)*(J13/100)</f>
        <v/>
      </c>
      <c r="N13" s="4">
        <f>B13*(F13/360/100)*E13*(J13/100)</f>
        <v/>
      </c>
      <c r="O13" s="4">
        <f>K13-M13+L13-N13</f>
        <v/>
      </c>
    </row>
    <row r="14">
      <c r="A14" s="2" t="inlineStr">
        <is>
          <t>B85162309</t>
        </is>
      </c>
      <c r="B14" s="4" t="n">
        <v>428.05</v>
      </c>
      <c r="C14" s="3" t="n">
        <v>46012</v>
      </c>
      <c r="D14" s="3" t="n">
        <v>46061</v>
      </c>
      <c r="E14" s="2" t="n">
        <v>15</v>
      </c>
      <c r="F14" s="2" t="n">
        <v>4.41</v>
      </c>
      <c r="G14" s="2" t="n">
        <v>2.35</v>
      </c>
      <c r="H14" s="4" t="n">
        <v>10.06</v>
      </c>
      <c r="I14" s="4" t="n">
        <v>0.79</v>
      </c>
      <c r="J14" s="2" t="n">
        <v>50</v>
      </c>
      <c r="K14" s="4" t="n">
        <v>4.8</v>
      </c>
      <c r="L14" s="4" t="n">
        <v>0.67</v>
      </c>
      <c r="M14" s="4">
        <f>B14*(G14/100)*(J14/100)</f>
        <v/>
      </c>
      <c r="N14" s="4">
        <f>B14*(F14/360/100)*E14*(J14/100)</f>
        <v/>
      </c>
      <c r="O14" s="4">
        <f>K14-M14+L14-N14</f>
        <v/>
      </c>
    </row>
    <row r="15">
      <c r="A15" s="2" t="inlineStr">
        <is>
          <t>B85162309</t>
        </is>
      </c>
      <c r="B15" s="4" t="n">
        <v>3648.48</v>
      </c>
      <c r="C15" s="3" t="n">
        <v>46003</v>
      </c>
      <c r="D15" s="3" t="n">
        <v>46063</v>
      </c>
      <c r="E15" s="2" t="n">
        <v>44</v>
      </c>
      <c r="F15" s="2" t="n">
        <v>1.76</v>
      </c>
      <c r="G15" s="2" t="n">
        <v>2.26</v>
      </c>
      <c r="H15" s="4" t="n">
        <v>82.45999999999999</v>
      </c>
      <c r="I15" s="4" t="n">
        <v>7.85</v>
      </c>
      <c r="J15" s="2" t="n">
        <v>30</v>
      </c>
      <c r="K15" s="4" t="n">
        <v>24.57</v>
      </c>
      <c r="L15" s="4" t="n">
        <v>2.24</v>
      </c>
      <c r="M15" s="4">
        <f>B15*(G15/100)*(J15/100)</f>
        <v/>
      </c>
      <c r="N15" s="4">
        <f>B15*(F15/360/100)*E15*(J15/100)</f>
        <v/>
      </c>
      <c r="O15" s="4">
        <f>K15-M15+L15-N15</f>
        <v/>
      </c>
    </row>
    <row r="16">
      <c r="A16" s="2" t="inlineStr">
        <is>
          <t>B85162309</t>
        </is>
      </c>
      <c r="B16" s="4" t="n">
        <v>493.39</v>
      </c>
      <c r="C16" s="3" t="n">
        <v>46015</v>
      </c>
      <c r="D16" s="3" t="n">
        <v>46069</v>
      </c>
      <c r="E16" s="2" t="n">
        <v>22</v>
      </c>
      <c r="F16" s="2" t="n">
        <v>3.01</v>
      </c>
      <c r="G16" s="2" t="n">
        <v>1.01</v>
      </c>
      <c r="H16" s="4" t="n">
        <v>4.98</v>
      </c>
      <c r="I16" s="4" t="n">
        <v>0.91</v>
      </c>
      <c r="J16" s="2" t="n">
        <v>30</v>
      </c>
      <c r="K16" s="4" t="n">
        <v>1.51</v>
      </c>
      <c r="L16" s="4" t="n">
        <v>0.49</v>
      </c>
      <c r="M16" s="4">
        <f>B16*(G16/100)*(J16/100)</f>
        <v/>
      </c>
      <c r="N16" s="4">
        <f>B16*(F16/360/100)*E16*(J16/100)</f>
        <v/>
      </c>
      <c r="O16" s="4">
        <f>K16-M16+L16-N16</f>
        <v/>
      </c>
    </row>
    <row r="17">
      <c r="A17" s="2" t="inlineStr">
        <is>
          <t>A87790879</t>
        </is>
      </c>
      <c r="B17" s="4" t="n">
        <v>600.8099999999999</v>
      </c>
      <c r="C17" s="3" t="n">
        <v>46002</v>
      </c>
      <c r="D17" s="3" t="n">
        <v>46100</v>
      </c>
      <c r="E17" s="2" t="n">
        <v>67</v>
      </c>
      <c r="F17" s="2" t="n">
        <v>4.27</v>
      </c>
      <c r="G17" s="2" t="n">
        <v>2.47</v>
      </c>
      <c r="H17" s="4" t="n">
        <v>14.84</v>
      </c>
      <c r="I17" s="4" t="n">
        <v>4.77</v>
      </c>
      <c r="J17" s="2" t="n">
        <v>40</v>
      </c>
      <c r="K17" s="4" t="n">
        <v>6.1</v>
      </c>
      <c r="L17" s="4" t="n">
        <v>1.98</v>
      </c>
      <c r="M17" s="4">
        <f>B17*(G17/100)*(J17/100)</f>
        <v/>
      </c>
      <c r="N17" s="4">
        <f>B17*(F17/360/100)*E17*(J17/100)</f>
        <v/>
      </c>
      <c r="O17" s="4">
        <f>K17-M17+L17-N17</f>
        <v/>
      </c>
    </row>
    <row r="18">
      <c r="A18" s="2" t="inlineStr">
        <is>
          <t>A87790879</t>
        </is>
      </c>
      <c r="B18" s="4" t="n">
        <v>947</v>
      </c>
      <c r="C18" s="3" t="n">
        <v>46005</v>
      </c>
      <c r="D18" s="3" t="n">
        <v>46109</v>
      </c>
      <c r="E18" s="2" t="n">
        <v>20</v>
      </c>
      <c r="F18" s="2" t="n">
        <v>3.77</v>
      </c>
      <c r="G18" s="2" t="n">
        <v>2.42</v>
      </c>
      <c r="H18" s="4" t="n">
        <v>22.92</v>
      </c>
      <c r="I18" s="4" t="n">
        <v>1.98</v>
      </c>
      <c r="J18" s="2" t="n">
        <v>70</v>
      </c>
      <c r="K18" s="4" t="n">
        <v>15.8</v>
      </c>
      <c r="L18" s="4" t="n">
        <v>1.61</v>
      </c>
      <c r="M18" s="4">
        <f>B18*(G18/100)*(J18/100)</f>
        <v/>
      </c>
      <c r="N18" s="4">
        <f>B18*(F18/360/100)*E18*(J18/100)</f>
        <v/>
      </c>
      <c r="O18" s="4">
        <f>K18-M18+L18-N18</f>
        <v/>
      </c>
    </row>
    <row r="19">
      <c r="A19" s="2" t="inlineStr">
        <is>
          <t>A87790879</t>
        </is>
      </c>
      <c r="B19" s="4" t="n">
        <v>1520.82</v>
      </c>
      <c r="C19" s="3" t="n">
        <v>46004</v>
      </c>
      <c r="D19" s="3" t="n">
        <v>46057</v>
      </c>
      <c r="E19" s="2" t="n">
        <v>70</v>
      </c>
      <c r="F19" s="2" t="n">
        <v>2.43</v>
      </c>
      <c r="G19" s="2" t="n">
        <v>1.75</v>
      </c>
      <c r="H19" s="4" t="n">
        <v>26.61</v>
      </c>
      <c r="I19" s="4" t="n">
        <v>7.19</v>
      </c>
      <c r="J19" s="2" t="n">
        <v>60</v>
      </c>
      <c r="K19" s="4" t="n">
        <v>15.93</v>
      </c>
      <c r="L19" s="4" t="n">
        <v>4.5</v>
      </c>
      <c r="M19" s="4">
        <f>B19*(G19/100)*(J19/100)</f>
        <v/>
      </c>
      <c r="N19" s="4">
        <f>B19*(F19/360/100)*E19*(J19/100)</f>
        <v/>
      </c>
      <c r="O19" s="4">
        <f>K19-M19+L19-N19</f>
        <v/>
      </c>
    </row>
    <row r="20">
      <c r="A20" s="2" t="inlineStr">
        <is>
          <t>A87790879</t>
        </is>
      </c>
      <c r="B20" s="4" t="n">
        <v>5350.34</v>
      </c>
      <c r="C20" s="3" t="n">
        <v>46005</v>
      </c>
      <c r="D20" s="3" t="n">
        <v>46105</v>
      </c>
      <c r="E20" s="2" t="n">
        <v>58</v>
      </c>
      <c r="F20" s="2" t="n">
        <v>3.69</v>
      </c>
      <c r="G20" s="2" t="n">
        <v>1.33</v>
      </c>
      <c r="H20" s="4" t="n">
        <v>71.16</v>
      </c>
      <c r="I20" s="4" t="n">
        <v>31.81</v>
      </c>
      <c r="J20" s="2" t="n">
        <v>40</v>
      </c>
      <c r="K20" s="4" t="n">
        <v>28.6</v>
      </c>
      <c r="L20" s="4" t="n">
        <v>12.47</v>
      </c>
      <c r="M20" s="4">
        <f>B20*(G20/100)*(J20/100)</f>
        <v/>
      </c>
      <c r="N20" s="4">
        <f>B20*(F20/360/100)*E20*(J20/100)</f>
        <v/>
      </c>
      <c r="O20" s="4">
        <f>K20-M20+L20-N20</f>
        <v/>
      </c>
    </row>
    <row r="21">
      <c r="A21" s="2" t="inlineStr">
        <is>
          <t>B63033707</t>
        </is>
      </c>
      <c r="B21" s="4" t="n">
        <v>578.16</v>
      </c>
      <c r="C21" s="3" t="n">
        <v>45999</v>
      </c>
      <c r="D21" s="3" t="n">
        <v>46068</v>
      </c>
      <c r="E21" s="2" t="n">
        <v>52</v>
      </c>
      <c r="F21" s="2" t="n">
        <v>3.18</v>
      </c>
      <c r="G21" s="2" t="n">
        <v>2.48</v>
      </c>
      <c r="H21" s="4" t="n">
        <v>14.34</v>
      </c>
      <c r="I21" s="4" t="n">
        <v>2.66</v>
      </c>
      <c r="J21" s="2" t="n">
        <v>40</v>
      </c>
      <c r="K21" s="4" t="n">
        <v>6.04</v>
      </c>
      <c r="L21" s="4" t="n">
        <v>0.92</v>
      </c>
      <c r="M21" s="4">
        <f>B21*(G21/100)*(J21/100)</f>
        <v/>
      </c>
      <c r="N21" s="4">
        <f>B21*(F21/360/100)*E21*(J21/100)</f>
        <v/>
      </c>
      <c r="O21" s="4">
        <f>K21-M21+L21-N21</f>
        <v/>
      </c>
    </row>
    <row r="22">
      <c r="A22" s="2" t="inlineStr">
        <is>
          <t>B63033707</t>
        </is>
      </c>
      <c r="B22" s="4" t="n">
        <v>794.7</v>
      </c>
      <c r="C22" s="3" t="n">
        <v>45995</v>
      </c>
      <c r="D22" s="3" t="n">
        <v>46083</v>
      </c>
      <c r="E22" s="2" t="n">
        <v>60</v>
      </c>
      <c r="F22" s="2" t="n">
        <v>2.81</v>
      </c>
      <c r="G22" s="2" t="n">
        <v>1.68</v>
      </c>
      <c r="H22" s="4" t="n">
        <v>13.35</v>
      </c>
      <c r="I22" s="4" t="n">
        <v>3.72</v>
      </c>
      <c r="J22" s="2" t="n">
        <v>60</v>
      </c>
      <c r="K22" s="4" t="n">
        <v>8.07</v>
      </c>
      <c r="L22" s="4" t="n">
        <v>2.04</v>
      </c>
      <c r="M22" s="4">
        <f>B22*(G22/100)*(J22/100)</f>
        <v/>
      </c>
      <c r="N22" s="4">
        <f>B22*(F22/360/100)*E22*(J22/100)</f>
        <v/>
      </c>
      <c r="O22" s="4">
        <f>K22-M22+L22-N22</f>
        <v/>
      </c>
    </row>
    <row r="23">
      <c r="A23" s="2" t="inlineStr">
        <is>
          <t>B63033707</t>
        </is>
      </c>
      <c r="B23" s="4" t="n">
        <v>921.28</v>
      </c>
      <c r="C23" s="3" t="n">
        <v>46003</v>
      </c>
      <c r="D23" s="3" t="n">
        <v>46107</v>
      </c>
      <c r="E23" s="2" t="n">
        <v>39</v>
      </c>
      <c r="F23" s="2" t="n">
        <v>4.06</v>
      </c>
      <c r="G23" s="2" t="n">
        <v>1.15</v>
      </c>
      <c r="H23" s="4" t="n">
        <v>10.59</v>
      </c>
      <c r="I23" s="4" t="n">
        <v>4.05</v>
      </c>
      <c r="J23" s="2" t="n">
        <v>40</v>
      </c>
      <c r="K23" s="4" t="n">
        <v>4.12</v>
      </c>
      <c r="L23" s="4" t="n">
        <v>1.77</v>
      </c>
      <c r="M23" s="4">
        <f>B23*(G23/100)*(J23/100)</f>
        <v/>
      </c>
      <c r="N23" s="4">
        <f>B23*(F23/360/100)*E23*(J23/100)</f>
        <v/>
      </c>
      <c r="O23" s="4">
        <f>K23-M23+L23-N23</f>
        <v/>
      </c>
    </row>
    <row r="24">
      <c r="A24" s="2" t="inlineStr">
        <is>
          <t>A39086417</t>
        </is>
      </c>
      <c r="B24" s="4" t="n">
        <v>291.3</v>
      </c>
      <c r="C24" s="3" t="n">
        <v>46006</v>
      </c>
      <c r="D24" s="3" t="n">
        <v>46103</v>
      </c>
      <c r="E24" s="2" t="n">
        <v>61</v>
      </c>
      <c r="F24" s="2" t="n">
        <v>4.26</v>
      </c>
      <c r="G24" s="2" t="n">
        <v>2.12</v>
      </c>
      <c r="H24" s="4" t="n">
        <v>6.18</v>
      </c>
      <c r="I24" s="4" t="n">
        <v>2.1</v>
      </c>
      <c r="J24" s="2" t="n">
        <v>70</v>
      </c>
      <c r="K24" s="4" t="n">
        <v>4.51</v>
      </c>
      <c r="L24" s="4" t="n">
        <v>1.24</v>
      </c>
      <c r="M24" s="4">
        <f>B24*(G24/100)*(J24/100)</f>
        <v/>
      </c>
      <c r="N24" s="4">
        <f>B24*(F24/360/100)*E24*(J24/100)</f>
        <v/>
      </c>
      <c r="O24" s="4">
        <f>K24-M24+L24-N24</f>
        <v/>
      </c>
    </row>
    <row r="25">
      <c r="A25" s="2" t="inlineStr">
        <is>
          <t>A39086417</t>
        </is>
      </c>
      <c r="B25" s="4" t="n">
        <v>499.37</v>
      </c>
      <c r="C25" s="3" t="n">
        <v>46012</v>
      </c>
      <c r="D25" s="3" t="n">
        <v>46079</v>
      </c>
      <c r="E25" s="2" t="n">
        <v>63</v>
      </c>
      <c r="F25" s="2" t="n">
        <v>4.92</v>
      </c>
      <c r="G25" s="2" t="n">
        <v>0.75</v>
      </c>
      <c r="H25" s="4" t="n">
        <v>3.75</v>
      </c>
      <c r="I25" s="4" t="n">
        <v>4.3</v>
      </c>
      <c r="J25" s="2" t="n">
        <v>60</v>
      </c>
      <c r="K25" s="4" t="n">
        <v>2.42</v>
      </c>
      <c r="L25" s="4" t="n">
        <v>2.48</v>
      </c>
      <c r="M25" s="4">
        <f>B25*(G25/100)*(J25/100)</f>
        <v/>
      </c>
      <c r="N25" s="4">
        <f>B25*(F25/360/100)*E25*(J25/100)</f>
        <v/>
      </c>
      <c r="O25" s="4">
        <f>K25-M25+L25-N25</f>
        <v/>
      </c>
    </row>
    <row r="26">
      <c r="A26" s="2" t="inlineStr">
        <is>
          <t>A39086417</t>
        </is>
      </c>
      <c r="B26" s="4" t="n">
        <v>8747.41</v>
      </c>
      <c r="C26" s="3" t="n">
        <v>46007</v>
      </c>
      <c r="D26" s="3" t="n">
        <v>46029</v>
      </c>
      <c r="E26" s="2" t="n">
        <v>47</v>
      </c>
      <c r="F26" s="2" t="n">
        <v>4.77</v>
      </c>
      <c r="G26" s="2" t="n">
        <v>2.28</v>
      </c>
      <c r="H26" s="4" t="n">
        <v>199.44</v>
      </c>
      <c r="I26" s="4" t="n">
        <v>54.47</v>
      </c>
      <c r="J26" s="2" t="n">
        <v>60</v>
      </c>
      <c r="K26" s="4" t="n">
        <v>119.51</v>
      </c>
      <c r="L26" s="4" t="n">
        <v>32.79</v>
      </c>
      <c r="M26" s="4">
        <f>B26*(G26/100)*(J26/100)</f>
        <v/>
      </c>
      <c r="N26" s="4">
        <f>B26*(F26/360/100)*E26*(J26/100)</f>
        <v/>
      </c>
      <c r="O26" s="4">
        <f>K26-M26+L26-N26</f>
        <v/>
      </c>
    </row>
    <row r="27">
      <c r="A27" s="2" t="inlineStr">
        <is>
          <t>A39086417</t>
        </is>
      </c>
      <c r="B27" s="4" t="n">
        <v>464.99</v>
      </c>
      <c r="C27" s="3" t="n">
        <v>45992</v>
      </c>
      <c r="D27" s="3" t="n">
        <v>46102</v>
      </c>
      <c r="E27" s="2" t="n">
        <v>59</v>
      </c>
      <c r="F27" s="2" t="n">
        <v>4.87</v>
      </c>
      <c r="G27" s="2" t="n">
        <v>1.12</v>
      </c>
      <c r="H27" s="4" t="n">
        <v>5.21</v>
      </c>
      <c r="I27" s="4" t="n">
        <v>3.71</v>
      </c>
      <c r="J27" s="2" t="n">
        <v>50</v>
      </c>
      <c r="K27" s="4" t="n">
        <v>2.39</v>
      </c>
      <c r="L27" s="4" t="n">
        <v>2.1</v>
      </c>
      <c r="M27" s="4">
        <f>B27*(G27/100)*(J27/100)</f>
        <v/>
      </c>
      <c r="N27" s="4">
        <f>B27*(F27/360/100)*E27*(J27/100)</f>
        <v/>
      </c>
      <c r="O27" s="4">
        <f>K27-M27+L27-N27</f>
        <v/>
      </c>
    </row>
    <row r="28">
      <c r="A28" s="2" t="inlineStr">
        <is>
          <t>A20036981</t>
        </is>
      </c>
      <c r="B28" s="4" t="n">
        <v>8861.51</v>
      </c>
      <c r="C28" s="3" t="n">
        <v>45998</v>
      </c>
      <c r="D28" s="3" t="n">
        <v>46032</v>
      </c>
      <c r="E28" s="2" t="n">
        <v>42</v>
      </c>
      <c r="F28" s="2" t="n">
        <v>1.63</v>
      </c>
      <c r="G28" s="2" t="n">
        <v>1.25</v>
      </c>
      <c r="H28" s="4" t="n">
        <v>110.77</v>
      </c>
      <c r="I28" s="4" t="n">
        <v>16.85</v>
      </c>
      <c r="J28" s="2" t="n">
        <v>70</v>
      </c>
      <c r="K28" s="4" t="n">
        <v>77.37</v>
      </c>
      <c r="L28" s="4" t="n">
        <v>11.65</v>
      </c>
      <c r="M28" s="4">
        <f>B28*(G28/100)*(J28/100)</f>
        <v/>
      </c>
      <c r="N28" s="4">
        <f>B28*(F28/360/100)*E28*(J28/100)</f>
        <v/>
      </c>
      <c r="O28" s="4">
        <f>K28-M28+L28-N28</f>
        <v/>
      </c>
    </row>
    <row r="29">
      <c r="A29" s="2" t="inlineStr">
        <is>
          <t>A20036981</t>
        </is>
      </c>
      <c r="B29" s="4" t="n">
        <v>473.05</v>
      </c>
      <c r="C29" s="3" t="n">
        <v>46007</v>
      </c>
      <c r="D29" s="3" t="n">
        <v>46094</v>
      </c>
      <c r="E29" s="2" t="n">
        <v>68</v>
      </c>
      <c r="F29" s="2" t="n">
        <v>4.25</v>
      </c>
      <c r="G29" s="2" t="n">
        <v>0.54</v>
      </c>
      <c r="H29" s="4" t="n">
        <v>2.55</v>
      </c>
      <c r="I29" s="4" t="n">
        <v>3.8</v>
      </c>
      <c r="J29" s="2" t="n">
        <v>50</v>
      </c>
      <c r="K29" s="4" t="n">
        <v>0.98</v>
      </c>
      <c r="L29" s="4" t="n">
        <v>2.11</v>
      </c>
      <c r="M29" s="4">
        <f>B29*(G29/100)*(J29/100)</f>
        <v/>
      </c>
      <c r="N29" s="4">
        <f>B29*(F29/360/100)*E29*(J29/100)</f>
        <v/>
      </c>
      <c r="O29" s="4">
        <f>K29-M29+L29-N29</f>
        <v/>
      </c>
    </row>
    <row r="30">
      <c r="A30" s="2" t="inlineStr">
        <is>
          <t>A20036981</t>
        </is>
      </c>
      <c r="B30" s="4" t="n">
        <v>4677.77</v>
      </c>
      <c r="C30" s="3" t="n">
        <v>46017</v>
      </c>
      <c r="D30" s="3" t="n">
        <v>46029</v>
      </c>
      <c r="E30" s="2" t="n">
        <v>43</v>
      </c>
      <c r="F30" s="2" t="n">
        <v>3.28</v>
      </c>
      <c r="G30" s="2" t="n">
        <v>0.76</v>
      </c>
      <c r="H30" s="4" t="n">
        <v>35.55</v>
      </c>
      <c r="I30" s="4" t="n">
        <v>18.33</v>
      </c>
      <c r="J30" s="2" t="n">
        <v>40</v>
      </c>
      <c r="K30" s="4" t="n">
        <v>14.05</v>
      </c>
      <c r="L30" s="4" t="n">
        <v>7.24</v>
      </c>
      <c r="M30" s="4">
        <f>B30*(G30/100)*(J30/100)</f>
        <v/>
      </c>
      <c r="N30" s="4">
        <f>B30*(F30/360/100)*E30*(J30/100)</f>
        <v/>
      </c>
      <c r="O30" s="4">
        <f>K30-M30+L30-N30</f>
        <v/>
      </c>
    </row>
    <row r="31">
      <c r="A31" s="2" t="inlineStr">
        <is>
          <t>A20036981</t>
        </is>
      </c>
      <c r="B31" s="4" t="n">
        <v>145.82</v>
      </c>
      <c r="C31" s="3" t="n">
        <v>46019</v>
      </c>
      <c r="D31" s="3" t="n">
        <v>46037</v>
      </c>
      <c r="E31" s="2" t="n">
        <v>51</v>
      </c>
      <c r="F31" s="2" t="n">
        <v>3.48</v>
      </c>
      <c r="G31" s="2" t="n">
        <v>1.67</v>
      </c>
      <c r="H31" s="4" t="n">
        <v>2.44</v>
      </c>
      <c r="I31" s="4" t="n">
        <v>0.72</v>
      </c>
      <c r="J31" s="2" t="n">
        <v>60</v>
      </c>
      <c r="K31" s="4" t="n">
        <v>1.29</v>
      </c>
      <c r="L31" s="4" t="n">
        <v>0.35</v>
      </c>
      <c r="M31" s="4">
        <f>B31*(G31/100)*(J31/100)</f>
        <v/>
      </c>
      <c r="N31" s="4">
        <f>B31*(F31/360/100)*E31*(J31/100)</f>
        <v/>
      </c>
      <c r="O31" s="4">
        <f>K31-M31+L31-N31</f>
        <v/>
      </c>
    </row>
    <row r="32">
      <c r="A32" s="2" t="inlineStr">
        <is>
          <t>B02483109</t>
        </is>
      </c>
      <c r="B32" s="4" t="n">
        <v>120.3</v>
      </c>
      <c r="C32" s="3" t="n">
        <v>46016</v>
      </c>
      <c r="D32" s="3" t="n">
        <v>46102</v>
      </c>
      <c r="E32" s="2" t="n">
        <v>73</v>
      </c>
      <c r="F32" s="2" t="n">
        <v>2.01</v>
      </c>
      <c r="G32" s="2" t="n">
        <v>0.57</v>
      </c>
      <c r="H32" s="4" t="n">
        <v>0.6899999999999999</v>
      </c>
      <c r="I32" s="4" t="n">
        <v>0.49</v>
      </c>
      <c r="J32" s="2" t="n">
        <v>30</v>
      </c>
      <c r="K32" s="4" t="n">
        <v>0.14</v>
      </c>
      <c r="L32" s="4" t="n">
        <v>0.1</v>
      </c>
      <c r="M32" s="4">
        <f>B32*(G32/100)*(J32/100)</f>
        <v/>
      </c>
      <c r="N32" s="4">
        <f>B32*(F32/360/100)*E32*(J32/100)</f>
        <v/>
      </c>
      <c r="O32" s="4">
        <f>K32-M32+L32-N32</f>
        <v/>
      </c>
    </row>
    <row r="33">
      <c r="A33" s="2" t="inlineStr">
        <is>
          <t>B02483109</t>
        </is>
      </c>
      <c r="B33" s="4" t="n">
        <v>758.65</v>
      </c>
      <c r="C33" s="3" t="n">
        <v>46012</v>
      </c>
      <c r="D33" s="3" t="n">
        <v>46070</v>
      </c>
      <c r="E33" s="2" t="n">
        <v>39</v>
      </c>
      <c r="F33" s="2" t="n">
        <v>1.78</v>
      </c>
      <c r="G33" s="2" t="n">
        <v>1.97</v>
      </c>
      <c r="H33" s="4" t="n">
        <v>14.95</v>
      </c>
      <c r="I33" s="4" t="n">
        <v>1.46</v>
      </c>
      <c r="J33" s="2" t="n">
        <v>40</v>
      </c>
      <c r="K33" s="4" t="n">
        <v>5.87</v>
      </c>
      <c r="L33" s="4" t="n">
        <v>0.83</v>
      </c>
      <c r="M33" s="4">
        <f>B33*(G33/100)*(J33/100)</f>
        <v/>
      </c>
      <c r="N33" s="4">
        <f>B33*(F33/360/100)*E33*(J33/100)</f>
        <v/>
      </c>
      <c r="O33" s="4">
        <f>K33-M33+L33-N33</f>
        <v/>
      </c>
    </row>
    <row r="34">
      <c r="A34" s="2" t="inlineStr">
        <is>
          <t>B02483109</t>
        </is>
      </c>
      <c r="B34" s="4" t="n">
        <v>571.29</v>
      </c>
      <c r="C34" s="3" t="n">
        <v>45998</v>
      </c>
      <c r="D34" s="3" t="n">
        <v>46055</v>
      </c>
      <c r="E34" s="2" t="n">
        <v>63</v>
      </c>
      <c r="F34" s="2" t="n">
        <v>4.68</v>
      </c>
      <c r="G34" s="2" t="n">
        <v>1.03</v>
      </c>
      <c r="H34" s="4" t="n">
        <v>5.88</v>
      </c>
      <c r="I34" s="4" t="n">
        <v>4.68</v>
      </c>
      <c r="J34" s="2" t="n">
        <v>30</v>
      </c>
      <c r="K34" s="4" t="n">
        <v>1.7</v>
      </c>
      <c r="L34" s="4" t="n">
        <v>1.67</v>
      </c>
      <c r="M34" s="4">
        <f>B34*(G34/100)*(J34/100)</f>
        <v/>
      </c>
      <c r="N34" s="4">
        <f>B34*(F34/360/100)*E34*(J34/100)</f>
        <v/>
      </c>
      <c r="O34" s="4">
        <f>K34-M34+L34-N34</f>
        <v/>
      </c>
    </row>
    <row r="35">
      <c r="A35" s="2" t="inlineStr">
        <is>
          <t>A99313980</t>
        </is>
      </c>
      <c r="B35" s="4" t="n">
        <v>717.84</v>
      </c>
      <c r="C35" s="3" t="n">
        <v>46015</v>
      </c>
      <c r="D35" s="3" t="n">
        <v>46046</v>
      </c>
      <c r="E35" s="2" t="n">
        <v>46</v>
      </c>
      <c r="F35" s="2" t="n">
        <v>3.09</v>
      </c>
      <c r="G35" s="2" t="n">
        <v>1.26</v>
      </c>
      <c r="H35" s="4" t="n">
        <v>9.039999999999999</v>
      </c>
      <c r="I35" s="4" t="n">
        <v>2.83</v>
      </c>
      <c r="J35" s="2" t="n">
        <v>40</v>
      </c>
      <c r="K35" s="4" t="n">
        <v>3.53</v>
      </c>
      <c r="L35" s="4" t="n">
        <v>1.15</v>
      </c>
      <c r="M35" s="4">
        <f>B35*(G35/100)*(J35/100)</f>
        <v/>
      </c>
      <c r="N35" s="4">
        <f>B35*(F35/360/100)*E35*(J35/100)</f>
        <v/>
      </c>
      <c r="O35" s="4">
        <f>K35-M35+L35-N35</f>
        <v/>
      </c>
    </row>
    <row r="36">
      <c r="A36" s="2" t="inlineStr">
        <is>
          <t>A99313980</t>
        </is>
      </c>
      <c r="B36" s="4" t="n">
        <v>462.51</v>
      </c>
      <c r="C36" s="3" t="n">
        <v>46005</v>
      </c>
      <c r="D36" s="3" t="n">
        <v>46082</v>
      </c>
      <c r="E36" s="2" t="n">
        <v>75</v>
      </c>
      <c r="F36" s="2" t="n">
        <v>1.72</v>
      </c>
      <c r="G36" s="2" t="n">
        <v>1.91</v>
      </c>
      <c r="H36" s="4" t="n">
        <v>8.83</v>
      </c>
      <c r="I36" s="4" t="n">
        <v>1.66</v>
      </c>
      <c r="J36" s="2" t="n">
        <v>40</v>
      </c>
      <c r="K36" s="4" t="n">
        <v>3.48</v>
      </c>
      <c r="L36" s="4" t="n">
        <v>0.6</v>
      </c>
      <c r="M36" s="4">
        <f>B36*(G36/100)*(J36/100)</f>
        <v/>
      </c>
      <c r="N36" s="4">
        <f>B36*(F36/360/100)*E36*(J36/100)</f>
        <v/>
      </c>
      <c r="O36" s="4">
        <f>K36-M36+L36-N36</f>
        <v/>
      </c>
    </row>
    <row r="37">
      <c r="A37" s="2" t="inlineStr">
        <is>
          <t>A06129247</t>
        </is>
      </c>
      <c r="B37" s="4" t="n">
        <v>920.4400000000001</v>
      </c>
      <c r="C37" s="3" t="n">
        <v>46003</v>
      </c>
      <c r="D37" s="3" t="n">
        <v>46049</v>
      </c>
      <c r="E37" s="2" t="n">
        <v>57</v>
      </c>
      <c r="F37" s="2" t="n">
        <v>3.83</v>
      </c>
      <c r="G37" s="2" t="n">
        <v>2.05</v>
      </c>
      <c r="H37" s="4" t="n">
        <v>18.87</v>
      </c>
      <c r="I37" s="4" t="n">
        <v>5.58</v>
      </c>
      <c r="J37" s="2" t="n">
        <v>60</v>
      </c>
      <c r="K37" s="4" t="n">
        <v>11.25</v>
      </c>
      <c r="L37" s="4" t="n">
        <v>3.47</v>
      </c>
      <c r="M37" s="4">
        <f>B37*(G37/100)*(J37/100)</f>
        <v/>
      </c>
      <c r="N37" s="4">
        <f>B37*(F37/360/100)*E37*(J37/100)</f>
        <v/>
      </c>
      <c r="O37" s="4">
        <f>K37-M37+L37-N37</f>
        <v/>
      </c>
    </row>
    <row r="38">
      <c r="A38" s="2" t="inlineStr">
        <is>
          <t>A06129247</t>
        </is>
      </c>
      <c r="B38" s="4" t="n">
        <v>285.14</v>
      </c>
      <c r="C38" s="3" t="n">
        <v>46002</v>
      </c>
      <c r="D38" s="3" t="n">
        <v>46048</v>
      </c>
      <c r="E38" s="2" t="n">
        <v>38</v>
      </c>
      <c r="F38" s="2" t="n">
        <v>3.84</v>
      </c>
      <c r="G38" s="2" t="n">
        <v>0.64</v>
      </c>
      <c r="H38" s="4" t="n">
        <v>1.82</v>
      </c>
      <c r="I38" s="4" t="n">
        <v>1.16</v>
      </c>
      <c r="J38" s="2" t="n">
        <v>30</v>
      </c>
      <c r="K38" s="4" t="n">
        <v>0.79</v>
      </c>
      <c r="L38" s="4" t="n">
        <v>0.51</v>
      </c>
      <c r="M38" s="4">
        <f>B38*(G38/100)*(J38/100)</f>
        <v/>
      </c>
      <c r="N38" s="4">
        <f>B38*(F38/360/100)*E38*(J38/100)</f>
        <v/>
      </c>
      <c r="O38" s="4">
        <f>K38-M38+L38-N38</f>
        <v/>
      </c>
    </row>
    <row r="39">
      <c r="A39" s="2" t="inlineStr">
        <is>
          <t>A47759579</t>
        </is>
      </c>
      <c r="B39" s="4" t="n">
        <v>8082.41</v>
      </c>
      <c r="C39" s="3" t="n">
        <v>46008</v>
      </c>
      <c r="D39" s="3" t="n">
        <v>46090</v>
      </c>
      <c r="E39" s="2" t="n">
        <v>75</v>
      </c>
      <c r="F39" s="2" t="n">
        <v>2.93</v>
      </c>
      <c r="G39" s="2" t="n">
        <v>0.7</v>
      </c>
      <c r="H39" s="4" t="n">
        <v>56.58</v>
      </c>
      <c r="I39" s="4" t="n">
        <v>49.34</v>
      </c>
      <c r="J39" s="2" t="n">
        <v>70</v>
      </c>
      <c r="K39" s="4" t="n">
        <v>39.76</v>
      </c>
      <c r="L39" s="4" t="n">
        <v>34.41</v>
      </c>
      <c r="M39" s="4">
        <f>B39*(G39/100)*(J39/100)</f>
        <v/>
      </c>
      <c r="N39" s="4">
        <f>B39*(F39/360/100)*E39*(J39/100)</f>
        <v/>
      </c>
      <c r="O39" s="4">
        <f>K39-M39+L39-N39</f>
        <v/>
      </c>
    </row>
    <row r="40">
      <c r="A40" s="2" t="inlineStr">
        <is>
          <t>A47759579</t>
        </is>
      </c>
      <c r="B40" s="4" t="n">
        <v>761.3099999999999</v>
      </c>
      <c r="C40" s="3" t="n">
        <v>45996</v>
      </c>
      <c r="D40" s="3" t="n">
        <v>46047</v>
      </c>
      <c r="E40" s="2" t="n">
        <v>71</v>
      </c>
      <c r="F40" s="2" t="n">
        <v>2.34</v>
      </c>
      <c r="G40" s="2" t="n">
        <v>1.2</v>
      </c>
      <c r="H40" s="4" t="n">
        <v>9.140000000000001</v>
      </c>
      <c r="I40" s="4" t="n">
        <v>3.51</v>
      </c>
      <c r="J40" s="2" t="n">
        <v>60</v>
      </c>
      <c r="K40" s="4" t="n">
        <v>5.51</v>
      </c>
      <c r="L40" s="4" t="n">
        <v>2.36</v>
      </c>
      <c r="M40" s="4">
        <f>B40*(G40/100)*(J40/100)</f>
        <v/>
      </c>
      <c r="N40" s="4">
        <f>B40*(F40/360/100)*E40*(J40/100)</f>
        <v/>
      </c>
      <c r="O40" s="4">
        <f>K40-M40+L40-N40</f>
        <v/>
      </c>
    </row>
    <row r="41">
      <c r="A41" s="2" t="inlineStr">
        <is>
          <t>A21855870</t>
        </is>
      </c>
      <c r="B41" s="4" t="n">
        <v>948.09</v>
      </c>
      <c r="C41" s="3" t="n">
        <v>45998</v>
      </c>
      <c r="D41" s="3" t="n">
        <v>46071</v>
      </c>
      <c r="E41" s="2" t="n">
        <v>26</v>
      </c>
      <c r="F41" s="2" t="n">
        <v>3.97</v>
      </c>
      <c r="G41" s="2" t="n">
        <v>0.73</v>
      </c>
      <c r="H41" s="4" t="n">
        <v>6.92</v>
      </c>
      <c r="I41" s="4" t="n">
        <v>2.72</v>
      </c>
      <c r="J41" s="2" t="n">
        <v>40</v>
      </c>
      <c r="K41" s="4" t="n">
        <v>2.71</v>
      </c>
      <c r="L41" s="4" t="n">
        <v>1.38</v>
      </c>
      <c r="M41" s="4">
        <f>B41*(G41/100)*(J41/100)</f>
        <v/>
      </c>
      <c r="N41" s="4">
        <f>B41*(F41/360/100)*E41*(J41/100)</f>
        <v/>
      </c>
      <c r="O41" s="4">
        <f>K41-M41+L41-N41</f>
        <v/>
      </c>
    </row>
    <row r="42">
      <c r="A42" s="2" t="inlineStr">
        <is>
          <t>A21855870</t>
        </is>
      </c>
      <c r="B42" s="4" t="n">
        <v>5154.96</v>
      </c>
      <c r="C42" s="3" t="n">
        <v>45998</v>
      </c>
      <c r="D42" s="3" t="n">
        <v>46060</v>
      </c>
      <c r="E42" s="2" t="n">
        <v>59</v>
      </c>
      <c r="F42" s="2" t="n">
        <v>2.05</v>
      </c>
      <c r="G42" s="2" t="n">
        <v>1.18</v>
      </c>
      <c r="H42" s="4" t="n">
        <v>60.83</v>
      </c>
      <c r="I42" s="4" t="n">
        <v>17.32</v>
      </c>
      <c r="J42" s="2" t="n">
        <v>30</v>
      </c>
      <c r="K42" s="4" t="n">
        <v>18.29</v>
      </c>
      <c r="L42" s="4" t="n">
        <v>5.4</v>
      </c>
      <c r="M42" s="4">
        <f>B42*(G42/100)*(J42/100)</f>
        <v/>
      </c>
      <c r="N42" s="4">
        <f>B42*(F42/360/100)*E42*(J42/100)</f>
        <v/>
      </c>
      <c r="O42" s="4">
        <f>K42-M42+L42-N42</f>
        <v/>
      </c>
    </row>
    <row r="43">
      <c r="A43" s="2" t="inlineStr">
        <is>
          <t>A21855870</t>
        </is>
      </c>
      <c r="B43" s="4" t="n">
        <v>407.07</v>
      </c>
      <c r="C43" s="3" t="n">
        <v>46010</v>
      </c>
      <c r="D43" s="3" t="n">
        <v>46094</v>
      </c>
      <c r="E43" s="2" t="n">
        <v>50</v>
      </c>
      <c r="F43" s="2" t="n">
        <v>2.17</v>
      </c>
      <c r="G43" s="2" t="n">
        <v>1.16</v>
      </c>
      <c r="H43" s="4" t="n">
        <v>4.72</v>
      </c>
      <c r="I43" s="4" t="n">
        <v>1.23</v>
      </c>
      <c r="J43" s="2" t="n">
        <v>30</v>
      </c>
      <c r="K43" s="4" t="n">
        <v>1.45</v>
      </c>
      <c r="L43" s="4" t="n">
        <v>0.58</v>
      </c>
      <c r="M43" s="4">
        <f>B43*(G43/100)*(J43/100)</f>
        <v/>
      </c>
      <c r="N43" s="4">
        <f>B43*(F43/360/100)*E43*(J43/100)</f>
        <v/>
      </c>
      <c r="O43" s="4">
        <f>K43-M43+L43-N43</f>
        <v/>
      </c>
    </row>
    <row r="44">
      <c r="A44" s="2" t="inlineStr">
        <is>
          <t>A71010672</t>
        </is>
      </c>
      <c r="B44" s="4" t="n">
        <v>7378.54</v>
      </c>
      <c r="C44" s="3" t="n">
        <v>45997</v>
      </c>
      <c r="D44" s="3" t="n">
        <v>46054</v>
      </c>
      <c r="E44" s="2" t="n">
        <v>50</v>
      </c>
      <c r="F44" s="2" t="n">
        <v>1.66</v>
      </c>
      <c r="G44" s="2" t="n">
        <v>2.1</v>
      </c>
      <c r="H44" s="4" t="n">
        <v>154.95</v>
      </c>
      <c r="I44" s="4" t="n">
        <v>17.01</v>
      </c>
      <c r="J44" s="2" t="n">
        <v>60</v>
      </c>
      <c r="K44" s="4" t="n">
        <v>93.22</v>
      </c>
      <c r="L44" s="4" t="n">
        <v>10.16</v>
      </c>
      <c r="M44" s="4">
        <f>B44*(G44/100)*(J44/100)</f>
        <v/>
      </c>
      <c r="N44" s="4">
        <f>B44*(F44/360/100)*E44*(J44/100)</f>
        <v/>
      </c>
      <c r="O44" s="4">
        <f>K44-M44+L44-N44</f>
        <v/>
      </c>
    </row>
    <row r="45">
      <c r="A45" s="2" t="inlineStr">
        <is>
          <t>A71010672</t>
        </is>
      </c>
      <c r="B45" s="4" t="n">
        <v>991.26</v>
      </c>
      <c r="C45" s="3" t="n">
        <v>45992</v>
      </c>
      <c r="D45" s="3" t="n">
        <v>46071</v>
      </c>
      <c r="E45" s="2" t="n">
        <v>42</v>
      </c>
      <c r="F45" s="2" t="n">
        <v>4.74</v>
      </c>
      <c r="G45" s="2" t="n">
        <v>1.47</v>
      </c>
      <c r="H45" s="4" t="n">
        <v>14.57</v>
      </c>
      <c r="I45" s="4" t="n">
        <v>5.48</v>
      </c>
      <c r="J45" s="2" t="n">
        <v>70</v>
      </c>
      <c r="K45" s="4" t="n">
        <v>9.98</v>
      </c>
      <c r="L45" s="4" t="n">
        <v>3.75</v>
      </c>
      <c r="M45" s="4">
        <f>B45*(G45/100)*(J45/100)</f>
        <v/>
      </c>
      <c r="N45" s="4">
        <f>B45*(F45/360/100)*E45*(J45/100)</f>
        <v/>
      </c>
      <c r="O45" s="4">
        <f>K45-M45+L45-N45</f>
        <v/>
      </c>
    </row>
    <row r="46">
      <c r="A46" s="2" t="inlineStr">
        <is>
          <t>A71010672</t>
        </is>
      </c>
      <c r="B46" s="4" t="n">
        <v>374.12</v>
      </c>
      <c r="C46" s="3" t="n">
        <v>46001</v>
      </c>
      <c r="D46" s="3" t="n">
        <v>46075</v>
      </c>
      <c r="E46" s="2" t="n">
        <v>17</v>
      </c>
      <c r="F46" s="2" t="n">
        <v>4.28</v>
      </c>
      <c r="G46" s="2" t="n">
        <v>0.96</v>
      </c>
      <c r="H46" s="4" t="n">
        <v>3.59</v>
      </c>
      <c r="I46" s="4" t="n">
        <v>0.76</v>
      </c>
      <c r="J46" s="2" t="n">
        <v>30</v>
      </c>
      <c r="K46" s="4" t="n">
        <v>0.95</v>
      </c>
      <c r="L46" s="4" t="n">
        <v>0.41</v>
      </c>
      <c r="M46" s="4">
        <f>B46*(G46/100)*(J46/100)</f>
        <v/>
      </c>
      <c r="N46" s="4">
        <f>B46*(F46/360/100)*E46*(J46/100)</f>
        <v/>
      </c>
      <c r="O46" s="4">
        <f>K46-M46+L46-N46</f>
        <v/>
      </c>
    </row>
    <row r="47">
      <c r="A47" s="2" t="inlineStr">
        <is>
          <t>A71010672</t>
        </is>
      </c>
      <c r="B47" s="4" t="n">
        <v>907.46</v>
      </c>
      <c r="C47" s="3" t="n">
        <v>45995</v>
      </c>
      <c r="D47" s="3" t="n">
        <v>46028</v>
      </c>
      <c r="E47" s="2" t="n">
        <v>53</v>
      </c>
      <c r="F47" s="2" t="n">
        <v>2.98</v>
      </c>
      <c r="G47" s="2" t="n">
        <v>2.03</v>
      </c>
      <c r="H47" s="4" t="n">
        <v>18.42</v>
      </c>
      <c r="I47" s="4" t="n">
        <v>3.98</v>
      </c>
      <c r="J47" s="2" t="n">
        <v>50</v>
      </c>
      <c r="K47" s="4" t="n">
        <v>9.390000000000001</v>
      </c>
      <c r="L47" s="4" t="n">
        <v>1.81</v>
      </c>
      <c r="M47" s="4">
        <f>B47*(G47/100)*(J47/100)</f>
        <v/>
      </c>
      <c r="N47" s="4">
        <f>B47*(F47/360/100)*E47*(J47/100)</f>
        <v/>
      </c>
      <c r="O47" s="4">
        <f>K47-M47+L47-N47</f>
        <v/>
      </c>
    </row>
    <row r="48">
      <c r="A48" s="2" t="inlineStr">
        <is>
          <t>A53654244</t>
        </is>
      </c>
      <c r="B48" s="4" t="n">
        <v>2022.94</v>
      </c>
      <c r="C48" s="3" t="n">
        <v>45998</v>
      </c>
      <c r="D48" s="3" t="n">
        <v>46062</v>
      </c>
      <c r="E48" s="2" t="n">
        <v>40</v>
      </c>
      <c r="F48" s="2" t="n">
        <v>2.45</v>
      </c>
      <c r="G48" s="2" t="n">
        <v>2.42</v>
      </c>
      <c r="H48" s="4" t="n">
        <v>48.96</v>
      </c>
      <c r="I48" s="4" t="n">
        <v>5.51</v>
      </c>
      <c r="J48" s="2" t="n">
        <v>50</v>
      </c>
      <c r="K48" s="4" t="n">
        <v>24.44</v>
      </c>
      <c r="L48" s="4" t="n">
        <v>2.63</v>
      </c>
      <c r="M48" s="4">
        <f>B48*(G48/100)*(J48/100)</f>
        <v/>
      </c>
      <c r="N48" s="4">
        <f>B48*(F48/360/100)*E48*(J48/100)</f>
        <v/>
      </c>
      <c r="O48" s="4">
        <f>K48-M48+L48-N48</f>
        <v/>
      </c>
    </row>
    <row r="49">
      <c r="A49" s="2" t="inlineStr">
        <is>
          <t>A53654244</t>
        </is>
      </c>
      <c r="B49" s="4" t="n">
        <v>592.1900000000001</v>
      </c>
      <c r="C49" s="3" t="n">
        <v>46017</v>
      </c>
      <c r="D49" s="3" t="n">
        <v>46064</v>
      </c>
      <c r="E49" s="2" t="n">
        <v>26</v>
      </c>
      <c r="F49" s="2" t="n">
        <v>2.18</v>
      </c>
      <c r="G49" s="2" t="n">
        <v>1.74</v>
      </c>
      <c r="H49" s="4" t="n">
        <v>10.3</v>
      </c>
      <c r="I49" s="4" t="n">
        <v>0.93</v>
      </c>
      <c r="J49" s="2" t="n">
        <v>40</v>
      </c>
      <c r="K49" s="4" t="n">
        <v>4.1</v>
      </c>
      <c r="L49" s="4" t="n">
        <v>0.25</v>
      </c>
      <c r="M49" s="4">
        <f>B49*(G49/100)*(J49/100)</f>
        <v/>
      </c>
      <c r="N49" s="4">
        <f>B49*(F49/360/100)*E49*(J49/100)</f>
        <v/>
      </c>
      <c r="O49" s="4">
        <f>K49-M49+L49-N49</f>
        <v/>
      </c>
    </row>
    <row r="50">
      <c r="A50" s="2" t="inlineStr">
        <is>
          <t>A53654244</t>
        </is>
      </c>
      <c r="B50" s="4" t="n">
        <v>663.86</v>
      </c>
      <c r="C50" s="3" t="n">
        <v>46000</v>
      </c>
      <c r="D50" s="3" t="n">
        <v>46101</v>
      </c>
      <c r="E50" s="2" t="n">
        <v>40</v>
      </c>
      <c r="F50" s="2" t="n">
        <v>2.76</v>
      </c>
      <c r="G50" s="2" t="n">
        <v>1.51</v>
      </c>
      <c r="H50" s="4" t="n">
        <v>10.02</v>
      </c>
      <c r="I50" s="4" t="n">
        <v>2.04</v>
      </c>
      <c r="J50" s="2" t="n">
        <v>60</v>
      </c>
      <c r="K50" s="4" t="n">
        <v>5.77</v>
      </c>
      <c r="L50" s="4" t="n">
        <v>1.47</v>
      </c>
      <c r="M50" s="4">
        <f>B50*(G50/100)*(J50/100)</f>
        <v/>
      </c>
      <c r="N50" s="4">
        <f>B50*(F50/360/100)*E50*(J50/100)</f>
        <v/>
      </c>
      <c r="O50" s="4">
        <f>K50-M50+L50-N50</f>
        <v/>
      </c>
    </row>
    <row r="51">
      <c r="A51" s="2" t="inlineStr">
        <is>
          <t>B00302625</t>
        </is>
      </c>
      <c r="B51" s="4" t="n">
        <v>902.4</v>
      </c>
      <c r="C51" s="3" t="n">
        <v>45992</v>
      </c>
      <c r="D51" s="3" t="n">
        <v>46087</v>
      </c>
      <c r="E51" s="2" t="n">
        <v>53</v>
      </c>
      <c r="F51" s="2" t="n">
        <v>2.78</v>
      </c>
      <c r="G51" s="2" t="n">
        <v>1.93</v>
      </c>
      <c r="H51" s="4" t="n">
        <v>17.42</v>
      </c>
      <c r="I51" s="4" t="n">
        <v>3.69</v>
      </c>
      <c r="J51" s="2" t="n">
        <v>40</v>
      </c>
      <c r="K51" s="4" t="n">
        <v>6.93</v>
      </c>
      <c r="L51" s="4" t="n">
        <v>1.58</v>
      </c>
      <c r="M51" s="4">
        <f>B51*(G51/100)*(J51/100)</f>
        <v/>
      </c>
      <c r="N51" s="4">
        <f>B51*(F51/360/100)*E51*(J51/100)</f>
        <v/>
      </c>
      <c r="O51" s="4">
        <f>K51-M51+L51-N51</f>
        <v/>
      </c>
    </row>
    <row r="52">
      <c r="A52" s="2" t="inlineStr">
        <is>
          <t>B00302625</t>
        </is>
      </c>
      <c r="B52" s="4" t="n">
        <v>952.41</v>
      </c>
      <c r="C52" s="3" t="n">
        <v>45993</v>
      </c>
      <c r="D52" s="3" t="n">
        <v>46034</v>
      </c>
      <c r="E52" s="2" t="n">
        <v>57</v>
      </c>
      <c r="F52" s="2" t="n">
        <v>4.84</v>
      </c>
      <c r="G52" s="2" t="n">
        <v>1.07</v>
      </c>
      <c r="H52" s="4" t="n">
        <v>10.19</v>
      </c>
      <c r="I52" s="4" t="n">
        <v>7.3</v>
      </c>
      <c r="J52" s="2" t="n">
        <v>30</v>
      </c>
      <c r="K52" s="4" t="n">
        <v>2.97</v>
      </c>
      <c r="L52" s="4" t="n">
        <v>2.01</v>
      </c>
      <c r="M52" s="4">
        <f>B52*(G52/100)*(J52/100)</f>
        <v/>
      </c>
      <c r="N52" s="4">
        <f>B52*(F52/360/100)*E52*(J52/100)</f>
        <v/>
      </c>
      <c r="O52" s="4">
        <f>K52-M52+L52-N52</f>
        <v/>
      </c>
    </row>
    <row r="53">
      <c r="A53" s="2" t="inlineStr">
        <is>
          <t>B00302625</t>
        </is>
      </c>
      <c r="B53" s="4" t="n">
        <v>9092.15</v>
      </c>
      <c r="C53" s="3" t="n">
        <v>46011</v>
      </c>
      <c r="D53" s="3" t="n">
        <v>46103</v>
      </c>
      <c r="E53" s="2" t="n">
        <v>21</v>
      </c>
      <c r="F53" s="2" t="n">
        <v>2.92</v>
      </c>
      <c r="G53" s="2" t="n">
        <v>2.39</v>
      </c>
      <c r="H53" s="4" t="n">
        <v>217.3</v>
      </c>
      <c r="I53" s="4" t="n">
        <v>15.49</v>
      </c>
      <c r="J53" s="2" t="n">
        <v>70</v>
      </c>
      <c r="K53" s="4" t="n">
        <v>152.06</v>
      </c>
      <c r="L53" s="4" t="n">
        <v>11.12</v>
      </c>
      <c r="M53" s="4">
        <f>B53*(G53/100)*(J53/100)</f>
        <v/>
      </c>
      <c r="N53" s="4">
        <f>B53*(F53/360/100)*E53*(J53/100)</f>
        <v/>
      </c>
      <c r="O53" s="4">
        <f>K53-M53+L53-N53</f>
        <v/>
      </c>
    </row>
    <row r="54">
      <c r="A54" s="2" t="inlineStr">
        <is>
          <t>B00302625</t>
        </is>
      </c>
      <c r="B54" s="4" t="n">
        <v>127.66</v>
      </c>
      <c r="C54" s="3" t="n">
        <v>45994</v>
      </c>
      <c r="D54" s="3" t="n">
        <v>46030</v>
      </c>
      <c r="E54" s="2" t="n">
        <v>58</v>
      </c>
      <c r="F54" s="2" t="n">
        <v>1.52</v>
      </c>
      <c r="G54" s="2" t="n">
        <v>0.99</v>
      </c>
      <c r="H54" s="4" t="n">
        <v>1.26</v>
      </c>
      <c r="I54" s="4" t="n">
        <v>0.31</v>
      </c>
      <c r="J54" s="2" t="n">
        <v>50</v>
      </c>
      <c r="K54" s="4" t="n">
        <v>0.66</v>
      </c>
      <c r="L54" s="4" t="n">
        <v>0.28</v>
      </c>
      <c r="M54" s="4">
        <f>B54*(G54/100)*(J54/100)</f>
        <v/>
      </c>
      <c r="N54" s="4">
        <f>B54*(F54/360/100)*E54*(J54/100)</f>
        <v/>
      </c>
      <c r="O54" s="4">
        <f>K54-M54+L54-N54</f>
        <v/>
      </c>
    </row>
    <row r="55">
      <c r="A55" s="2" t="inlineStr">
        <is>
          <t>B98792677</t>
        </is>
      </c>
      <c r="B55" s="4" t="n">
        <v>5449.79</v>
      </c>
      <c r="C55" s="3" t="n">
        <v>46000</v>
      </c>
      <c r="D55" s="3" t="n">
        <v>46046</v>
      </c>
      <c r="E55" s="2" t="n">
        <v>25</v>
      </c>
      <c r="F55" s="2" t="n">
        <v>1.63</v>
      </c>
      <c r="G55" s="2" t="n">
        <v>0.89</v>
      </c>
      <c r="H55" s="4" t="n">
        <v>48.5</v>
      </c>
      <c r="I55" s="4" t="n">
        <v>6.17</v>
      </c>
      <c r="J55" s="2" t="n">
        <v>70</v>
      </c>
      <c r="K55" s="4" t="n">
        <v>33.94</v>
      </c>
      <c r="L55" s="4" t="n">
        <v>4.03</v>
      </c>
      <c r="M55" s="4">
        <f>B55*(G55/100)*(J55/100)</f>
        <v/>
      </c>
      <c r="N55" s="4">
        <f>B55*(F55/360/100)*E55*(J55/100)</f>
        <v/>
      </c>
      <c r="O55" s="4">
        <f>K55-M55+L55-N55</f>
        <v/>
      </c>
    </row>
    <row r="56">
      <c r="A56" s="2" t="inlineStr">
        <is>
          <t>B98792677</t>
        </is>
      </c>
      <c r="B56" s="4" t="n">
        <v>825.36</v>
      </c>
      <c r="C56" s="3" t="n">
        <v>46005</v>
      </c>
      <c r="D56" s="3" t="n">
        <v>46038</v>
      </c>
      <c r="E56" s="2" t="n">
        <v>59</v>
      </c>
      <c r="F56" s="2" t="n">
        <v>4.68</v>
      </c>
      <c r="G56" s="2" t="n">
        <v>1.95</v>
      </c>
      <c r="H56" s="4" t="n">
        <v>16.09</v>
      </c>
      <c r="I56" s="4" t="n">
        <v>6.33</v>
      </c>
      <c r="J56" s="2" t="n">
        <v>50</v>
      </c>
      <c r="K56" s="4" t="n">
        <v>8.33</v>
      </c>
      <c r="L56" s="4" t="n">
        <v>3.28</v>
      </c>
      <c r="M56" s="4">
        <f>B56*(G56/100)*(J56/100)</f>
        <v/>
      </c>
      <c r="N56" s="4">
        <f>B56*(F56/360/100)*E56*(J56/100)</f>
        <v/>
      </c>
      <c r="O56" s="4">
        <f>K56-M56+L56-N56</f>
        <v/>
      </c>
    </row>
    <row r="57">
      <c r="A57" s="2" t="inlineStr">
        <is>
          <t>B98792677</t>
        </is>
      </c>
      <c r="B57" s="4" t="n">
        <v>7260.81</v>
      </c>
      <c r="C57" s="3" t="n">
        <v>46011</v>
      </c>
      <c r="D57" s="3" t="n">
        <v>46037</v>
      </c>
      <c r="E57" s="2" t="n">
        <v>73</v>
      </c>
      <c r="F57" s="2" t="n">
        <v>3.98</v>
      </c>
      <c r="G57" s="2" t="n">
        <v>1.11</v>
      </c>
      <c r="H57" s="4" t="n">
        <v>80.59</v>
      </c>
      <c r="I57" s="4" t="n">
        <v>58.6</v>
      </c>
      <c r="J57" s="2" t="n">
        <v>70</v>
      </c>
      <c r="K57" s="4" t="n">
        <v>56.44</v>
      </c>
      <c r="L57" s="4" t="n">
        <v>40.84</v>
      </c>
      <c r="M57" s="4">
        <f>B57*(G57/100)*(J57/100)</f>
        <v/>
      </c>
      <c r="N57" s="4">
        <f>B57*(F57/360/100)*E57*(J57/100)</f>
        <v/>
      </c>
      <c r="O57" s="4">
        <f>K57-M57+L57-N57</f>
        <v/>
      </c>
    </row>
    <row r="58">
      <c r="A58" s="2" t="inlineStr">
        <is>
          <t>B98792677</t>
        </is>
      </c>
      <c r="B58" s="4" t="n">
        <v>850.04</v>
      </c>
      <c r="C58" s="3" t="n">
        <v>45996</v>
      </c>
      <c r="D58" s="3" t="n">
        <v>46107</v>
      </c>
      <c r="E58" s="2" t="n">
        <v>43</v>
      </c>
      <c r="F58" s="2" t="n">
        <v>1.51</v>
      </c>
      <c r="G58" s="2" t="n">
        <v>2.42</v>
      </c>
      <c r="H58" s="4" t="n">
        <v>20.57</v>
      </c>
      <c r="I58" s="4" t="n">
        <v>1.53</v>
      </c>
      <c r="J58" s="2" t="n">
        <v>70</v>
      </c>
      <c r="K58" s="4" t="n">
        <v>14.66</v>
      </c>
      <c r="L58" s="4" t="n">
        <v>0.77</v>
      </c>
      <c r="M58" s="4">
        <f>B58*(G58/100)*(J58/100)</f>
        <v/>
      </c>
      <c r="N58" s="4">
        <f>B58*(F58/360/100)*E58*(J58/100)</f>
        <v/>
      </c>
      <c r="O58" s="4">
        <f>K58-M58+L58-N58</f>
        <v/>
      </c>
    </row>
    <row r="59">
      <c r="A59" s="2" t="inlineStr">
        <is>
          <t>B05881384</t>
        </is>
      </c>
      <c r="B59" s="4" t="n">
        <v>885.85</v>
      </c>
      <c r="C59" s="3" t="n">
        <v>46000</v>
      </c>
      <c r="D59" s="3" t="n">
        <v>46038</v>
      </c>
      <c r="E59" s="2" t="n">
        <v>22</v>
      </c>
      <c r="F59" s="2" t="n">
        <v>4.25</v>
      </c>
      <c r="G59" s="2" t="n">
        <v>0.71</v>
      </c>
      <c r="H59" s="4" t="n">
        <v>6.29</v>
      </c>
      <c r="I59" s="4" t="n">
        <v>2.3</v>
      </c>
      <c r="J59" s="2" t="n">
        <v>30</v>
      </c>
      <c r="K59" s="4" t="n">
        <v>2.1</v>
      </c>
      <c r="L59" s="4" t="n">
        <v>0.5</v>
      </c>
      <c r="M59" s="4">
        <f>B59*(G59/100)*(J59/100)</f>
        <v/>
      </c>
      <c r="N59" s="4">
        <f>B59*(F59/360/100)*E59*(J59/100)</f>
        <v/>
      </c>
      <c r="O59" s="4">
        <f>K59-M59+L59-N59</f>
        <v/>
      </c>
    </row>
    <row r="60">
      <c r="A60" s="2" t="inlineStr">
        <is>
          <t>B05881384</t>
        </is>
      </c>
      <c r="B60" s="4" t="n">
        <v>385.31</v>
      </c>
      <c r="C60" s="3" t="n">
        <v>46000</v>
      </c>
      <c r="D60" s="3" t="n">
        <v>46046</v>
      </c>
      <c r="E60" s="2" t="n">
        <v>37</v>
      </c>
      <c r="F60" s="2" t="n">
        <v>4.52</v>
      </c>
      <c r="G60" s="2" t="n">
        <v>0.72</v>
      </c>
      <c r="H60" s="4" t="n">
        <v>2.77</v>
      </c>
      <c r="I60" s="4" t="n">
        <v>1.79</v>
      </c>
      <c r="J60" s="2" t="n">
        <v>50</v>
      </c>
      <c r="K60" s="4" t="n">
        <v>1.4</v>
      </c>
      <c r="L60" s="4" t="n">
        <v>0.8100000000000001</v>
      </c>
      <c r="M60" s="4">
        <f>B60*(G60/100)*(J60/100)</f>
        <v/>
      </c>
      <c r="N60" s="4">
        <f>B60*(F60/360/100)*E60*(J60/100)</f>
        <v/>
      </c>
      <c r="O60" s="4">
        <f>K60-M60+L60-N60</f>
        <v/>
      </c>
    </row>
    <row r="61">
      <c r="A61" s="2" t="inlineStr">
        <is>
          <t>B05881384</t>
        </is>
      </c>
      <c r="B61" s="4" t="n">
        <v>8118.73</v>
      </c>
      <c r="C61" s="3" t="n">
        <v>46000</v>
      </c>
      <c r="D61" s="3" t="n">
        <v>46073</v>
      </c>
      <c r="E61" s="2" t="n">
        <v>48</v>
      </c>
      <c r="F61" s="2" t="n">
        <v>4.32</v>
      </c>
      <c r="G61" s="2" t="n">
        <v>1.09</v>
      </c>
      <c r="H61" s="4" t="n">
        <v>88.48999999999999</v>
      </c>
      <c r="I61" s="4" t="n">
        <v>46.76</v>
      </c>
      <c r="J61" s="2" t="n">
        <v>50</v>
      </c>
      <c r="K61" s="4" t="n">
        <v>44.33</v>
      </c>
      <c r="L61" s="4" t="n">
        <v>23.16</v>
      </c>
      <c r="M61" s="4">
        <f>B61*(G61/100)*(J61/100)</f>
        <v/>
      </c>
      <c r="N61" s="4">
        <f>B61*(F61/360/100)*E61*(J61/100)</f>
        <v/>
      </c>
      <c r="O61" s="4">
        <f>K61-M61+L61-N61</f>
        <v/>
      </c>
    </row>
    <row r="62">
      <c r="A62" s="2" t="inlineStr">
        <is>
          <t>B05881384</t>
        </is>
      </c>
      <c r="B62" s="4" t="n">
        <v>799.4</v>
      </c>
      <c r="C62" s="3" t="n">
        <v>46010</v>
      </c>
      <c r="D62" s="3" t="n">
        <v>46106</v>
      </c>
      <c r="E62" s="2" t="n">
        <v>59</v>
      </c>
      <c r="F62" s="2" t="n">
        <v>1.63</v>
      </c>
      <c r="G62" s="2" t="n">
        <v>2.41</v>
      </c>
      <c r="H62" s="4" t="n">
        <v>19.27</v>
      </c>
      <c r="I62" s="4" t="n">
        <v>2.14</v>
      </c>
      <c r="J62" s="2" t="n">
        <v>40</v>
      </c>
      <c r="K62" s="4" t="n">
        <v>7.84</v>
      </c>
      <c r="L62" s="4" t="n">
        <v>0.6899999999999999</v>
      </c>
      <c r="M62" s="4">
        <f>B62*(G62/100)*(J62/100)</f>
        <v/>
      </c>
      <c r="N62" s="4">
        <f>B62*(F62/360/100)*E62*(J62/100)</f>
        <v/>
      </c>
      <c r="O62" s="4">
        <f>K62-M62+L62-N62</f>
        <v/>
      </c>
    </row>
    <row r="63">
      <c r="A63" s="2" t="inlineStr">
        <is>
          <t>B18651928</t>
        </is>
      </c>
      <c r="B63" s="4" t="n">
        <v>583.3200000000001</v>
      </c>
      <c r="C63" s="3" t="n">
        <v>45995</v>
      </c>
      <c r="D63" s="3" t="n">
        <v>46046</v>
      </c>
      <c r="E63" s="2" t="n">
        <v>63</v>
      </c>
      <c r="F63" s="2" t="n">
        <v>3.33</v>
      </c>
      <c r="G63" s="2" t="n">
        <v>1.18</v>
      </c>
      <c r="H63" s="4" t="n">
        <v>6.88</v>
      </c>
      <c r="I63" s="4" t="n">
        <v>3.4</v>
      </c>
      <c r="J63" s="2" t="n">
        <v>70</v>
      </c>
      <c r="K63" s="4" t="n">
        <v>4.94</v>
      </c>
      <c r="L63" s="4" t="n">
        <v>2.54</v>
      </c>
      <c r="M63" s="4">
        <f>B63*(G63/100)*(J63/100)</f>
        <v/>
      </c>
      <c r="N63" s="4">
        <f>B63*(F63/360/100)*E63*(J63/100)</f>
        <v/>
      </c>
      <c r="O63" s="4">
        <f>K63-M63+L63-N63</f>
        <v/>
      </c>
    </row>
    <row r="64">
      <c r="A64" s="2" t="inlineStr">
        <is>
          <t>B18651928</t>
        </is>
      </c>
      <c r="B64" s="4" t="n">
        <v>8585.32</v>
      </c>
      <c r="C64" s="3" t="n">
        <v>45994</v>
      </c>
      <c r="D64" s="3" t="n">
        <v>46036</v>
      </c>
      <c r="E64" s="2" t="n">
        <v>44</v>
      </c>
      <c r="F64" s="2" t="n">
        <v>3.46</v>
      </c>
      <c r="G64" s="2" t="n">
        <v>2.2</v>
      </c>
      <c r="H64" s="4" t="n">
        <v>188.88</v>
      </c>
      <c r="I64" s="4" t="n">
        <v>36.31</v>
      </c>
      <c r="J64" s="2" t="n">
        <v>30</v>
      </c>
      <c r="K64" s="4" t="n">
        <v>56.43</v>
      </c>
      <c r="L64" s="4" t="n">
        <v>10.85</v>
      </c>
      <c r="M64" s="4">
        <f>B64*(G64/100)*(J64/100)</f>
        <v/>
      </c>
      <c r="N64" s="4">
        <f>B64*(F64/360/100)*E64*(J64/100)</f>
        <v/>
      </c>
      <c r="O64" s="4">
        <f>K64-M64+L64-N64</f>
        <v/>
      </c>
    </row>
    <row r="65">
      <c r="A65" s="2" t="inlineStr">
        <is>
          <t>B18651928</t>
        </is>
      </c>
      <c r="B65" s="4" t="n">
        <v>770.55</v>
      </c>
      <c r="C65" s="3" t="n">
        <v>46013</v>
      </c>
      <c r="D65" s="3" t="n">
        <v>46026</v>
      </c>
      <c r="E65" s="2" t="n">
        <v>36</v>
      </c>
      <c r="F65" s="2" t="n">
        <v>3.66</v>
      </c>
      <c r="G65" s="2" t="n">
        <v>2.22</v>
      </c>
      <c r="H65" s="4" t="n">
        <v>17.11</v>
      </c>
      <c r="I65" s="4" t="n">
        <v>2.82</v>
      </c>
      <c r="J65" s="2" t="n">
        <v>50</v>
      </c>
      <c r="K65" s="4" t="n">
        <v>8.52</v>
      </c>
      <c r="L65" s="4" t="n">
        <v>1.3</v>
      </c>
      <c r="M65" s="4">
        <f>B65*(G65/100)*(J65/100)</f>
        <v/>
      </c>
      <c r="N65" s="4">
        <f>B65*(F65/360/100)*E65*(J65/100)</f>
        <v/>
      </c>
      <c r="O65" s="4">
        <f>K65-M65+L65-N65</f>
        <v/>
      </c>
    </row>
    <row r="66">
      <c r="A66" s="2" t="inlineStr">
        <is>
          <t>A14052331</t>
        </is>
      </c>
      <c r="B66" s="4" t="n">
        <v>116.54</v>
      </c>
      <c r="C66" s="3" t="n">
        <v>45998</v>
      </c>
      <c r="D66" s="3" t="n">
        <v>46098</v>
      </c>
      <c r="E66" s="2" t="n">
        <v>56</v>
      </c>
      <c r="F66" s="2" t="n">
        <v>2.55</v>
      </c>
      <c r="G66" s="2" t="n">
        <v>1.57</v>
      </c>
      <c r="H66" s="4" t="n">
        <v>1.83</v>
      </c>
      <c r="I66" s="4" t="n">
        <v>0.46</v>
      </c>
      <c r="J66" s="2" t="n">
        <v>60</v>
      </c>
      <c r="K66" s="4" t="n">
        <v>1.12</v>
      </c>
      <c r="L66" s="4" t="n">
        <v>0.19</v>
      </c>
      <c r="M66" s="4">
        <f>B66*(G66/100)*(J66/100)</f>
        <v/>
      </c>
      <c r="N66" s="4">
        <f>B66*(F66/360/100)*E66*(J66/100)</f>
        <v/>
      </c>
      <c r="O66" s="4">
        <f>K66-M66+L66-N66</f>
        <v/>
      </c>
    </row>
    <row r="67">
      <c r="A67" s="2" t="inlineStr">
        <is>
          <t>A14052331</t>
        </is>
      </c>
      <c r="B67" s="4" t="n">
        <v>9460.52</v>
      </c>
      <c r="C67" s="3" t="n">
        <v>46015</v>
      </c>
      <c r="D67" s="3" t="n">
        <v>46073</v>
      </c>
      <c r="E67" s="2" t="n">
        <v>68</v>
      </c>
      <c r="F67" s="2" t="n">
        <v>2.19</v>
      </c>
      <c r="G67" s="2" t="n">
        <v>0.83</v>
      </c>
      <c r="H67" s="4" t="n">
        <v>78.52</v>
      </c>
      <c r="I67" s="4" t="n">
        <v>39.14</v>
      </c>
      <c r="J67" s="2" t="n">
        <v>70</v>
      </c>
      <c r="K67" s="4" t="n">
        <v>54.75</v>
      </c>
      <c r="L67" s="4" t="n">
        <v>27.47</v>
      </c>
      <c r="M67" s="4">
        <f>B67*(G67/100)*(J67/100)</f>
        <v/>
      </c>
      <c r="N67" s="4">
        <f>B67*(F67/360/100)*E67*(J67/100)</f>
        <v/>
      </c>
      <c r="O67" s="4">
        <f>K67-M67+L67-N67</f>
        <v/>
      </c>
    </row>
    <row r="68">
      <c r="A68" s="2" t="inlineStr">
        <is>
          <t>A14052331</t>
        </is>
      </c>
      <c r="B68" s="4" t="n">
        <v>3200.36</v>
      </c>
      <c r="C68" s="3" t="n">
        <v>46005</v>
      </c>
      <c r="D68" s="3" t="n">
        <v>46105</v>
      </c>
      <c r="E68" s="2" t="n">
        <v>65</v>
      </c>
      <c r="F68" s="2" t="n">
        <v>2.94</v>
      </c>
      <c r="G68" s="2" t="n">
        <v>1.95</v>
      </c>
      <c r="H68" s="4" t="n">
        <v>62.41</v>
      </c>
      <c r="I68" s="4" t="n">
        <v>16.99</v>
      </c>
      <c r="J68" s="2" t="n">
        <v>40</v>
      </c>
      <c r="K68" s="4" t="n">
        <v>25.23</v>
      </c>
      <c r="L68" s="4" t="n">
        <v>7.01</v>
      </c>
      <c r="M68" s="4">
        <f>B68*(G68/100)*(J68/100)</f>
        <v/>
      </c>
      <c r="N68" s="4">
        <f>B68*(F68/360/100)*E68*(J68/100)</f>
        <v/>
      </c>
      <c r="O68" s="4">
        <f>K68-M68+L68-N68</f>
        <v/>
      </c>
    </row>
    <row r="69">
      <c r="A69" s="2" t="inlineStr">
        <is>
          <t>A14052331</t>
        </is>
      </c>
      <c r="B69" s="4" t="n">
        <v>340.2</v>
      </c>
      <c r="C69" s="3" t="n">
        <v>46003</v>
      </c>
      <c r="D69" s="3" t="n">
        <v>46062</v>
      </c>
      <c r="E69" s="2" t="n">
        <v>57</v>
      </c>
      <c r="F69" s="2" t="n">
        <v>2.31</v>
      </c>
      <c r="G69" s="2" t="n">
        <v>1.81</v>
      </c>
      <c r="H69" s="4" t="n">
        <v>6.16</v>
      </c>
      <c r="I69" s="4" t="n">
        <v>1.24</v>
      </c>
      <c r="J69" s="2" t="n">
        <v>60</v>
      </c>
      <c r="K69" s="4" t="n">
        <v>3.43</v>
      </c>
      <c r="L69" s="4" t="n">
        <v>0.96</v>
      </c>
      <c r="M69" s="4">
        <f>B69*(G69/100)*(J69/100)</f>
        <v/>
      </c>
      <c r="N69" s="4">
        <f>B69*(F69/360/100)*E69*(J69/100)</f>
        <v/>
      </c>
      <c r="O69" s="4">
        <f>K69-M69+L69-N69</f>
        <v/>
      </c>
    </row>
    <row r="70">
      <c r="A70" s="2" t="inlineStr">
        <is>
          <t>B08898130</t>
        </is>
      </c>
      <c r="B70" s="4" t="n">
        <v>8886.42</v>
      </c>
      <c r="C70" s="3" t="n">
        <v>46015</v>
      </c>
      <c r="D70" s="3" t="n">
        <v>46106</v>
      </c>
      <c r="E70" s="2" t="n">
        <v>39</v>
      </c>
      <c r="F70" s="2" t="n">
        <v>3</v>
      </c>
      <c r="G70" s="2" t="n">
        <v>1.79</v>
      </c>
      <c r="H70" s="4" t="n">
        <v>159.07</v>
      </c>
      <c r="I70" s="4" t="n">
        <v>28.88</v>
      </c>
      <c r="J70" s="2" t="n">
        <v>30</v>
      </c>
      <c r="K70" s="4" t="n">
        <v>47.43</v>
      </c>
      <c r="L70" s="4" t="n">
        <v>8.41</v>
      </c>
      <c r="M70" s="4">
        <f>B70*(G70/100)*(J70/100)</f>
        <v/>
      </c>
      <c r="N70" s="4">
        <f>B70*(F70/360/100)*E70*(J70/100)</f>
        <v/>
      </c>
      <c r="O70" s="4">
        <f>K70-M70+L70-N70</f>
        <v/>
      </c>
    </row>
    <row r="71">
      <c r="A71" s="2" t="inlineStr">
        <is>
          <t>B08898130</t>
        </is>
      </c>
      <c r="B71" s="4" t="n">
        <v>9415.559999999999</v>
      </c>
      <c r="C71" s="3" t="n">
        <v>46002</v>
      </c>
      <c r="D71" s="3" t="n">
        <v>46069</v>
      </c>
      <c r="E71" s="2" t="n">
        <v>19</v>
      </c>
      <c r="F71" s="2" t="n">
        <v>4.8</v>
      </c>
      <c r="G71" s="2" t="n">
        <v>1.74</v>
      </c>
      <c r="H71" s="4" t="n">
        <v>163.83</v>
      </c>
      <c r="I71" s="4" t="n">
        <v>23.85</v>
      </c>
      <c r="J71" s="2" t="n">
        <v>70</v>
      </c>
      <c r="K71" s="4" t="n">
        <v>114.6</v>
      </c>
      <c r="L71" s="4" t="n">
        <v>16.98</v>
      </c>
      <c r="M71" s="4">
        <f>B71*(G71/100)*(J71/100)</f>
        <v/>
      </c>
      <c r="N71" s="4">
        <f>B71*(F71/360/100)*E71*(J71/100)</f>
        <v/>
      </c>
      <c r="O71" s="4">
        <f>K71-M71+L71-N71</f>
        <v/>
      </c>
    </row>
    <row r="72">
      <c r="A72" s="2" t="inlineStr">
        <is>
          <t>B53704916</t>
        </is>
      </c>
      <c r="B72" s="4" t="n">
        <v>448.69</v>
      </c>
      <c r="C72" s="3" t="n">
        <v>45998</v>
      </c>
      <c r="D72" s="3" t="n">
        <v>46108</v>
      </c>
      <c r="E72" s="2" t="n">
        <v>61</v>
      </c>
      <c r="F72" s="2" t="n">
        <v>4.86</v>
      </c>
      <c r="G72" s="2" t="n">
        <v>1.15</v>
      </c>
      <c r="H72" s="4" t="n">
        <v>5.16</v>
      </c>
      <c r="I72" s="4" t="n">
        <v>3.69</v>
      </c>
      <c r="J72" s="2" t="n">
        <v>50</v>
      </c>
      <c r="K72" s="4" t="n">
        <v>2.8</v>
      </c>
      <c r="L72" s="4" t="n">
        <v>1.56</v>
      </c>
      <c r="M72" s="4">
        <f>B72*(G72/100)*(J72/100)</f>
        <v/>
      </c>
      <c r="N72" s="4">
        <f>B72*(F72/360/100)*E72*(J72/100)</f>
        <v/>
      </c>
      <c r="O72" s="4">
        <f>K72-M72+L72-N72</f>
        <v/>
      </c>
    </row>
    <row r="73">
      <c r="A73" s="2" t="inlineStr">
        <is>
          <t>B53704916</t>
        </is>
      </c>
      <c r="B73" s="4" t="n">
        <v>424.88</v>
      </c>
      <c r="C73" s="3" t="n">
        <v>46019</v>
      </c>
      <c r="D73" s="3" t="n">
        <v>46041</v>
      </c>
      <c r="E73" s="2" t="n">
        <v>65</v>
      </c>
      <c r="F73" s="2" t="n">
        <v>2.51</v>
      </c>
      <c r="G73" s="2" t="n">
        <v>1.32</v>
      </c>
      <c r="H73" s="4" t="n">
        <v>5.61</v>
      </c>
      <c r="I73" s="4" t="n">
        <v>1.93</v>
      </c>
      <c r="J73" s="2" t="n">
        <v>60</v>
      </c>
      <c r="K73" s="4" t="n">
        <v>3.32</v>
      </c>
      <c r="L73" s="4" t="n">
        <v>0.91</v>
      </c>
      <c r="M73" s="4">
        <f>B73*(G73/100)*(J73/100)</f>
        <v/>
      </c>
      <c r="N73" s="4">
        <f>B73*(F73/360/100)*E73*(J73/100)</f>
        <v/>
      </c>
      <c r="O73" s="4">
        <f>K73-M73+L73-N73</f>
        <v/>
      </c>
    </row>
    <row r="74">
      <c r="A74" s="2" t="inlineStr">
        <is>
          <t>B53704916</t>
        </is>
      </c>
      <c r="B74" s="4" t="n">
        <v>320.94</v>
      </c>
      <c r="C74" s="3" t="n">
        <v>46015</v>
      </c>
      <c r="D74" s="3" t="n">
        <v>46092</v>
      </c>
      <c r="E74" s="2" t="n">
        <v>38</v>
      </c>
      <c r="F74" s="2" t="n">
        <v>2.38</v>
      </c>
      <c r="G74" s="2" t="n">
        <v>0.66</v>
      </c>
      <c r="H74" s="4" t="n">
        <v>2.12</v>
      </c>
      <c r="I74" s="4" t="n">
        <v>0.8100000000000001</v>
      </c>
      <c r="J74" s="2" t="n">
        <v>70</v>
      </c>
      <c r="K74" s="4" t="n">
        <v>1.66</v>
      </c>
      <c r="L74" s="4" t="n">
        <v>0.72</v>
      </c>
      <c r="M74" s="4">
        <f>B74*(G74/100)*(J74/100)</f>
        <v/>
      </c>
      <c r="N74" s="4">
        <f>B74*(F74/360/100)*E74*(J74/100)</f>
        <v/>
      </c>
      <c r="O74" s="4">
        <f>K74-M74+L74-N74</f>
        <v/>
      </c>
    </row>
    <row r="75">
      <c r="A75" s="2" t="inlineStr">
        <is>
          <t>B53704916</t>
        </is>
      </c>
      <c r="B75" s="4" t="n">
        <v>3560.26</v>
      </c>
      <c r="C75" s="3" t="n">
        <v>46014</v>
      </c>
      <c r="D75" s="3" t="n">
        <v>46031</v>
      </c>
      <c r="E75" s="2" t="n">
        <v>62</v>
      </c>
      <c r="F75" s="2" t="n">
        <v>2.31</v>
      </c>
      <c r="G75" s="2" t="n">
        <v>1.59</v>
      </c>
      <c r="H75" s="4" t="n">
        <v>56.61</v>
      </c>
      <c r="I75" s="4" t="n">
        <v>14.16</v>
      </c>
      <c r="J75" s="2" t="n">
        <v>30</v>
      </c>
      <c r="K75" s="4" t="n">
        <v>17.28</v>
      </c>
      <c r="L75" s="4" t="n">
        <v>4.06</v>
      </c>
      <c r="M75" s="4">
        <f>B75*(G75/100)*(J75/100)</f>
        <v/>
      </c>
      <c r="N75" s="4">
        <f>B75*(F75/360/100)*E75*(J75/100)</f>
        <v/>
      </c>
      <c r="O75" s="4">
        <f>K75-M75+L75-N75</f>
        <v/>
      </c>
    </row>
    <row r="76">
      <c r="A76" s="2" t="inlineStr">
        <is>
          <t>A17681165</t>
        </is>
      </c>
      <c r="B76" s="4" t="n">
        <v>805.0599999999999</v>
      </c>
      <c r="C76" s="3" t="n">
        <v>46014</v>
      </c>
      <c r="D76" s="3" t="n">
        <v>46088</v>
      </c>
      <c r="E76" s="2" t="n">
        <v>36</v>
      </c>
      <c r="F76" s="2" t="n">
        <v>4.93</v>
      </c>
      <c r="G76" s="2" t="n">
        <v>1.87</v>
      </c>
      <c r="H76" s="4" t="n">
        <v>15.05</v>
      </c>
      <c r="I76" s="4" t="n">
        <v>3.97</v>
      </c>
      <c r="J76" s="2" t="n">
        <v>50</v>
      </c>
      <c r="K76" s="4" t="n">
        <v>7.69</v>
      </c>
      <c r="L76" s="4" t="n">
        <v>2.09</v>
      </c>
      <c r="M76" s="4">
        <f>B76*(G76/100)*(J76/100)</f>
        <v/>
      </c>
      <c r="N76" s="4">
        <f>B76*(F76/360/100)*E76*(J76/100)</f>
        <v/>
      </c>
      <c r="O76" s="4">
        <f>K76-M76+L76-N76</f>
        <v/>
      </c>
    </row>
    <row r="77">
      <c r="A77" s="2" t="inlineStr">
        <is>
          <t>A17681165</t>
        </is>
      </c>
      <c r="B77" s="4" t="n">
        <v>919.34</v>
      </c>
      <c r="C77" s="3" t="n">
        <v>46019</v>
      </c>
      <c r="D77" s="3" t="n">
        <v>46046</v>
      </c>
      <c r="E77" s="2" t="n">
        <v>67</v>
      </c>
      <c r="F77" s="2" t="n">
        <v>1.55</v>
      </c>
      <c r="G77" s="2" t="n">
        <v>0.63</v>
      </c>
      <c r="H77" s="4" t="n">
        <v>5.79</v>
      </c>
      <c r="I77" s="4" t="n">
        <v>2.65</v>
      </c>
      <c r="J77" s="2" t="n">
        <v>30</v>
      </c>
      <c r="K77" s="4" t="n">
        <v>1.65</v>
      </c>
      <c r="L77" s="4" t="n">
        <v>0.51</v>
      </c>
      <c r="M77" s="4">
        <f>B77*(G77/100)*(J77/100)</f>
        <v/>
      </c>
      <c r="N77" s="4">
        <f>B77*(F77/360/100)*E77*(J77/100)</f>
        <v/>
      </c>
      <c r="O77" s="4">
        <f>K77-M77+L77-N77</f>
        <v/>
      </c>
    </row>
    <row r="78">
      <c r="A78" s="2" t="inlineStr">
        <is>
          <t>A17681165</t>
        </is>
      </c>
      <c r="B78" s="4" t="n">
        <v>798.39</v>
      </c>
      <c r="C78" s="3" t="n">
        <v>46009</v>
      </c>
      <c r="D78" s="3" t="n">
        <v>46028</v>
      </c>
      <c r="E78" s="2" t="n">
        <v>68</v>
      </c>
      <c r="F78" s="2" t="n">
        <v>1.89</v>
      </c>
      <c r="G78" s="2" t="n">
        <v>0.53</v>
      </c>
      <c r="H78" s="4" t="n">
        <v>4.23</v>
      </c>
      <c r="I78" s="4" t="n">
        <v>2.85</v>
      </c>
      <c r="J78" s="2" t="n">
        <v>60</v>
      </c>
      <c r="K78" s="4" t="n">
        <v>2.64</v>
      </c>
      <c r="L78" s="4" t="n">
        <v>1.46</v>
      </c>
      <c r="M78" s="4">
        <f>B78*(G78/100)*(J78/100)</f>
        <v/>
      </c>
      <c r="N78" s="4">
        <f>B78*(F78/360/100)*E78*(J78/100)</f>
        <v/>
      </c>
      <c r="O78" s="4">
        <f>K78-M78+L78-N78</f>
        <v/>
      </c>
    </row>
    <row r="79">
      <c r="A79" s="2" t="inlineStr">
        <is>
          <t>A17681165</t>
        </is>
      </c>
      <c r="B79" s="4" t="n">
        <v>400.18</v>
      </c>
      <c r="C79" s="3" t="n">
        <v>46008</v>
      </c>
      <c r="D79" s="3" t="n">
        <v>46066</v>
      </c>
      <c r="E79" s="2" t="n">
        <v>75</v>
      </c>
      <c r="F79" s="2" t="n">
        <v>4.49</v>
      </c>
      <c r="G79" s="2" t="n">
        <v>2.16</v>
      </c>
      <c r="H79" s="4" t="n">
        <v>8.640000000000001</v>
      </c>
      <c r="I79" s="4" t="n">
        <v>3.74</v>
      </c>
      <c r="J79" s="2" t="n">
        <v>40</v>
      </c>
      <c r="K79" s="4" t="n">
        <v>3.42</v>
      </c>
      <c r="L79" s="4" t="n">
        <v>1.62</v>
      </c>
      <c r="M79" s="4">
        <f>B79*(G79/100)*(J79/100)</f>
        <v/>
      </c>
      <c r="N79" s="4">
        <f>B79*(F79/360/100)*E79*(J79/100)</f>
        <v/>
      </c>
      <c r="O79" s="4">
        <f>K79-M79+L79-N79</f>
        <v/>
      </c>
    </row>
    <row r="80">
      <c r="A80" s="2" t="inlineStr">
        <is>
          <t>A21718784</t>
        </is>
      </c>
      <c r="B80" s="4" t="n">
        <v>261.85</v>
      </c>
      <c r="C80" s="3" t="n">
        <v>46017</v>
      </c>
      <c r="D80" s="3" t="n">
        <v>46024</v>
      </c>
      <c r="E80" s="2" t="n">
        <v>34</v>
      </c>
      <c r="F80" s="2" t="n">
        <v>1.81</v>
      </c>
      <c r="G80" s="2" t="n">
        <v>1.7</v>
      </c>
      <c r="H80" s="4" t="n">
        <v>4.45</v>
      </c>
      <c r="I80" s="4" t="n">
        <v>0.45</v>
      </c>
      <c r="J80" s="2" t="n">
        <v>40</v>
      </c>
      <c r="K80" s="4" t="n">
        <v>1.49</v>
      </c>
      <c r="L80" s="4" t="n">
        <v>0.14</v>
      </c>
      <c r="M80" s="4">
        <f>B80*(G80/100)*(J80/100)</f>
        <v/>
      </c>
      <c r="N80" s="4">
        <f>B80*(F80/360/100)*E80*(J80/100)</f>
        <v/>
      </c>
      <c r="O80" s="4">
        <f>K80-M80+L80-N80</f>
        <v/>
      </c>
    </row>
    <row r="81">
      <c r="A81" s="2" t="inlineStr">
        <is>
          <t>A21718784</t>
        </is>
      </c>
      <c r="B81" s="4" t="n">
        <v>831.3099999999999</v>
      </c>
      <c r="C81" s="3" t="n">
        <v>45996</v>
      </c>
      <c r="D81" s="3" t="n">
        <v>46067</v>
      </c>
      <c r="E81" s="2" t="n">
        <v>61</v>
      </c>
      <c r="F81" s="2" t="n">
        <v>2.62</v>
      </c>
      <c r="G81" s="2" t="n">
        <v>2.11</v>
      </c>
      <c r="H81" s="4" t="n">
        <v>17.54</v>
      </c>
      <c r="I81" s="4" t="n">
        <v>3.69</v>
      </c>
      <c r="J81" s="2" t="n">
        <v>40</v>
      </c>
      <c r="K81" s="4" t="n">
        <v>7.16</v>
      </c>
      <c r="L81" s="4" t="n">
        <v>1.41</v>
      </c>
      <c r="M81" s="4">
        <f>B81*(G81/100)*(J81/100)</f>
        <v/>
      </c>
      <c r="N81" s="4">
        <f>B81*(F81/360/100)*E81*(J81/100)</f>
        <v/>
      </c>
      <c r="O81" s="4">
        <f>K81-M81+L81-N81</f>
        <v/>
      </c>
    </row>
    <row r="82">
      <c r="A82" s="2" t="inlineStr">
        <is>
          <t>A21718784</t>
        </is>
      </c>
      <c r="B82" s="4" t="n">
        <v>243.28</v>
      </c>
      <c r="C82" s="3" t="n">
        <v>46008</v>
      </c>
      <c r="D82" s="3" t="n">
        <v>46030</v>
      </c>
      <c r="E82" s="2" t="n">
        <v>73</v>
      </c>
      <c r="F82" s="2" t="n">
        <v>2.9</v>
      </c>
      <c r="G82" s="2" t="n">
        <v>2.22</v>
      </c>
      <c r="H82" s="4" t="n">
        <v>5.4</v>
      </c>
      <c r="I82" s="4" t="n">
        <v>1.43</v>
      </c>
      <c r="J82" s="2" t="n">
        <v>60</v>
      </c>
      <c r="K82" s="4" t="n">
        <v>3.25</v>
      </c>
      <c r="L82" s="4" t="n">
        <v>1.08</v>
      </c>
      <c r="M82" s="4">
        <f>B82*(G82/100)*(J82/100)</f>
        <v/>
      </c>
      <c r="N82" s="4">
        <f>B82*(F82/360/100)*E82*(J82/100)</f>
        <v/>
      </c>
      <c r="O82" s="4">
        <f>K82-M82+L82-N82</f>
        <v/>
      </c>
    </row>
    <row r="83">
      <c r="A83" s="2" t="inlineStr">
        <is>
          <t>A14584485</t>
        </is>
      </c>
      <c r="B83" s="4" t="n">
        <v>757.47</v>
      </c>
      <c r="C83" s="3" t="n">
        <v>46014</v>
      </c>
      <c r="D83" s="3" t="n">
        <v>46077</v>
      </c>
      <c r="E83" s="2" t="n">
        <v>28</v>
      </c>
      <c r="F83" s="2" t="n">
        <v>3.67</v>
      </c>
      <c r="G83" s="2" t="n">
        <v>1.72</v>
      </c>
      <c r="H83" s="4" t="n">
        <v>13.03</v>
      </c>
      <c r="I83" s="4" t="n">
        <v>2.16</v>
      </c>
      <c r="J83" s="2" t="n">
        <v>70</v>
      </c>
      <c r="K83" s="4" t="n">
        <v>9.359999999999999</v>
      </c>
      <c r="L83" s="4" t="n">
        <v>1.74</v>
      </c>
      <c r="M83" s="4">
        <f>B83*(G83/100)*(J83/100)</f>
        <v/>
      </c>
      <c r="N83" s="4">
        <f>B83*(F83/360/100)*E83*(J83/100)</f>
        <v/>
      </c>
      <c r="O83" s="4">
        <f>K83-M83+L83-N83</f>
        <v/>
      </c>
    </row>
    <row r="84">
      <c r="A84" s="2" t="inlineStr">
        <is>
          <t>A14584485</t>
        </is>
      </c>
      <c r="B84" s="4" t="n">
        <v>653.83</v>
      </c>
      <c r="C84" s="3" t="n">
        <v>46008</v>
      </c>
      <c r="D84" s="3" t="n">
        <v>46034</v>
      </c>
      <c r="E84" s="2" t="n">
        <v>29</v>
      </c>
      <c r="F84" s="2" t="n">
        <v>3.63</v>
      </c>
      <c r="G84" s="2" t="n">
        <v>1.19</v>
      </c>
      <c r="H84" s="4" t="n">
        <v>7.78</v>
      </c>
      <c r="I84" s="4" t="n">
        <v>1.91</v>
      </c>
      <c r="J84" s="2" t="n">
        <v>30</v>
      </c>
      <c r="K84" s="4" t="n">
        <v>2.62</v>
      </c>
      <c r="L84" s="4" t="n">
        <v>0.59</v>
      </c>
      <c r="M84" s="4">
        <f>B84*(G84/100)*(J84/100)</f>
        <v/>
      </c>
      <c r="N84" s="4">
        <f>B84*(F84/360/100)*E84*(J84/100)</f>
        <v/>
      </c>
      <c r="O84" s="4">
        <f>K84-M84+L84-N84</f>
        <v/>
      </c>
    </row>
    <row r="85">
      <c r="A85" s="2" t="inlineStr">
        <is>
          <t>A14584485</t>
        </is>
      </c>
      <c r="B85" s="4" t="n">
        <v>233.49</v>
      </c>
      <c r="C85" s="3" t="n">
        <v>46000</v>
      </c>
      <c r="D85" s="3" t="n">
        <v>46058</v>
      </c>
      <c r="E85" s="2" t="n">
        <v>61</v>
      </c>
      <c r="F85" s="2" t="n">
        <v>1.69</v>
      </c>
      <c r="G85" s="2" t="n">
        <v>2.31</v>
      </c>
      <c r="H85" s="4" t="n">
        <v>5.39</v>
      </c>
      <c r="I85" s="4" t="n">
        <v>0.67</v>
      </c>
      <c r="J85" s="2" t="n">
        <v>70</v>
      </c>
      <c r="K85" s="4" t="n">
        <v>4</v>
      </c>
      <c r="L85" s="4" t="n">
        <v>0.55</v>
      </c>
      <c r="M85" s="4">
        <f>B85*(G85/100)*(J85/100)</f>
        <v/>
      </c>
      <c r="N85" s="4">
        <f>B85*(F85/360/100)*E85*(J85/100)</f>
        <v/>
      </c>
      <c r="O85" s="4">
        <f>K85-M85+L85-N85</f>
        <v/>
      </c>
    </row>
    <row r="86">
      <c r="A86" s="2" t="inlineStr">
        <is>
          <t>B50149591</t>
        </is>
      </c>
      <c r="B86" s="4" t="n">
        <v>658.5</v>
      </c>
      <c r="C86" s="3" t="n">
        <v>46016</v>
      </c>
      <c r="D86" s="3" t="n">
        <v>46045</v>
      </c>
      <c r="E86" s="2" t="n">
        <v>45</v>
      </c>
      <c r="F86" s="2" t="n">
        <v>4.34</v>
      </c>
      <c r="G86" s="2" t="n">
        <v>1.37</v>
      </c>
      <c r="H86" s="4" t="n">
        <v>9.02</v>
      </c>
      <c r="I86" s="4" t="n">
        <v>3.57</v>
      </c>
      <c r="J86" s="2" t="n">
        <v>40</v>
      </c>
      <c r="K86" s="4" t="n">
        <v>3.53</v>
      </c>
      <c r="L86" s="4" t="n">
        <v>1.13</v>
      </c>
      <c r="M86" s="4">
        <f>B86*(G86/100)*(J86/100)</f>
        <v/>
      </c>
      <c r="N86" s="4">
        <f>B86*(F86/360/100)*E86*(J86/100)</f>
        <v/>
      </c>
      <c r="O86" s="4">
        <f>K86-M86+L86-N86</f>
        <v/>
      </c>
    </row>
    <row r="87">
      <c r="A87" s="2" t="inlineStr">
        <is>
          <t>B50149591</t>
        </is>
      </c>
      <c r="B87" s="4" t="n">
        <v>2881.78</v>
      </c>
      <c r="C87" s="3" t="n">
        <v>46006</v>
      </c>
      <c r="D87" s="3" t="n">
        <v>46044</v>
      </c>
      <c r="E87" s="2" t="n">
        <v>67</v>
      </c>
      <c r="F87" s="2" t="n">
        <v>2.22</v>
      </c>
      <c r="G87" s="2" t="n">
        <v>1.61</v>
      </c>
      <c r="H87" s="4" t="n">
        <v>46.4</v>
      </c>
      <c r="I87" s="4" t="n">
        <v>11.91</v>
      </c>
      <c r="J87" s="2" t="n">
        <v>60</v>
      </c>
      <c r="K87" s="4" t="n">
        <v>27.78</v>
      </c>
      <c r="L87" s="4" t="n">
        <v>7.31</v>
      </c>
      <c r="M87" s="4">
        <f>B87*(G87/100)*(J87/100)</f>
        <v/>
      </c>
      <c r="N87" s="4">
        <f>B87*(F87/360/100)*E87*(J87/100)</f>
        <v/>
      </c>
      <c r="O87" s="4">
        <f>K87-M87+L87-N87</f>
        <v/>
      </c>
    </row>
    <row r="88">
      <c r="A88" s="2" t="inlineStr">
        <is>
          <t>B50149591</t>
        </is>
      </c>
      <c r="B88" s="4" t="n">
        <v>810.11</v>
      </c>
      <c r="C88" s="3" t="n">
        <v>46004</v>
      </c>
      <c r="D88" s="3" t="n">
        <v>46030</v>
      </c>
      <c r="E88" s="2" t="n">
        <v>42</v>
      </c>
      <c r="F88" s="2" t="n">
        <v>2.83</v>
      </c>
      <c r="G88" s="2" t="n">
        <v>2.2</v>
      </c>
      <c r="H88" s="4" t="n">
        <v>17.82</v>
      </c>
      <c r="I88" s="4" t="n">
        <v>2.67</v>
      </c>
      <c r="J88" s="2" t="n">
        <v>50</v>
      </c>
      <c r="K88" s="4" t="n">
        <v>8.800000000000001</v>
      </c>
      <c r="L88" s="4" t="n">
        <v>1.32</v>
      </c>
      <c r="M88" s="4">
        <f>B88*(G88/100)*(J88/100)</f>
        <v/>
      </c>
      <c r="N88" s="4">
        <f>B88*(F88/360/100)*E88*(J88/100)</f>
        <v/>
      </c>
      <c r="O88" s="4">
        <f>K88-M88+L88-N88</f>
        <v/>
      </c>
    </row>
    <row r="89">
      <c r="A89" s="2" t="inlineStr">
        <is>
          <t>B28229259</t>
        </is>
      </c>
      <c r="B89" s="4" t="n">
        <v>9489.459999999999</v>
      </c>
      <c r="C89" s="3" t="n">
        <v>46007</v>
      </c>
      <c r="D89" s="3" t="n">
        <v>46095</v>
      </c>
      <c r="E89" s="2" t="n">
        <v>74</v>
      </c>
      <c r="F89" s="2" t="n">
        <v>4.7</v>
      </c>
      <c r="G89" s="2" t="n">
        <v>0.99</v>
      </c>
      <c r="H89" s="4" t="n">
        <v>93.95</v>
      </c>
      <c r="I89" s="4" t="n">
        <v>91.68000000000001</v>
      </c>
      <c r="J89" s="2" t="n">
        <v>70</v>
      </c>
      <c r="K89" s="4" t="n">
        <v>66.01000000000001</v>
      </c>
      <c r="L89" s="4" t="n">
        <v>64.01000000000001</v>
      </c>
      <c r="M89" s="4">
        <f>B89*(G89/100)*(J89/100)</f>
        <v/>
      </c>
      <c r="N89" s="4">
        <f>B89*(F89/360/100)*E89*(J89/100)</f>
        <v/>
      </c>
      <c r="O89" s="4">
        <f>K89-M89+L89-N89</f>
        <v/>
      </c>
    </row>
    <row r="90">
      <c r="A90" s="2" t="inlineStr">
        <is>
          <t>B28229259</t>
        </is>
      </c>
      <c r="B90" s="4" t="n">
        <v>717.55</v>
      </c>
      <c r="C90" s="3" t="n">
        <v>46018</v>
      </c>
      <c r="D90" s="3" t="n">
        <v>46067</v>
      </c>
      <c r="E90" s="2" t="n">
        <v>37</v>
      </c>
      <c r="F90" s="2" t="n">
        <v>4.73</v>
      </c>
      <c r="G90" s="2" t="n">
        <v>1.62</v>
      </c>
      <c r="H90" s="4" t="n">
        <v>11.62</v>
      </c>
      <c r="I90" s="4" t="n">
        <v>3.49</v>
      </c>
      <c r="J90" s="2" t="n">
        <v>60</v>
      </c>
      <c r="K90" s="4" t="n">
        <v>7.27</v>
      </c>
      <c r="L90" s="4" t="n">
        <v>2.02</v>
      </c>
      <c r="M90" s="4">
        <f>B90*(G90/100)*(J90/100)</f>
        <v/>
      </c>
      <c r="N90" s="4">
        <f>B90*(F90/360/100)*E90*(J90/100)</f>
        <v/>
      </c>
      <c r="O90" s="4">
        <f>K90-M90+L90-N90</f>
        <v/>
      </c>
    </row>
    <row r="91">
      <c r="A91" s="2" t="inlineStr">
        <is>
          <t>B28229259</t>
        </is>
      </c>
      <c r="B91" s="4" t="n">
        <v>460.64</v>
      </c>
      <c r="C91" s="3" t="n">
        <v>46012</v>
      </c>
      <c r="D91" s="3" t="n">
        <v>46101</v>
      </c>
      <c r="E91" s="2" t="n">
        <v>30</v>
      </c>
      <c r="F91" s="2" t="n">
        <v>3.44</v>
      </c>
      <c r="G91" s="2" t="n">
        <v>1.74</v>
      </c>
      <c r="H91" s="4" t="n">
        <v>8.02</v>
      </c>
      <c r="I91" s="4" t="n">
        <v>1.32</v>
      </c>
      <c r="J91" s="2" t="n">
        <v>50</v>
      </c>
      <c r="K91" s="4" t="n">
        <v>4.05</v>
      </c>
      <c r="L91" s="4" t="n">
        <v>0.43</v>
      </c>
      <c r="M91" s="4">
        <f>B91*(G91/100)*(J91/100)</f>
        <v/>
      </c>
      <c r="N91" s="4">
        <f>B91*(F91/360/100)*E91*(J91/100)</f>
        <v/>
      </c>
      <c r="O91" s="4">
        <f>K91-M91+L91-N91</f>
        <v/>
      </c>
    </row>
    <row r="92">
      <c r="A92" s="2" t="inlineStr">
        <is>
          <t>A60138115</t>
        </is>
      </c>
      <c r="B92" s="4" t="n">
        <v>742.9</v>
      </c>
      <c r="C92" s="3" t="n">
        <v>45995</v>
      </c>
      <c r="D92" s="3" t="n">
        <v>46040</v>
      </c>
      <c r="E92" s="2" t="n">
        <v>25</v>
      </c>
      <c r="F92" s="2" t="n">
        <v>3.8</v>
      </c>
      <c r="G92" s="2" t="n">
        <v>1.22</v>
      </c>
      <c r="H92" s="4" t="n">
        <v>9.06</v>
      </c>
      <c r="I92" s="4" t="n">
        <v>1.96</v>
      </c>
      <c r="J92" s="2" t="n">
        <v>50</v>
      </c>
      <c r="K92" s="4" t="n">
        <v>4.72</v>
      </c>
      <c r="L92" s="4" t="n">
        <v>0.73</v>
      </c>
      <c r="M92" s="4">
        <f>B92*(G92/100)*(J92/100)</f>
        <v/>
      </c>
      <c r="N92" s="4">
        <f>B92*(F92/360/100)*E92*(J92/100)</f>
        <v/>
      </c>
      <c r="O92" s="4">
        <f>K92-M92+L92-N92</f>
        <v/>
      </c>
    </row>
    <row r="93">
      <c r="A93" s="2" t="inlineStr">
        <is>
          <t>A60138115</t>
        </is>
      </c>
      <c r="B93" s="4" t="n">
        <v>3481.25</v>
      </c>
      <c r="C93" s="3" t="n">
        <v>46017</v>
      </c>
      <c r="D93" s="3" t="n">
        <v>46079</v>
      </c>
      <c r="E93" s="2" t="n">
        <v>57</v>
      </c>
      <c r="F93" s="2" t="n">
        <v>3.22</v>
      </c>
      <c r="G93" s="2" t="n">
        <v>2.26</v>
      </c>
      <c r="H93" s="4" t="n">
        <v>78.68000000000001</v>
      </c>
      <c r="I93" s="4" t="n">
        <v>17.75</v>
      </c>
      <c r="J93" s="2" t="n">
        <v>70</v>
      </c>
      <c r="K93" s="4" t="n">
        <v>54.99</v>
      </c>
      <c r="L93" s="4" t="n">
        <v>12.32</v>
      </c>
      <c r="M93" s="4">
        <f>B93*(G93/100)*(J93/100)</f>
        <v/>
      </c>
      <c r="N93" s="4">
        <f>B93*(F93/360/100)*E93*(J93/100)</f>
        <v/>
      </c>
      <c r="O93" s="4">
        <f>K93-M93+L93-N93</f>
        <v/>
      </c>
    </row>
    <row r="94">
      <c r="A94" s="2" t="inlineStr">
        <is>
          <t>A60138115</t>
        </is>
      </c>
      <c r="B94" s="4" t="n">
        <v>956.88</v>
      </c>
      <c r="C94" s="3" t="n">
        <v>46015</v>
      </c>
      <c r="D94" s="3" t="n">
        <v>46055</v>
      </c>
      <c r="E94" s="2" t="n">
        <v>28</v>
      </c>
      <c r="F94" s="2" t="n">
        <v>4.9</v>
      </c>
      <c r="G94" s="2" t="n">
        <v>1.8</v>
      </c>
      <c r="H94" s="4" t="n">
        <v>17.22</v>
      </c>
      <c r="I94" s="4" t="n">
        <v>3.65</v>
      </c>
      <c r="J94" s="2" t="n">
        <v>50</v>
      </c>
      <c r="K94" s="4" t="n">
        <v>8.390000000000001</v>
      </c>
      <c r="L94" s="4" t="n">
        <v>1.71</v>
      </c>
      <c r="M94" s="4">
        <f>B94*(G94/100)*(J94/100)</f>
        <v/>
      </c>
      <c r="N94" s="4">
        <f>B94*(F94/360/100)*E94*(J94/100)</f>
        <v/>
      </c>
      <c r="O94" s="4">
        <f>K94-M94+L94-N94</f>
        <v/>
      </c>
    </row>
    <row r="95">
      <c r="A95" s="2" t="inlineStr">
        <is>
          <t>A60138115</t>
        </is>
      </c>
      <c r="B95" s="4" t="n">
        <v>177.14</v>
      </c>
      <c r="C95" s="3" t="n">
        <v>45999</v>
      </c>
      <c r="D95" s="3" t="n">
        <v>46095</v>
      </c>
      <c r="E95" s="2" t="n">
        <v>47</v>
      </c>
      <c r="F95" s="2" t="n">
        <v>1.58</v>
      </c>
      <c r="G95" s="2" t="n">
        <v>1.92</v>
      </c>
      <c r="H95" s="4" t="n">
        <v>3.4</v>
      </c>
      <c r="I95" s="4" t="n">
        <v>0.37</v>
      </c>
      <c r="J95" s="2" t="n">
        <v>30</v>
      </c>
      <c r="K95" s="4" t="n">
        <v>1.11</v>
      </c>
      <c r="L95" s="4" t="n">
        <v>0.21</v>
      </c>
      <c r="M95" s="4">
        <f>B95*(G95/100)*(J95/100)</f>
        <v/>
      </c>
      <c r="N95" s="4">
        <f>B95*(F95/360/100)*E95*(J95/100)</f>
        <v/>
      </c>
      <c r="O95" s="4">
        <f>K95-M95+L95-N95</f>
        <v/>
      </c>
    </row>
    <row r="96">
      <c r="A96" s="2" t="inlineStr">
        <is>
          <t>A68843027</t>
        </is>
      </c>
      <c r="B96" s="4" t="n">
        <v>3242.81</v>
      </c>
      <c r="C96" s="3" t="n">
        <v>46014</v>
      </c>
      <c r="D96" s="3" t="n">
        <v>46093</v>
      </c>
      <c r="E96" s="2" t="n">
        <v>57</v>
      </c>
      <c r="F96" s="2" t="n">
        <v>4.54</v>
      </c>
      <c r="G96" s="2" t="n">
        <v>0.58</v>
      </c>
      <c r="H96" s="4" t="n">
        <v>18.81</v>
      </c>
      <c r="I96" s="4" t="n">
        <v>23.31</v>
      </c>
      <c r="J96" s="2" t="n">
        <v>50</v>
      </c>
      <c r="K96" s="4" t="n">
        <v>9.199999999999999</v>
      </c>
      <c r="L96" s="4" t="n">
        <v>11.82</v>
      </c>
      <c r="M96" s="4">
        <f>B96*(G96/100)*(J96/100)</f>
        <v/>
      </c>
      <c r="N96" s="4">
        <f>B96*(F96/360/100)*E96*(J96/100)</f>
        <v/>
      </c>
      <c r="O96" s="4">
        <f>K96-M96+L96-N96</f>
        <v/>
      </c>
    </row>
    <row r="97">
      <c r="A97" s="2" t="inlineStr">
        <is>
          <t>A68843027</t>
        </is>
      </c>
      <c r="B97" s="4" t="n">
        <v>5023.07</v>
      </c>
      <c r="C97" s="3" t="n">
        <v>45993</v>
      </c>
      <c r="D97" s="3" t="n">
        <v>46079</v>
      </c>
      <c r="E97" s="2" t="n">
        <v>66</v>
      </c>
      <c r="F97" s="2" t="n">
        <v>3.03</v>
      </c>
      <c r="G97" s="2" t="n">
        <v>1.14</v>
      </c>
      <c r="H97" s="4" t="n">
        <v>57.26</v>
      </c>
      <c r="I97" s="4" t="n">
        <v>27.9</v>
      </c>
      <c r="J97" s="2" t="n">
        <v>60</v>
      </c>
      <c r="K97" s="4" t="n">
        <v>34.19</v>
      </c>
      <c r="L97" s="4" t="n">
        <v>16.88</v>
      </c>
      <c r="M97" s="4">
        <f>B97*(G97/100)*(J97/100)</f>
        <v/>
      </c>
      <c r="N97" s="4">
        <f>B97*(F97/360/100)*E97*(J97/100)</f>
        <v/>
      </c>
      <c r="O97" s="4">
        <f>K97-M97+L97-N97</f>
        <v/>
      </c>
    </row>
    <row r="98">
      <c r="A98" s="2" t="inlineStr">
        <is>
          <t>A68843027</t>
        </is>
      </c>
      <c r="B98" s="4" t="n">
        <v>5903.83</v>
      </c>
      <c r="C98" s="3" t="n">
        <v>46008</v>
      </c>
      <c r="D98" s="3" t="n">
        <v>46102</v>
      </c>
      <c r="E98" s="2" t="n">
        <v>51</v>
      </c>
      <c r="F98" s="2" t="n">
        <v>2.98</v>
      </c>
      <c r="G98" s="2" t="n">
        <v>1.83</v>
      </c>
      <c r="H98" s="4" t="n">
        <v>108.04</v>
      </c>
      <c r="I98" s="4" t="n">
        <v>24.92</v>
      </c>
      <c r="J98" s="2" t="n">
        <v>60</v>
      </c>
      <c r="K98" s="4" t="n">
        <v>64.54000000000001</v>
      </c>
      <c r="L98" s="4" t="n">
        <v>15.09</v>
      </c>
      <c r="M98" s="4">
        <f>B98*(G98/100)*(J98/100)</f>
        <v/>
      </c>
      <c r="N98" s="4">
        <f>B98*(F98/360/100)*E98*(J98/100)</f>
        <v/>
      </c>
      <c r="O98" s="4">
        <f>K98-M98+L98-N98</f>
        <v/>
      </c>
    </row>
    <row r="99">
      <c r="A99" s="2" t="inlineStr">
        <is>
          <t>A36686807</t>
        </is>
      </c>
      <c r="B99" s="4" t="n">
        <v>588.86</v>
      </c>
      <c r="C99" s="3" t="n">
        <v>46010</v>
      </c>
      <c r="D99" s="3" t="n">
        <v>46047</v>
      </c>
      <c r="E99" s="2" t="n">
        <v>64</v>
      </c>
      <c r="F99" s="2" t="n">
        <v>4.83</v>
      </c>
      <c r="G99" s="2" t="n">
        <v>0.5600000000000001</v>
      </c>
      <c r="H99" s="4" t="n">
        <v>3.3</v>
      </c>
      <c r="I99" s="4" t="n">
        <v>5.06</v>
      </c>
      <c r="J99" s="2" t="n">
        <v>40</v>
      </c>
      <c r="K99" s="4" t="n">
        <v>1.47</v>
      </c>
      <c r="L99" s="4" t="n">
        <v>1.99</v>
      </c>
      <c r="M99" s="4">
        <f>B99*(G99/100)*(J99/100)</f>
        <v/>
      </c>
      <c r="N99" s="4">
        <f>B99*(F99/360/100)*E99*(J99/100)</f>
        <v/>
      </c>
      <c r="O99" s="4">
        <f>K99-M99+L99-N99</f>
        <v/>
      </c>
    </row>
    <row r="100">
      <c r="A100" s="2" t="inlineStr">
        <is>
          <t>A36686807</t>
        </is>
      </c>
      <c r="B100" s="4" t="n">
        <v>5637.08</v>
      </c>
      <c r="C100" s="3" t="n">
        <v>46013</v>
      </c>
      <c r="D100" s="3" t="n">
        <v>46057</v>
      </c>
      <c r="E100" s="2" t="n">
        <v>21</v>
      </c>
      <c r="F100" s="2" t="n">
        <v>2.43</v>
      </c>
      <c r="G100" s="2" t="n">
        <v>2.22</v>
      </c>
      <c r="H100" s="4" t="n">
        <v>125.14</v>
      </c>
      <c r="I100" s="4" t="n">
        <v>7.99</v>
      </c>
      <c r="J100" s="2" t="n">
        <v>50</v>
      </c>
      <c r="K100" s="4" t="n">
        <v>62.64</v>
      </c>
      <c r="L100" s="4" t="n">
        <v>3.98</v>
      </c>
      <c r="M100" s="4">
        <f>B100*(G100/100)*(J100/100)</f>
        <v/>
      </c>
      <c r="N100" s="4">
        <f>B100*(F100/360/100)*E100*(J100/100)</f>
        <v/>
      </c>
      <c r="O100" s="4">
        <f>K100-M100+L100-N100</f>
        <v/>
      </c>
    </row>
    <row r="101">
      <c r="A101" s="2" t="inlineStr">
        <is>
          <t>B20637475</t>
        </is>
      </c>
      <c r="B101" s="4" t="n">
        <v>6831.86</v>
      </c>
      <c r="C101" s="3" t="n">
        <v>45995</v>
      </c>
      <c r="D101" s="3" t="n">
        <v>46030</v>
      </c>
      <c r="E101" s="2" t="n">
        <v>42</v>
      </c>
      <c r="F101" s="2" t="n">
        <v>2.06</v>
      </c>
      <c r="G101" s="2" t="n">
        <v>2.48</v>
      </c>
      <c r="H101" s="4" t="n">
        <v>169.43</v>
      </c>
      <c r="I101" s="4" t="n">
        <v>16.42</v>
      </c>
      <c r="J101" s="2" t="n">
        <v>30</v>
      </c>
      <c r="K101" s="4" t="n">
        <v>51</v>
      </c>
      <c r="L101" s="4" t="n">
        <v>4.63</v>
      </c>
      <c r="M101" s="4">
        <f>B101*(G101/100)*(J101/100)</f>
        <v/>
      </c>
      <c r="N101" s="4">
        <f>B101*(F101/360/100)*E101*(J101/100)</f>
        <v/>
      </c>
      <c r="O101" s="4">
        <f>K101-M101+L101-N101</f>
        <v/>
      </c>
    </row>
    <row r="102">
      <c r="A102" s="2" t="inlineStr">
        <is>
          <t>B20637475</t>
        </is>
      </c>
      <c r="B102" s="4" t="n">
        <v>4993.04</v>
      </c>
      <c r="C102" s="3" t="n">
        <v>46009</v>
      </c>
      <c r="D102" s="3" t="n">
        <v>46026</v>
      </c>
      <c r="E102" s="2" t="n">
        <v>61</v>
      </c>
      <c r="F102" s="2" t="n">
        <v>2.35</v>
      </c>
      <c r="G102" s="2" t="n">
        <v>1.52</v>
      </c>
      <c r="H102" s="4" t="n">
        <v>75.89</v>
      </c>
      <c r="I102" s="4" t="n">
        <v>19.88</v>
      </c>
      <c r="J102" s="2" t="n">
        <v>60</v>
      </c>
      <c r="K102" s="4" t="n">
        <v>45.46</v>
      </c>
      <c r="L102" s="4" t="n">
        <v>12.03</v>
      </c>
      <c r="M102" s="4">
        <f>B102*(G102/100)*(J102/100)</f>
        <v/>
      </c>
      <c r="N102" s="4">
        <f>B102*(F102/360/100)*E102*(J102/100)</f>
        <v/>
      </c>
      <c r="O102" s="4">
        <f>K102-M102+L102-N102</f>
        <v/>
      </c>
    </row>
    <row r="103">
      <c r="A103" s="2" t="inlineStr">
        <is>
          <t>B07073880</t>
        </is>
      </c>
      <c r="B103" s="4" t="n">
        <v>710</v>
      </c>
      <c r="C103" s="3" t="n">
        <v>46018</v>
      </c>
      <c r="D103" s="3" t="n">
        <v>46073</v>
      </c>
      <c r="E103" s="2" t="n">
        <v>37</v>
      </c>
      <c r="F103" s="2" t="n">
        <v>3.89</v>
      </c>
      <c r="G103" s="2" t="n">
        <v>0.65</v>
      </c>
      <c r="H103" s="4" t="n">
        <v>4.62</v>
      </c>
      <c r="I103" s="4" t="n">
        <v>2.84</v>
      </c>
      <c r="J103" s="2" t="n">
        <v>40</v>
      </c>
      <c r="K103" s="4" t="n">
        <v>2.04</v>
      </c>
      <c r="L103" s="4" t="n">
        <v>1.01</v>
      </c>
      <c r="M103" s="4">
        <f>B103*(G103/100)*(J103/100)</f>
        <v/>
      </c>
      <c r="N103" s="4">
        <f>B103*(F103/360/100)*E103*(J103/100)</f>
        <v/>
      </c>
      <c r="O103" s="4">
        <f>K103-M103+L103-N103</f>
        <v/>
      </c>
    </row>
    <row r="104">
      <c r="A104" s="2" t="inlineStr">
        <is>
          <t>B07073880</t>
        </is>
      </c>
      <c r="B104" s="4" t="n">
        <v>884.97</v>
      </c>
      <c r="C104" s="3" t="n">
        <v>46018</v>
      </c>
      <c r="D104" s="3" t="n">
        <v>46054</v>
      </c>
      <c r="E104" s="2" t="n">
        <v>45</v>
      </c>
      <c r="F104" s="2" t="n">
        <v>4.98</v>
      </c>
      <c r="G104" s="2" t="n">
        <v>1.68</v>
      </c>
      <c r="H104" s="4" t="n">
        <v>14.87</v>
      </c>
      <c r="I104" s="4" t="n">
        <v>5.51</v>
      </c>
      <c r="J104" s="2" t="n">
        <v>70</v>
      </c>
      <c r="K104" s="4" t="n">
        <v>10.66</v>
      </c>
      <c r="L104" s="4" t="n">
        <v>3.8</v>
      </c>
      <c r="M104" s="4">
        <f>B104*(G104/100)*(J104/100)</f>
        <v/>
      </c>
      <c r="N104" s="4">
        <f>B104*(F104/360/100)*E104*(J104/100)</f>
        <v/>
      </c>
      <c r="O104" s="4">
        <f>K104-M104+L104-N104</f>
        <v/>
      </c>
    </row>
    <row r="105">
      <c r="A105" s="2" t="inlineStr">
        <is>
          <t>B07073880</t>
        </is>
      </c>
      <c r="B105" s="4" t="n">
        <v>313.65</v>
      </c>
      <c r="C105" s="3" t="n">
        <v>46003</v>
      </c>
      <c r="D105" s="3" t="n">
        <v>46095</v>
      </c>
      <c r="E105" s="2" t="n">
        <v>58</v>
      </c>
      <c r="F105" s="2" t="n">
        <v>1.59</v>
      </c>
      <c r="G105" s="2" t="n">
        <v>0.67</v>
      </c>
      <c r="H105" s="4" t="n">
        <v>2.1</v>
      </c>
      <c r="I105" s="4" t="n">
        <v>0.8</v>
      </c>
      <c r="J105" s="2" t="n">
        <v>50</v>
      </c>
      <c r="K105" s="4" t="n">
        <v>0.86</v>
      </c>
      <c r="L105" s="4" t="n">
        <v>0.5</v>
      </c>
      <c r="M105" s="4">
        <f>B105*(G105/100)*(J105/100)</f>
        <v/>
      </c>
      <c r="N105" s="4">
        <f>B105*(F105/360/100)*E105*(J105/100)</f>
        <v/>
      </c>
      <c r="O105" s="4">
        <f>K105-M105+L105-N105</f>
        <v/>
      </c>
    </row>
    <row r="106">
      <c r="A106" s="2" t="inlineStr">
        <is>
          <t>B07073880</t>
        </is>
      </c>
      <c r="B106" s="4" t="n">
        <v>471.05</v>
      </c>
      <c r="C106" s="3" t="n">
        <v>46007</v>
      </c>
      <c r="D106" s="3" t="n">
        <v>46103</v>
      </c>
      <c r="E106" s="2" t="n">
        <v>27</v>
      </c>
      <c r="F106" s="2" t="n">
        <v>3.66</v>
      </c>
      <c r="G106" s="2" t="n">
        <v>1.66</v>
      </c>
      <c r="H106" s="4" t="n">
        <v>7.82</v>
      </c>
      <c r="I106" s="4" t="n">
        <v>1.29</v>
      </c>
      <c r="J106" s="2" t="n">
        <v>30</v>
      </c>
      <c r="K106" s="4" t="n">
        <v>2.19</v>
      </c>
      <c r="L106" s="4" t="n">
        <v>0.46</v>
      </c>
      <c r="M106" s="4">
        <f>B106*(G106/100)*(J106/100)</f>
        <v/>
      </c>
      <c r="N106" s="4">
        <f>B106*(F106/360/100)*E106*(J106/100)</f>
        <v/>
      </c>
      <c r="O106" s="4">
        <f>K106-M106+L106-N106</f>
        <v/>
      </c>
    </row>
    <row r="107">
      <c r="A107" s="2" t="inlineStr">
        <is>
          <t>B33010261</t>
        </is>
      </c>
      <c r="B107" s="4" t="n">
        <v>3504.67</v>
      </c>
      <c r="C107" s="3" t="n">
        <v>46019</v>
      </c>
      <c r="D107" s="3" t="n">
        <v>46066</v>
      </c>
      <c r="E107" s="2" t="n">
        <v>63</v>
      </c>
      <c r="F107" s="2" t="n">
        <v>1.6</v>
      </c>
      <c r="G107" s="2" t="n">
        <v>1.36</v>
      </c>
      <c r="H107" s="4" t="n">
        <v>47.66</v>
      </c>
      <c r="I107" s="4" t="n">
        <v>9.81</v>
      </c>
      <c r="J107" s="2" t="n">
        <v>60</v>
      </c>
      <c r="K107" s="4" t="n">
        <v>28.68</v>
      </c>
      <c r="L107" s="4" t="n">
        <v>5.86</v>
      </c>
      <c r="M107" s="4">
        <f>B107*(G107/100)*(J107/100)</f>
        <v/>
      </c>
      <c r="N107" s="4">
        <f>B107*(F107/360/100)*E107*(J107/100)</f>
        <v/>
      </c>
      <c r="O107" s="4">
        <f>K107-M107+L107-N107</f>
        <v/>
      </c>
    </row>
    <row r="108">
      <c r="A108" s="2" t="inlineStr">
        <is>
          <t>B33010261</t>
        </is>
      </c>
      <c r="B108" s="4" t="n">
        <v>869.26</v>
      </c>
      <c r="C108" s="3" t="n">
        <v>46019</v>
      </c>
      <c r="D108" s="3" t="n">
        <v>46029</v>
      </c>
      <c r="E108" s="2" t="n">
        <v>45</v>
      </c>
      <c r="F108" s="2" t="n">
        <v>4.2</v>
      </c>
      <c r="G108" s="2" t="n">
        <v>1.4</v>
      </c>
      <c r="H108" s="4" t="n">
        <v>12.17</v>
      </c>
      <c r="I108" s="4" t="n">
        <v>4.56</v>
      </c>
      <c r="J108" s="2" t="n">
        <v>60</v>
      </c>
      <c r="K108" s="4" t="n">
        <v>7.43</v>
      </c>
      <c r="L108" s="4" t="n">
        <v>2.69</v>
      </c>
      <c r="M108" s="4">
        <f>B108*(G108/100)*(J108/100)</f>
        <v/>
      </c>
      <c r="N108" s="4">
        <f>B108*(F108/360/100)*E108*(J108/100)</f>
        <v/>
      </c>
      <c r="O108" s="4">
        <f>K108-M108+L108-N108</f>
        <v/>
      </c>
    </row>
    <row r="109">
      <c r="A109" s="2" t="inlineStr">
        <is>
          <t>A85619710</t>
        </is>
      </c>
      <c r="B109" s="4" t="n">
        <v>544.0700000000001</v>
      </c>
      <c r="C109" s="3" t="n">
        <v>46004</v>
      </c>
      <c r="D109" s="3" t="n">
        <v>46101</v>
      </c>
      <c r="E109" s="2" t="n">
        <v>62</v>
      </c>
      <c r="F109" s="2" t="n">
        <v>4.59</v>
      </c>
      <c r="G109" s="2" t="n">
        <v>2.45</v>
      </c>
      <c r="H109" s="4" t="n">
        <v>13.33</v>
      </c>
      <c r="I109" s="4" t="n">
        <v>4.3</v>
      </c>
      <c r="J109" s="2" t="n">
        <v>40</v>
      </c>
      <c r="K109" s="4" t="n">
        <v>5.16</v>
      </c>
      <c r="L109" s="4" t="n">
        <v>1.46</v>
      </c>
      <c r="M109" s="4">
        <f>B109*(G109/100)*(J109/100)</f>
        <v/>
      </c>
      <c r="N109" s="4">
        <f>B109*(F109/360/100)*E109*(J109/100)</f>
        <v/>
      </c>
      <c r="O109" s="4">
        <f>K109-M109+L109-N109</f>
        <v/>
      </c>
    </row>
    <row r="110">
      <c r="A110" s="2" t="inlineStr">
        <is>
          <t>A85619710</t>
        </is>
      </c>
      <c r="B110" s="4" t="n">
        <v>960.67</v>
      </c>
      <c r="C110" s="3" t="n">
        <v>46016</v>
      </c>
      <c r="D110" s="3" t="n">
        <v>46087</v>
      </c>
      <c r="E110" s="2" t="n">
        <v>59</v>
      </c>
      <c r="F110" s="2" t="n">
        <v>2.93</v>
      </c>
      <c r="G110" s="2" t="n">
        <v>1.33</v>
      </c>
      <c r="H110" s="4" t="n">
        <v>12.78</v>
      </c>
      <c r="I110" s="4" t="n">
        <v>4.61</v>
      </c>
      <c r="J110" s="2" t="n">
        <v>50</v>
      </c>
      <c r="K110" s="4" t="n">
        <v>6.35</v>
      </c>
      <c r="L110" s="4" t="n">
        <v>2.15</v>
      </c>
      <c r="M110" s="4">
        <f>B110*(G110/100)*(J110/100)</f>
        <v/>
      </c>
      <c r="N110" s="4">
        <f>B110*(F110/360/100)*E110*(J110/100)</f>
        <v/>
      </c>
      <c r="O110" s="4">
        <f>K110-M110+L110-N110</f>
        <v/>
      </c>
    </row>
    <row r="111">
      <c r="A111" s="2" t="inlineStr">
        <is>
          <t>B20204624</t>
        </is>
      </c>
      <c r="B111" s="4" t="n">
        <v>444.86</v>
      </c>
      <c r="C111" s="3" t="n">
        <v>46007</v>
      </c>
      <c r="D111" s="3" t="n">
        <v>46096</v>
      </c>
      <c r="E111" s="2" t="n">
        <v>56</v>
      </c>
      <c r="F111" s="2" t="n">
        <v>3</v>
      </c>
      <c r="G111" s="2" t="n">
        <v>2.39</v>
      </c>
      <c r="H111" s="4" t="n">
        <v>10.63</v>
      </c>
      <c r="I111" s="4" t="n">
        <v>2.08</v>
      </c>
      <c r="J111" s="2" t="n">
        <v>70</v>
      </c>
      <c r="K111" s="4" t="n">
        <v>7.27</v>
      </c>
      <c r="L111" s="4" t="n">
        <v>1.59</v>
      </c>
      <c r="M111" s="4">
        <f>B111*(G111/100)*(J111/100)</f>
        <v/>
      </c>
      <c r="N111" s="4">
        <f>B111*(F111/360/100)*E111*(J111/100)</f>
        <v/>
      </c>
      <c r="O111" s="4">
        <f>K111-M111+L111-N111</f>
        <v/>
      </c>
    </row>
    <row r="112">
      <c r="A112" s="2" t="inlineStr">
        <is>
          <t>B20204624</t>
        </is>
      </c>
      <c r="B112" s="4" t="n">
        <v>995.11</v>
      </c>
      <c r="C112" s="3" t="n">
        <v>45995</v>
      </c>
      <c r="D112" s="3" t="n">
        <v>46070</v>
      </c>
      <c r="E112" s="2" t="n">
        <v>62</v>
      </c>
      <c r="F112" s="2" t="n">
        <v>1.69</v>
      </c>
      <c r="G112" s="2" t="n">
        <v>1.64</v>
      </c>
      <c r="H112" s="4" t="n">
        <v>16.32</v>
      </c>
      <c r="I112" s="4" t="n">
        <v>2.9</v>
      </c>
      <c r="J112" s="2" t="n">
        <v>70</v>
      </c>
      <c r="K112" s="4" t="n">
        <v>11.21</v>
      </c>
      <c r="L112" s="4" t="n">
        <v>1.79</v>
      </c>
      <c r="M112" s="4">
        <f>B112*(G112/100)*(J112/100)</f>
        <v/>
      </c>
      <c r="N112" s="4">
        <f>B112*(F112/360/100)*E112*(J112/100)</f>
        <v/>
      </c>
      <c r="O112" s="4">
        <f>K112-M112+L112-N112</f>
        <v/>
      </c>
    </row>
    <row r="113">
      <c r="A113" s="2" t="inlineStr">
        <is>
          <t>A21675026</t>
        </is>
      </c>
      <c r="B113" s="4" t="n">
        <v>519.98</v>
      </c>
      <c r="C113" s="3" t="n">
        <v>45997</v>
      </c>
      <c r="D113" s="3" t="n">
        <v>46095</v>
      </c>
      <c r="E113" s="2" t="n">
        <v>44</v>
      </c>
      <c r="F113" s="2" t="n">
        <v>1.82</v>
      </c>
      <c r="G113" s="2" t="n">
        <v>0.84</v>
      </c>
      <c r="H113" s="4" t="n">
        <v>4.37</v>
      </c>
      <c r="I113" s="4" t="n">
        <v>1.16</v>
      </c>
      <c r="J113" s="2" t="n">
        <v>60</v>
      </c>
      <c r="K113" s="4" t="n">
        <v>2.78</v>
      </c>
      <c r="L113" s="4" t="n">
        <v>0.54</v>
      </c>
      <c r="M113" s="4">
        <f>B113*(G113/100)*(J113/100)</f>
        <v/>
      </c>
      <c r="N113" s="4">
        <f>B113*(F113/360/100)*E113*(J113/100)</f>
        <v/>
      </c>
      <c r="O113" s="4">
        <f>K113-M113+L113-N113</f>
        <v/>
      </c>
    </row>
    <row r="114">
      <c r="A114" s="2" t="inlineStr">
        <is>
          <t>A21675026</t>
        </is>
      </c>
      <c r="B114" s="4" t="n">
        <v>458.67</v>
      </c>
      <c r="C114" s="3" t="n">
        <v>46007</v>
      </c>
      <c r="D114" s="3" t="n">
        <v>46031</v>
      </c>
      <c r="E114" s="2" t="n">
        <v>54</v>
      </c>
      <c r="F114" s="2" t="n">
        <v>4.52</v>
      </c>
      <c r="G114" s="2" t="n">
        <v>1.11</v>
      </c>
      <c r="H114" s="4" t="n">
        <v>5.09</v>
      </c>
      <c r="I114" s="4" t="n">
        <v>3.11</v>
      </c>
      <c r="J114" s="2" t="n">
        <v>60</v>
      </c>
      <c r="K114" s="4" t="n">
        <v>2.9</v>
      </c>
      <c r="L114" s="4" t="n">
        <v>2.1</v>
      </c>
      <c r="M114" s="4">
        <f>B114*(G114/100)*(J114/100)</f>
        <v/>
      </c>
      <c r="N114" s="4">
        <f>B114*(F114/360/100)*E114*(J114/100)</f>
        <v/>
      </c>
      <c r="O114" s="4">
        <f>K114-M114+L114-N114</f>
        <v/>
      </c>
    </row>
    <row r="115">
      <c r="A115" s="2" t="inlineStr">
        <is>
          <t>A21675026</t>
        </is>
      </c>
      <c r="B115" s="4" t="n">
        <v>270.06</v>
      </c>
      <c r="C115" s="3" t="n">
        <v>46017</v>
      </c>
      <c r="D115" s="3" t="n">
        <v>46074</v>
      </c>
      <c r="E115" s="2" t="n">
        <v>55</v>
      </c>
      <c r="F115" s="2" t="n">
        <v>2.77</v>
      </c>
      <c r="G115" s="2" t="n">
        <v>1.01</v>
      </c>
      <c r="H115" s="4" t="n">
        <v>2.73</v>
      </c>
      <c r="I115" s="4" t="n">
        <v>1.14</v>
      </c>
      <c r="J115" s="2" t="n">
        <v>30</v>
      </c>
      <c r="K115" s="4" t="n">
        <v>0.58</v>
      </c>
      <c r="L115" s="4" t="n">
        <v>0.29</v>
      </c>
      <c r="M115" s="4">
        <f>B115*(G115/100)*(J115/100)</f>
        <v/>
      </c>
      <c r="N115" s="4">
        <f>B115*(F115/360/100)*E115*(J115/100)</f>
        <v/>
      </c>
      <c r="O115" s="4">
        <f>K115-M115+L115-N115</f>
        <v/>
      </c>
    </row>
    <row r="116">
      <c r="A116" s="2" t="inlineStr">
        <is>
          <t>A22002209</t>
        </is>
      </c>
      <c r="B116" s="4" t="n">
        <v>5756.97</v>
      </c>
      <c r="C116" s="3" t="n">
        <v>45992</v>
      </c>
      <c r="D116" s="3" t="n">
        <v>46086</v>
      </c>
      <c r="E116" s="2" t="n">
        <v>38</v>
      </c>
      <c r="F116" s="2" t="n">
        <v>1.63</v>
      </c>
      <c r="G116" s="2" t="n">
        <v>1.77</v>
      </c>
      <c r="H116" s="4" t="n">
        <v>101.9</v>
      </c>
      <c r="I116" s="4" t="n">
        <v>9.91</v>
      </c>
      <c r="J116" s="2" t="n">
        <v>60</v>
      </c>
      <c r="K116" s="4" t="n">
        <v>61.38</v>
      </c>
      <c r="L116" s="4" t="n">
        <v>6.09</v>
      </c>
      <c r="M116" s="4">
        <f>B116*(G116/100)*(J116/100)</f>
        <v/>
      </c>
      <c r="N116" s="4">
        <f>B116*(F116/360/100)*E116*(J116/100)</f>
        <v/>
      </c>
      <c r="O116" s="4">
        <f>K116-M116+L116-N116</f>
        <v/>
      </c>
    </row>
    <row r="117">
      <c r="A117" s="2" t="inlineStr">
        <is>
          <t>A22002209</t>
        </is>
      </c>
      <c r="B117" s="4" t="n">
        <v>734.29</v>
      </c>
      <c r="C117" s="3" t="n">
        <v>46018</v>
      </c>
      <c r="D117" s="3" t="n">
        <v>46087</v>
      </c>
      <c r="E117" s="2" t="n">
        <v>29</v>
      </c>
      <c r="F117" s="2" t="n">
        <v>3</v>
      </c>
      <c r="G117" s="2" t="n">
        <v>2.4</v>
      </c>
      <c r="H117" s="4" t="n">
        <v>17.62</v>
      </c>
      <c r="I117" s="4" t="n">
        <v>1.77</v>
      </c>
      <c r="J117" s="2" t="n">
        <v>60</v>
      </c>
      <c r="K117" s="4" t="n">
        <v>10.78</v>
      </c>
      <c r="L117" s="4" t="n">
        <v>0.99</v>
      </c>
      <c r="M117" s="4">
        <f>B117*(G117/100)*(J117/100)</f>
        <v/>
      </c>
      <c r="N117" s="4">
        <f>B117*(F117/360/100)*E117*(J117/100)</f>
        <v/>
      </c>
      <c r="O117" s="4">
        <f>K117-M117+L117-N117</f>
        <v/>
      </c>
    </row>
    <row r="118">
      <c r="A118" s="2" t="inlineStr">
        <is>
          <t>A12635750</t>
        </is>
      </c>
      <c r="B118" s="4" t="n">
        <v>695.55</v>
      </c>
      <c r="C118" s="3" t="n">
        <v>46017</v>
      </c>
      <c r="D118" s="3" t="n">
        <v>46076</v>
      </c>
      <c r="E118" s="2" t="n">
        <v>69</v>
      </c>
      <c r="F118" s="2" t="n">
        <v>3.24</v>
      </c>
      <c r="G118" s="2" t="n">
        <v>1.28</v>
      </c>
      <c r="H118" s="4" t="n">
        <v>8.9</v>
      </c>
      <c r="I118" s="4" t="n">
        <v>4.32</v>
      </c>
      <c r="J118" s="2" t="n">
        <v>70</v>
      </c>
      <c r="K118" s="4" t="n">
        <v>6.47</v>
      </c>
      <c r="L118" s="4" t="n">
        <v>3.3</v>
      </c>
      <c r="M118" s="4">
        <f>B118*(G118/100)*(J118/100)</f>
        <v/>
      </c>
      <c r="N118" s="4">
        <f>B118*(F118/360/100)*E118*(J118/100)</f>
        <v/>
      </c>
      <c r="O118" s="4">
        <f>K118-M118+L118-N118</f>
        <v/>
      </c>
    </row>
    <row r="119">
      <c r="A119" s="2" t="inlineStr">
        <is>
          <t>A12635750</t>
        </is>
      </c>
      <c r="B119" s="4" t="n">
        <v>6239.54</v>
      </c>
      <c r="C119" s="3" t="n">
        <v>46008</v>
      </c>
      <c r="D119" s="3" t="n">
        <v>46060</v>
      </c>
      <c r="E119" s="2" t="n">
        <v>16</v>
      </c>
      <c r="F119" s="2" t="n">
        <v>4.32</v>
      </c>
      <c r="G119" s="2" t="n">
        <v>0.99</v>
      </c>
      <c r="H119" s="4" t="n">
        <v>61.77</v>
      </c>
      <c r="I119" s="4" t="n">
        <v>11.98</v>
      </c>
      <c r="J119" s="2" t="n">
        <v>50</v>
      </c>
      <c r="K119" s="4" t="n">
        <v>31.03</v>
      </c>
      <c r="L119" s="4" t="n">
        <v>5.82</v>
      </c>
      <c r="M119" s="4">
        <f>B119*(G119/100)*(J119/100)</f>
        <v/>
      </c>
      <c r="N119" s="4">
        <f>B119*(F119/360/100)*E119*(J119/100)</f>
        <v/>
      </c>
      <c r="O119" s="4">
        <f>K119-M119+L119-N119</f>
        <v/>
      </c>
    </row>
    <row r="120">
      <c r="A120" s="2" t="inlineStr">
        <is>
          <t>A12635750</t>
        </is>
      </c>
      <c r="B120" s="4" t="n">
        <v>346.81</v>
      </c>
      <c r="C120" s="3" t="n">
        <v>46008</v>
      </c>
      <c r="D120" s="3" t="n">
        <v>46070</v>
      </c>
      <c r="E120" s="2" t="n">
        <v>15</v>
      </c>
      <c r="F120" s="2" t="n">
        <v>1.86</v>
      </c>
      <c r="G120" s="2" t="n">
        <v>0.77</v>
      </c>
      <c r="H120" s="4" t="n">
        <v>2.67</v>
      </c>
      <c r="I120" s="4" t="n">
        <v>0.27</v>
      </c>
      <c r="J120" s="2" t="n">
        <v>50</v>
      </c>
      <c r="K120" s="4" t="n">
        <v>1.17</v>
      </c>
      <c r="L120" s="4" t="n">
        <v>0.37</v>
      </c>
      <c r="M120" s="4">
        <f>B120*(G120/100)*(J120/100)</f>
        <v/>
      </c>
      <c r="N120" s="4">
        <f>B120*(F120/360/100)*E120*(J120/100)</f>
        <v/>
      </c>
      <c r="O120" s="4">
        <f>K120-M120+L120-N120</f>
        <v/>
      </c>
    </row>
    <row r="121">
      <c r="A121" s="2" t="inlineStr">
        <is>
          <t>A42543657</t>
        </is>
      </c>
      <c r="B121" s="4" t="n">
        <v>9150.940000000001</v>
      </c>
      <c r="C121" s="3" t="n">
        <v>46000</v>
      </c>
      <c r="D121" s="3" t="n">
        <v>46031</v>
      </c>
      <c r="E121" s="2" t="n">
        <v>62</v>
      </c>
      <c r="F121" s="2" t="n">
        <v>1.97</v>
      </c>
      <c r="G121" s="2" t="n">
        <v>1.51</v>
      </c>
      <c r="H121" s="4" t="n">
        <v>138.18</v>
      </c>
      <c r="I121" s="4" t="n">
        <v>31.05</v>
      </c>
      <c r="J121" s="2" t="n">
        <v>30</v>
      </c>
      <c r="K121" s="4" t="n">
        <v>41.36</v>
      </c>
      <c r="L121" s="4" t="n">
        <v>9.24</v>
      </c>
      <c r="M121" s="4">
        <f>B121*(G121/100)*(J121/100)</f>
        <v/>
      </c>
      <c r="N121" s="4">
        <f>B121*(F121/360/100)*E121*(J121/100)</f>
        <v/>
      </c>
      <c r="O121" s="4">
        <f>K121-M121+L121-N121</f>
        <v/>
      </c>
    </row>
    <row r="122">
      <c r="A122" s="2" t="inlineStr">
        <is>
          <t>A42543657</t>
        </is>
      </c>
      <c r="B122" s="4" t="n">
        <v>9465.540000000001</v>
      </c>
      <c r="C122" s="3" t="n">
        <v>46010</v>
      </c>
      <c r="D122" s="3" t="n">
        <v>46034</v>
      </c>
      <c r="E122" s="2" t="n">
        <v>45</v>
      </c>
      <c r="F122" s="2" t="n">
        <v>2.38</v>
      </c>
      <c r="G122" s="2" t="n">
        <v>2.44</v>
      </c>
      <c r="H122" s="4" t="n">
        <v>230.96</v>
      </c>
      <c r="I122" s="4" t="n">
        <v>28.16</v>
      </c>
      <c r="J122" s="2" t="n">
        <v>50</v>
      </c>
      <c r="K122" s="4" t="n">
        <v>115.62</v>
      </c>
      <c r="L122" s="4" t="n">
        <v>13.87</v>
      </c>
      <c r="M122" s="4">
        <f>B122*(G122/100)*(J122/100)</f>
        <v/>
      </c>
      <c r="N122" s="4">
        <f>B122*(F122/360/100)*E122*(J122/100)</f>
        <v/>
      </c>
      <c r="O122" s="4">
        <f>K122-M122+L122-N122</f>
        <v/>
      </c>
    </row>
    <row r="123">
      <c r="A123" s="2" t="inlineStr">
        <is>
          <t>A53687590</t>
        </is>
      </c>
      <c r="B123" s="4" t="n">
        <v>666.74</v>
      </c>
      <c r="C123" s="3" t="n">
        <v>45999</v>
      </c>
      <c r="D123" s="3" t="n">
        <v>46061</v>
      </c>
      <c r="E123" s="2" t="n">
        <v>39</v>
      </c>
      <c r="F123" s="2" t="n">
        <v>4.07</v>
      </c>
      <c r="G123" s="2" t="n">
        <v>1.09</v>
      </c>
      <c r="H123" s="4" t="n">
        <v>7.27</v>
      </c>
      <c r="I123" s="4" t="n">
        <v>2.94</v>
      </c>
      <c r="J123" s="2" t="n">
        <v>30</v>
      </c>
      <c r="K123" s="4" t="n">
        <v>1.9</v>
      </c>
      <c r="L123" s="4" t="n">
        <v>1.09</v>
      </c>
      <c r="M123" s="4">
        <f>B123*(G123/100)*(J123/100)</f>
        <v/>
      </c>
      <c r="N123" s="4">
        <f>B123*(F123/360/100)*E123*(J123/100)</f>
        <v/>
      </c>
      <c r="O123" s="4">
        <f>K123-M123+L123-N123</f>
        <v/>
      </c>
    </row>
    <row r="124">
      <c r="A124" s="2" t="inlineStr">
        <is>
          <t>A53687590</t>
        </is>
      </c>
      <c r="B124" s="4" t="n">
        <v>3338.44</v>
      </c>
      <c r="C124" s="3" t="n">
        <v>46002</v>
      </c>
      <c r="D124" s="3" t="n">
        <v>46093</v>
      </c>
      <c r="E124" s="2" t="n">
        <v>32</v>
      </c>
      <c r="F124" s="2" t="n">
        <v>1.71</v>
      </c>
      <c r="G124" s="2" t="n">
        <v>1.02</v>
      </c>
      <c r="H124" s="4" t="n">
        <v>34.05</v>
      </c>
      <c r="I124" s="4" t="n">
        <v>5.07</v>
      </c>
      <c r="J124" s="2" t="n">
        <v>70</v>
      </c>
      <c r="K124" s="4" t="n">
        <v>23.97</v>
      </c>
      <c r="L124" s="4" t="n">
        <v>3.71</v>
      </c>
      <c r="M124" s="4">
        <f>B124*(G124/100)*(J124/100)</f>
        <v/>
      </c>
      <c r="N124" s="4">
        <f>B124*(F124/360/100)*E124*(J124/100)</f>
        <v/>
      </c>
      <c r="O124" s="4">
        <f>K124-M124+L124-N124</f>
        <v/>
      </c>
    </row>
    <row r="125">
      <c r="A125" s="2" t="inlineStr">
        <is>
          <t>A53687590</t>
        </is>
      </c>
      <c r="B125" s="4" t="n">
        <v>609.11</v>
      </c>
      <c r="C125" s="3" t="n">
        <v>46000</v>
      </c>
      <c r="D125" s="3" t="n">
        <v>46095</v>
      </c>
      <c r="E125" s="2" t="n">
        <v>41</v>
      </c>
      <c r="F125" s="2" t="n">
        <v>4.91</v>
      </c>
      <c r="G125" s="2" t="n">
        <v>1.71</v>
      </c>
      <c r="H125" s="4" t="n">
        <v>10.42</v>
      </c>
      <c r="I125" s="4" t="n">
        <v>3.41</v>
      </c>
      <c r="J125" s="2" t="n">
        <v>50</v>
      </c>
      <c r="K125" s="4" t="n">
        <v>5.37</v>
      </c>
      <c r="L125" s="4" t="n">
        <v>1.95</v>
      </c>
      <c r="M125" s="4">
        <f>B125*(G125/100)*(J125/100)</f>
        <v/>
      </c>
      <c r="N125" s="4">
        <f>B125*(F125/360/100)*E125*(J125/100)</f>
        <v/>
      </c>
      <c r="O125" s="4">
        <f>K125-M125+L125-N125</f>
        <v/>
      </c>
    </row>
    <row r="126">
      <c r="A126" s="2" t="inlineStr">
        <is>
          <t>B66083614</t>
        </is>
      </c>
      <c r="B126" s="4" t="n">
        <v>5106.42</v>
      </c>
      <c r="C126" s="3" t="n">
        <v>46010</v>
      </c>
      <c r="D126" s="3" t="n">
        <v>46077</v>
      </c>
      <c r="E126" s="2" t="n">
        <v>39</v>
      </c>
      <c r="F126" s="2" t="n">
        <v>2.08</v>
      </c>
      <c r="G126" s="2" t="n">
        <v>1.73</v>
      </c>
      <c r="H126" s="4" t="n">
        <v>88.34</v>
      </c>
      <c r="I126" s="4" t="n">
        <v>11.51</v>
      </c>
      <c r="J126" s="2" t="n">
        <v>60</v>
      </c>
      <c r="K126" s="4" t="n">
        <v>52.81</v>
      </c>
      <c r="L126" s="4" t="n">
        <v>6.73</v>
      </c>
      <c r="M126" s="4">
        <f>B126*(G126/100)*(J126/100)</f>
        <v/>
      </c>
      <c r="N126" s="4">
        <f>B126*(F126/360/100)*E126*(J126/100)</f>
        <v/>
      </c>
      <c r="O126" s="4">
        <f>K126-M126+L126-N126</f>
        <v/>
      </c>
    </row>
    <row r="127">
      <c r="A127" s="2" t="inlineStr">
        <is>
          <t>B66083614</t>
        </is>
      </c>
      <c r="B127" s="4" t="n">
        <v>1646.44</v>
      </c>
      <c r="C127" s="3" t="n">
        <v>46011</v>
      </c>
      <c r="D127" s="3" t="n">
        <v>46066</v>
      </c>
      <c r="E127" s="2" t="n">
        <v>23</v>
      </c>
      <c r="F127" s="2" t="n">
        <v>3.46</v>
      </c>
      <c r="G127" s="2" t="n">
        <v>1.77</v>
      </c>
      <c r="H127" s="4" t="n">
        <v>29.14</v>
      </c>
      <c r="I127" s="4" t="n">
        <v>3.64</v>
      </c>
      <c r="J127" s="2" t="n">
        <v>40</v>
      </c>
      <c r="K127" s="4" t="n">
        <v>11.39</v>
      </c>
      <c r="L127" s="4" t="n">
        <v>1.6</v>
      </c>
      <c r="M127" s="4">
        <f>B127*(G127/100)*(J127/100)</f>
        <v/>
      </c>
      <c r="N127" s="4">
        <f>B127*(F127/360/100)*E127*(J127/100)</f>
        <v/>
      </c>
      <c r="O127" s="4">
        <f>K127-M127+L127-N127</f>
        <v/>
      </c>
    </row>
    <row r="128">
      <c r="A128" s="2" t="inlineStr">
        <is>
          <t>B66083614</t>
        </is>
      </c>
      <c r="B128" s="4" t="n">
        <v>195.5</v>
      </c>
      <c r="C128" s="3" t="n">
        <v>46007</v>
      </c>
      <c r="D128" s="3" t="n">
        <v>46038</v>
      </c>
      <c r="E128" s="2" t="n">
        <v>18</v>
      </c>
      <c r="F128" s="2" t="n">
        <v>3.62</v>
      </c>
      <c r="G128" s="2" t="n">
        <v>1.79</v>
      </c>
      <c r="H128" s="4" t="n">
        <v>3.5</v>
      </c>
      <c r="I128" s="4" t="n">
        <v>0.35</v>
      </c>
      <c r="J128" s="2" t="n">
        <v>60</v>
      </c>
      <c r="K128" s="4" t="n">
        <v>2.03</v>
      </c>
      <c r="L128" s="4" t="n">
        <v>0.41</v>
      </c>
      <c r="M128" s="4">
        <f>B128*(G128/100)*(J128/100)</f>
        <v/>
      </c>
      <c r="N128" s="4">
        <f>B128*(F128/360/100)*E128*(J128/100)</f>
        <v/>
      </c>
      <c r="O128" s="4">
        <f>K128-M128+L128-N128</f>
        <v/>
      </c>
    </row>
    <row r="129">
      <c r="A129" s="2" t="inlineStr">
        <is>
          <t>B66083614</t>
        </is>
      </c>
      <c r="B129" s="4" t="n">
        <v>743.1</v>
      </c>
      <c r="C129" s="3" t="n">
        <v>46011</v>
      </c>
      <c r="D129" s="3" t="n">
        <v>46106</v>
      </c>
      <c r="E129" s="2" t="n">
        <v>61</v>
      </c>
      <c r="F129" s="2" t="n">
        <v>4.75</v>
      </c>
      <c r="G129" s="2" t="n">
        <v>1.27</v>
      </c>
      <c r="H129" s="4" t="n">
        <v>9.44</v>
      </c>
      <c r="I129" s="4" t="n">
        <v>5.98</v>
      </c>
      <c r="J129" s="2" t="n">
        <v>40</v>
      </c>
      <c r="K129" s="4" t="n">
        <v>3.58</v>
      </c>
      <c r="L129" s="4" t="n">
        <v>2.16</v>
      </c>
      <c r="M129" s="4">
        <f>B129*(G129/100)*(J129/100)</f>
        <v/>
      </c>
      <c r="N129" s="4">
        <f>B129*(F129/360/100)*E129*(J129/100)</f>
        <v/>
      </c>
      <c r="O129" s="4">
        <f>K129-M129+L129-N129</f>
        <v/>
      </c>
    </row>
    <row r="130">
      <c r="A130" s="2" t="inlineStr">
        <is>
          <t>A58137369</t>
        </is>
      </c>
      <c r="B130" s="4" t="n">
        <v>307.52</v>
      </c>
      <c r="C130" s="3" t="n">
        <v>45999</v>
      </c>
      <c r="D130" s="3" t="n">
        <v>46066</v>
      </c>
      <c r="E130" s="2" t="n">
        <v>17</v>
      </c>
      <c r="F130" s="2" t="n">
        <v>3.08</v>
      </c>
      <c r="G130" s="2" t="n">
        <v>1.68</v>
      </c>
      <c r="H130" s="4" t="n">
        <v>5.17</v>
      </c>
      <c r="I130" s="4" t="n">
        <v>0.45</v>
      </c>
      <c r="J130" s="2" t="n">
        <v>30</v>
      </c>
      <c r="K130" s="4" t="n">
        <v>1.28</v>
      </c>
      <c r="L130" s="4" t="n">
        <v>-0.1</v>
      </c>
      <c r="M130" s="4">
        <f>B130*(G130/100)*(J130/100)</f>
        <v/>
      </c>
      <c r="N130" s="4">
        <f>B130*(F130/360/100)*E130*(J130/100)</f>
        <v/>
      </c>
      <c r="O130" s="4">
        <f>K130-M130+L130-N130</f>
        <v/>
      </c>
    </row>
    <row r="131">
      <c r="A131" s="2" t="inlineStr">
        <is>
          <t>A58137369</t>
        </is>
      </c>
      <c r="B131" s="4" t="n">
        <v>607.1799999999999</v>
      </c>
      <c r="C131" s="3" t="n">
        <v>46016</v>
      </c>
      <c r="D131" s="3" t="n">
        <v>46046</v>
      </c>
      <c r="E131" s="2" t="n">
        <v>58</v>
      </c>
      <c r="F131" s="2" t="n">
        <v>4.9</v>
      </c>
      <c r="G131" s="2" t="n">
        <v>2.3</v>
      </c>
      <c r="H131" s="4" t="n">
        <v>13.97</v>
      </c>
      <c r="I131" s="4" t="n">
        <v>4.79</v>
      </c>
      <c r="J131" s="2" t="n">
        <v>50</v>
      </c>
      <c r="K131" s="4" t="n">
        <v>6.85</v>
      </c>
      <c r="L131" s="4" t="n">
        <v>2.16</v>
      </c>
      <c r="M131" s="4">
        <f>B131*(G131/100)*(J131/100)</f>
        <v/>
      </c>
      <c r="N131" s="4">
        <f>B131*(F131/360/100)*E131*(J131/100)</f>
        <v/>
      </c>
      <c r="O131" s="4">
        <f>K131-M131+L131-N131</f>
        <v/>
      </c>
    </row>
    <row r="132">
      <c r="A132" s="2" t="inlineStr">
        <is>
          <t>A58428781</t>
        </is>
      </c>
      <c r="B132" s="4" t="n">
        <v>580.73</v>
      </c>
      <c r="C132" s="3" t="n">
        <v>46015</v>
      </c>
      <c r="D132" s="3" t="n">
        <v>46067</v>
      </c>
      <c r="E132" s="2" t="n">
        <v>17</v>
      </c>
      <c r="F132" s="2" t="n">
        <v>4.78</v>
      </c>
      <c r="G132" s="2" t="n">
        <v>1.23</v>
      </c>
      <c r="H132" s="4" t="n">
        <v>7.14</v>
      </c>
      <c r="I132" s="4" t="n">
        <v>1.31</v>
      </c>
      <c r="J132" s="2" t="n">
        <v>70</v>
      </c>
      <c r="K132" s="4" t="n">
        <v>4.96</v>
      </c>
      <c r="L132" s="4" t="n">
        <v>0.9</v>
      </c>
      <c r="M132" s="4">
        <f>B132*(G132/100)*(J132/100)</f>
        <v/>
      </c>
      <c r="N132" s="4">
        <f>B132*(F132/360/100)*E132*(J132/100)</f>
        <v/>
      </c>
      <c r="O132" s="4">
        <f>K132-M132+L132-N132</f>
        <v/>
      </c>
    </row>
    <row r="133">
      <c r="A133" s="2" t="inlineStr">
        <is>
          <t>A58428781</t>
        </is>
      </c>
      <c r="B133" s="4" t="n">
        <v>8694.08</v>
      </c>
      <c r="C133" s="3" t="n">
        <v>46002</v>
      </c>
      <c r="D133" s="3" t="n">
        <v>46098</v>
      </c>
      <c r="E133" s="2" t="n">
        <v>67</v>
      </c>
      <c r="F133" s="2" t="n">
        <v>3.33</v>
      </c>
      <c r="G133" s="2" t="n">
        <v>0.55</v>
      </c>
      <c r="H133" s="4" t="n">
        <v>47.82</v>
      </c>
      <c r="I133" s="4" t="n">
        <v>53.88</v>
      </c>
      <c r="J133" s="2" t="n">
        <v>50</v>
      </c>
      <c r="K133" s="4" t="n">
        <v>23.9</v>
      </c>
      <c r="L133" s="4" t="n">
        <v>26.83</v>
      </c>
      <c r="M133" s="4">
        <f>B133*(G133/100)*(J133/100)</f>
        <v/>
      </c>
      <c r="N133" s="4">
        <f>B133*(F133/360/100)*E133*(J133/100)</f>
        <v/>
      </c>
      <c r="O133" s="4">
        <f>K133-M133+L133-N133</f>
        <v/>
      </c>
    </row>
    <row r="134">
      <c r="A134" s="2" t="inlineStr">
        <is>
          <t>A25151671</t>
        </is>
      </c>
      <c r="B134" s="4" t="n">
        <v>862.1</v>
      </c>
      <c r="C134" s="3" t="n">
        <v>46003</v>
      </c>
      <c r="D134" s="3" t="n">
        <v>46102</v>
      </c>
      <c r="E134" s="2" t="n">
        <v>36</v>
      </c>
      <c r="F134" s="2" t="n">
        <v>4.6</v>
      </c>
      <c r="G134" s="2" t="n">
        <v>1.27</v>
      </c>
      <c r="H134" s="4" t="n">
        <v>10.95</v>
      </c>
      <c r="I134" s="4" t="n">
        <v>3.97</v>
      </c>
      <c r="J134" s="2" t="n">
        <v>30</v>
      </c>
      <c r="K134" s="4" t="n">
        <v>2.99</v>
      </c>
      <c r="L134" s="4" t="n">
        <v>1.06</v>
      </c>
      <c r="M134" s="4">
        <f>B134*(G134/100)*(J134/100)</f>
        <v/>
      </c>
      <c r="N134" s="4">
        <f>B134*(F134/360/100)*E134*(J134/100)</f>
        <v/>
      </c>
      <c r="O134" s="4">
        <f>K134-M134+L134-N134</f>
        <v/>
      </c>
    </row>
    <row r="135">
      <c r="A135" s="2" t="inlineStr">
        <is>
          <t>A25151671</t>
        </is>
      </c>
      <c r="B135" s="4" t="n">
        <v>332.49</v>
      </c>
      <c r="C135" s="3" t="n">
        <v>46003</v>
      </c>
      <c r="D135" s="3" t="n">
        <v>46096</v>
      </c>
      <c r="E135" s="2" t="n">
        <v>43</v>
      </c>
      <c r="F135" s="2" t="n">
        <v>3.48</v>
      </c>
      <c r="G135" s="2" t="n">
        <v>0.7</v>
      </c>
      <c r="H135" s="4" t="n">
        <v>2.33</v>
      </c>
      <c r="I135" s="4" t="n">
        <v>1.38</v>
      </c>
      <c r="J135" s="2" t="n">
        <v>50</v>
      </c>
      <c r="K135" s="4" t="n">
        <v>1.36</v>
      </c>
      <c r="L135" s="4" t="n">
        <v>0.9399999999999999</v>
      </c>
      <c r="M135" s="4">
        <f>B135*(G135/100)*(J135/100)</f>
        <v/>
      </c>
      <c r="N135" s="4">
        <f>B135*(F135/360/100)*E135*(J135/100)</f>
        <v/>
      </c>
      <c r="O135" s="4">
        <f>K135-M135+L135-N135</f>
        <v/>
      </c>
    </row>
    <row r="136">
      <c r="A136" s="2" t="inlineStr">
        <is>
          <t>A25151671</t>
        </is>
      </c>
      <c r="B136" s="4" t="n">
        <v>941.78</v>
      </c>
      <c r="C136" s="3" t="n">
        <v>46003</v>
      </c>
      <c r="D136" s="3" t="n">
        <v>46032</v>
      </c>
      <c r="E136" s="2" t="n">
        <v>38</v>
      </c>
      <c r="F136" s="2" t="n">
        <v>4.75</v>
      </c>
      <c r="G136" s="2" t="n">
        <v>0.71</v>
      </c>
      <c r="H136" s="4" t="n">
        <v>6.69</v>
      </c>
      <c r="I136" s="4" t="n">
        <v>4.72</v>
      </c>
      <c r="J136" s="2" t="n">
        <v>30</v>
      </c>
      <c r="K136" s="4" t="n">
        <v>1.74</v>
      </c>
      <c r="L136" s="4" t="n">
        <v>1.59</v>
      </c>
      <c r="M136" s="4">
        <f>B136*(G136/100)*(J136/100)</f>
        <v/>
      </c>
      <c r="N136" s="4">
        <f>B136*(F136/360/100)*E136*(J136/100)</f>
        <v/>
      </c>
      <c r="O136" s="4">
        <f>K136-M136+L136-N136</f>
        <v/>
      </c>
    </row>
    <row r="137">
      <c r="A137" s="2" t="inlineStr">
        <is>
          <t>B35806964</t>
        </is>
      </c>
      <c r="B137" s="4" t="n">
        <v>7478.96</v>
      </c>
      <c r="C137" s="3" t="n">
        <v>46017</v>
      </c>
      <c r="D137" s="3" t="n">
        <v>46039</v>
      </c>
      <c r="E137" s="2" t="n">
        <v>33</v>
      </c>
      <c r="F137" s="2" t="n">
        <v>4.91</v>
      </c>
      <c r="G137" s="2" t="n">
        <v>0.8100000000000001</v>
      </c>
      <c r="H137" s="4" t="n">
        <v>60.58</v>
      </c>
      <c r="I137" s="4" t="n">
        <v>33.66</v>
      </c>
      <c r="J137" s="2" t="n">
        <v>60</v>
      </c>
      <c r="K137" s="4" t="n">
        <v>36.27</v>
      </c>
      <c r="L137" s="4" t="n">
        <v>19.93</v>
      </c>
      <c r="M137" s="4">
        <f>B137*(G137/100)*(J137/100)</f>
        <v/>
      </c>
      <c r="N137" s="4">
        <f>B137*(F137/360/100)*E137*(J137/100)</f>
        <v/>
      </c>
      <c r="O137" s="4">
        <f>K137-M137+L137-N137</f>
        <v/>
      </c>
    </row>
    <row r="138">
      <c r="A138" s="2" t="inlineStr">
        <is>
          <t>B35806964</t>
        </is>
      </c>
      <c r="B138" s="4" t="n">
        <v>734.16</v>
      </c>
      <c r="C138" s="3" t="n">
        <v>46015</v>
      </c>
      <c r="D138" s="3" t="n">
        <v>46105</v>
      </c>
      <c r="E138" s="2" t="n">
        <v>27</v>
      </c>
      <c r="F138" s="2" t="n">
        <v>3.23</v>
      </c>
      <c r="G138" s="2" t="n">
        <v>2.34</v>
      </c>
      <c r="H138" s="4" t="n">
        <v>17.18</v>
      </c>
      <c r="I138" s="4" t="n">
        <v>1.78</v>
      </c>
      <c r="J138" s="2" t="n">
        <v>50</v>
      </c>
      <c r="K138" s="4" t="n">
        <v>8.84</v>
      </c>
      <c r="L138" s="4" t="n">
        <v>0.6899999999999999</v>
      </c>
      <c r="M138" s="4">
        <f>B138*(G138/100)*(J138/100)</f>
        <v/>
      </c>
      <c r="N138" s="4">
        <f>B138*(F138/360/100)*E138*(J138/100)</f>
        <v/>
      </c>
      <c r="O138" s="4">
        <f>K138-M138+L138-N138</f>
        <v/>
      </c>
    </row>
    <row r="139">
      <c r="A139" s="2" t="inlineStr">
        <is>
          <t>B35806964</t>
        </is>
      </c>
      <c r="B139" s="4" t="n">
        <v>686.67</v>
      </c>
      <c r="C139" s="3" t="n">
        <v>46006</v>
      </c>
      <c r="D139" s="3" t="n">
        <v>46083</v>
      </c>
      <c r="E139" s="2" t="n">
        <v>69</v>
      </c>
      <c r="F139" s="2" t="n">
        <v>3.54</v>
      </c>
      <c r="G139" s="2" t="n">
        <v>1.01</v>
      </c>
      <c r="H139" s="4" t="n">
        <v>6.94</v>
      </c>
      <c r="I139" s="4" t="n">
        <v>4.66</v>
      </c>
      <c r="J139" s="2" t="n">
        <v>40</v>
      </c>
      <c r="K139" s="4" t="n">
        <v>3.06</v>
      </c>
      <c r="L139" s="4" t="n">
        <v>2.12</v>
      </c>
      <c r="M139" s="4">
        <f>B139*(G139/100)*(J139/100)</f>
        <v/>
      </c>
      <c r="N139" s="4">
        <f>B139*(F139/360/100)*E139*(J139/100)</f>
        <v/>
      </c>
      <c r="O139" s="4">
        <f>K139-M139+L139-N139</f>
        <v/>
      </c>
    </row>
    <row r="140">
      <c r="A140" s="2" t="inlineStr">
        <is>
          <t>B35806964</t>
        </is>
      </c>
      <c r="B140" s="4" t="n">
        <v>994.33</v>
      </c>
      <c r="C140" s="3" t="n">
        <v>45994</v>
      </c>
      <c r="D140" s="3" t="n">
        <v>46040</v>
      </c>
      <c r="E140" s="2" t="n">
        <v>44</v>
      </c>
      <c r="F140" s="2" t="n">
        <v>2.81</v>
      </c>
      <c r="G140" s="2" t="n">
        <v>0.96</v>
      </c>
      <c r="H140" s="4" t="n">
        <v>9.550000000000001</v>
      </c>
      <c r="I140" s="4" t="n">
        <v>3.41</v>
      </c>
      <c r="J140" s="2" t="n">
        <v>40</v>
      </c>
      <c r="K140" s="4" t="n">
        <v>3.78</v>
      </c>
      <c r="L140" s="4" t="n">
        <v>1.41</v>
      </c>
      <c r="M140" s="4">
        <f>B140*(G140/100)*(J140/100)</f>
        <v/>
      </c>
      <c r="N140" s="4">
        <f>B140*(F140/360/100)*E140*(J140/100)</f>
        <v/>
      </c>
      <c r="O140" s="4">
        <f>K140-M140+L140-N140</f>
        <v/>
      </c>
    </row>
    <row r="141">
      <c r="A141" s="2" t="inlineStr">
        <is>
          <t>B74319728</t>
        </is>
      </c>
      <c r="B141" s="4" t="n">
        <v>799</v>
      </c>
      <c r="C141" s="3" t="n">
        <v>46018</v>
      </c>
      <c r="D141" s="3" t="n">
        <v>46043</v>
      </c>
      <c r="E141" s="2" t="n">
        <v>67</v>
      </c>
      <c r="F141" s="2" t="n">
        <v>2.53</v>
      </c>
      <c r="G141" s="2" t="n">
        <v>0.89</v>
      </c>
      <c r="H141" s="4" t="n">
        <v>7.11</v>
      </c>
      <c r="I141" s="4" t="n">
        <v>3.76</v>
      </c>
      <c r="J141" s="2" t="n">
        <v>60</v>
      </c>
      <c r="K141" s="4" t="n">
        <v>4.49</v>
      </c>
      <c r="L141" s="4" t="n">
        <v>2.33</v>
      </c>
      <c r="M141" s="4">
        <f>B141*(G141/100)*(J141/100)</f>
        <v/>
      </c>
      <c r="N141" s="4">
        <f>B141*(F141/360/100)*E141*(J141/100)</f>
        <v/>
      </c>
      <c r="O141" s="4">
        <f>K141-M141+L141-N141</f>
        <v/>
      </c>
    </row>
    <row r="142">
      <c r="A142" s="2" t="inlineStr">
        <is>
          <t>B74319728</t>
        </is>
      </c>
      <c r="B142" s="4" t="n">
        <v>293.16</v>
      </c>
      <c r="C142" s="3" t="n">
        <v>45992</v>
      </c>
      <c r="D142" s="3" t="n">
        <v>46036</v>
      </c>
      <c r="E142" s="2" t="n">
        <v>29</v>
      </c>
      <c r="F142" s="2" t="n">
        <v>2.42</v>
      </c>
      <c r="G142" s="2" t="n">
        <v>2.15</v>
      </c>
      <c r="H142" s="4" t="n">
        <v>6.3</v>
      </c>
      <c r="I142" s="4" t="n">
        <v>0.57</v>
      </c>
      <c r="J142" s="2" t="n">
        <v>40</v>
      </c>
      <c r="K142" s="4" t="n">
        <v>2.81</v>
      </c>
      <c r="L142" s="4" t="n">
        <v>0.05</v>
      </c>
      <c r="M142" s="4">
        <f>B142*(G142/100)*(J142/100)</f>
        <v/>
      </c>
      <c r="N142" s="4">
        <f>B142*(F142/360/100)*E142*(J142/100)</f>
        <v/>
      </c>
      <c r="O142" s="4">
        <f>K142-M142+L142-N142</f>
        <v/>
      </c>
    </row>
    <row r="143">
      <c r="A143" s="2" t="inlineStr">
        <is>
          <t>B74319728</t>
        </is>
      </c>
      <c r="B143" s="4" t="n">
        <v>803.24</v>
      </c>
      <c r="C143" s="3" t="n">
        <v>46000</v>
      </c>
      <c r="D143" s="3" t="n">
        <v>46063</v>
      </c>
      <c r="E143" s="2" t="n">
        <v>53</v>
      </c>
      <c r="F143" s="2" t="n">
        <v>1.72</v>
      </c>
      <c r="G143" s="2" t="n">
        <v>1.07</v>
      </c>
      <c r="H143" s="4" t="n">
        <v>8.59</v>
      </c>
      <c r="I143" s="4" t="n">
        <v>2.03</v>
      </c>
      <c r="J143" s="2" t="n">
        <v>70</v>
      </c>
      <c r="K143" s="4" t="n">
        <v>5.95</v>
      </c>
      <c r="L143" s="4" t="n">
        <v>1.21</v>
      </c>
      <c r="M143" s="4">
        <f>B143*(G143/100)*(J143/100)</f>
        <v/>
      </c>
      <c r="N143" s="4">
        <f>B143*(F143/360/100)*E143*(J143/100)</f>
        <v/>
      </c>
      <c r="O143" s="4">
        <f>K143-M143+L143-N143</f>
        <v/>
      </c>
    </row>
    <row r="144">
      <c r="A144" s="2" t="inlineStr">
        <is>
          <t>B74319728</t>
        </is>
      </c>
      <c r="B144" s="4" t="n">
        <v>757.38</v>
      </c>
      <c r="C144" s="3" t="n">
        <v>46008</v>
      </c>
      <c r="D144" s="3" t="n">
        <v>46033</v>
      </c>
      <c r="E144" s="2" t="n">
        <v>25</v>
      </c>
      <c r="F144" s="2" t="n">
        <v>2.7</v>
      </c>
      <c r="G144" s="2" t="n">
        <v>2.4</v>
      </c>
      <c r="H144" s="4" t="n">
        <v>18.18</v>
      </c>
      <c r="I144" s="4" t="n">
        <v>1.42</v>
      </c>
      <c r="J144" s="2" t="n">
        <v>30</v>
      </c>
      <c r="K144" s="4" t="n">
        <v>5.69</v>
      </c>
      <c r="L144" s="4" t="n">
        <v>0.45</v>
      </c>
      <c r="M144" s="4">
        <f>B144*(G144/100)*(J144/100)</f>
        <v/>
      </c>
      <c r="N144" s="4">
        <f>B144*(F144/360/100)*E144*(J144/100)</f>
        <v/>
      </c>
      <c r="O144" s="4">
        <f>K144-M144+L144-N144</f>
        <v/>
      </c>
    </row>
    <row r="145">
      <c r="A145" s="2" t="inlineStr">
        <is>
          <t>B50766877</t>
        </is>
      </c>
      <c r="B145" s="4" t="n">
        <v>8004.62</v>
      </c>
      <c r="C145" s="3" t="n">
        <v>46018</v>
      </c>
      <c r="D145" s="3" t="n">
        <v>46045</v>
      </c>
      <c r="E145" s="2" t="n">
        <v>67</v>
      </c>
      <c r="F145" s="2" t="n">
        <v>3.56</v>
      </c>
      <c r="G145" s="2" t="n">
        <v>1.51</v>
      </c>
      <c r="H145" s="4" t="n">
        <v>120.87</v>
      </c>
      <c r="I145" s="4" t="n">
        <v>53.04</v>
      </c>
      <c r="J145" s="2" t="n">
        <v>50</v>
      </c>
      <c r="K145" s="4" t="n">
        <v>60.4</v>
      </c>
      <c r="L145" s="4" t="n">
        <v>26.62</v>
      </c>
      <c r="M145" s="4">
        <f>B145*(G145/100)*(J145/100)</f>
        <v/>
      </c>
      <c r="N145" s="4">
        <f>B145*(F145/360/100)*E145*(J145/100)</f>
        <v/>
      </c>
      <c r="O145" s="4">
        <f>K145-M145+L145-N145</f>
        <v/>
      </c>
    </row>
    <row r="146">
      <c r="A146" s="2" t="inlineStr">
        <is>
          <t>B50766877</t>
        </is>
      </c>
      <c r="B146" s="4" t="n">
        <v>251.5</v>
      </c>
      <c r="C146" s="3" t="n">
        <v>46008</v>
      </c>
      <c r="D146" s="3" t="n">
        <v>46027</v>
      </c>
      <c r="E146" s="2" t="n">
        <v>43</v>
      </c>
      <c r="F146" s="2" t="n">
        <v>2.76</v>
      </c>
      <c r="G146" s="2" t="n">
        <v>1.81</v>
      </c>
      <c r="H146" s="4" t="n">
        <v>4.55</v>
      </c>
      <c r="I146" s="4" t="n">
        <v>0.83</v>
      </c>
      <c r="J146" s="2" t="n">
        <v>70</v>
      </c>
      <c r="K146" s="4" t="n">
        <v>3.04</v>
      </c>
      <c r="L146" s="4" t="n">
        <v>0.31</v>
      </c>
      <c r="M146" s="4">
        <f>B146*(G146/100)*(J146/100)</f>
        <v/>
      </c>
      <c r="N146" s="4">
        <f>B146*(F146/360/100)*E146*(J146/100)</f>
        <v/>
      </c>
      <c r="O146" s="4">
        <f>K146-M146+L146-N146</f>
        <v/>
      </c>
    </row>
    <row r="147">
      <c r="A147" s="2" t="inlineStr">
        <is>
          <t>B50766877</t>
        </is>
      </c>
      <c r="B147" s="4" t="n">
        <v>645</v>
      </c>
      <c r="C147" s="3" t="n">
        <v>46013</v>
      </c>
      <c r="D147" s="3" t="n">
        <v>46076</v>
      </c>
      <c r="E147" s="2" t="n">
        <v>39</v>
      </c>
      <c r="F147" s="2" t="n">
        <v>2.95</v>
      </c>
      <c r="G147" s="2" t="n">
        <v>0.72</v>
      </c>
      <c r="H147" s="4" t="n">
        <v>4.64</v>
      </c>
      <c r="I147" s="4" t="n">
        <v>2.06</v>
      </c>
      <c r="J147" s="2" t="n">
        <v>60</v>
      </c>
      <c r="K147" s="4" t="n">
        <v>2.86</v>
      </c>
      <c r="L147" s="4" t="n">
        <v>1.09</v>
      </c>
      <c r="M147" s="4">
        <f>B147*(G147/100)*(J147/100)</f>
        <v/>
      </c>
      <c r="N147" s="4">
        <f>B147*(F147/360/100)*E147*(J147/100)</f>
        <v/>
      </c>
      <c r="O147" s="4">
        <f>K147-M147+L147-N147</f>
        <v/>
      </c>
    </row>
    <row r="148">
      <c r="A148" s="2" t="inlineStr">
        <is>
          <t>B50766877</t>
        </is>
      </c>
      <c r="B148" s="4" t="n">
        <v>240.78</v>
      </c>
      <c r="C148" s="3" t="n">
        <v>46001</v>
      </c>
      <c r="D148" s="3" t="n">
        <v>46030</v>
      </c>
      <c r="E148" s="2" t="n">
        <v>44</v>
      </c>
      <c r="F148" s="2" t="n">
        <v>4.81</v>
      </c>
      <c r="G148" s="2" t="n">
        <v>0.61</v>
      </c>
      <c r="H148" s="4" t="n">
        <v>1.47</v>
      </c>
      <c r="I148" s="4" t="n">
        <v>1.42</v>
      </c>
      <c r="J148" s="2" t="n">
        <v>40</v>
      </c>
      <c r="K148" s="4" t="n">
        <v>0.54</v>
      </c>
      <c r="L148" s="4" t="n">
        <v>0.67</v>
      </c>
      <c r="M148" s="4">
        <f>B148*(G148/100)*(J148/100)</f>
        <v/>
      </c>
      <c r="N148" s="4">
        <f>B148*(F148/360/100)*E148*(J148/100)</f>
        <v/>
      </c>
      <c r="O148" s="4">
        <f>K148-M148+L148-N148</f>
        <v/>
      </c>
    </row>
    <row r="149">
      <c r="A149" s="2" t="inlineStr">
        <is>
          <t>A00909400</t>
        </is>
      </c>
      <c r="B149" s="4" t="n">
        <v>747.25</v>
      </c>
      <c r="C149" s="3" t="n">
        <v>46004</v>
      </c>
      <c r="D149" s="3" t="n">
        <v>46079</v>
      </c>
      <c r="E149" s="2" t="n">
        <v>21</v>
      </c>
      <c r="F149" s="2" t="n">
        <v>1.74</v>
      </c>
      <c r="G149" s="2" t="n">
        <v>0.59</v>
      </c>
      <c r="H149" s="4" t="n">
        <v>4.41</v>
      </c>
      <c r="I149" s="4" t="n">
        <v>0.76</v>
      </c>
      <c r="J149" s="2" t="n">
        <v>40</v>
      </c>
      <c r="K149" s="4" t="n">
        <v>1.69</v>
      </c>
      <c r="L149" s="4" t="n">
        <v>0.09</v>
      </c>
      <c r="M149" s="4">
        <f>B149*(G149/100)*(J149/100)</f>
        <v/>
      </c>
      <c r="N149" s="4">
        <f>B149*(F149/360/100)*E149*(J149/100)</f>
        <v/>
      </c>
      <c r="O149" s="4">
        <f>K149-M149+L149-N149</f>
        <v/>
      </c>
    </row>
    <row r="150">
      <c r="A150" s="2" t="inlineStr">
        <is>
          <t>A00909400</t>
        </is>
      </c>
      <c r="B150" s="4" t="n">
        <v>727.99</v>
      </c>
      <c r="C150" s="3" t="n">
        <v>45997</v>
      </c>
      <c r="D150" s="3" t="n">
        <v>46097</v>
      </c>
      <c r="E150" s="2" t="n">
        <v>29</v>
      </c>
      <c r="F150" s="2" t="n">
        <v>3.17</v>
      </c>
      <c r="G150" s="2" t="n">
        <v>0.91</v>
      </c>
      <c r="H150" s="4" t="n">
        <v>6.62</v>
      </c>
      <c r="I150" s="4" t="n">
        <v>1.86</v>
      </c>
      <c r="J150" s="2" t="n">
        <v>60</v>
      </c>
      <c r="K150" s="4" t="n">
        <v>3.98</v>
      </c>
      <c r="L150" s="4" t="n">
        <v>1.2</v>
      </c>
      <c r="M150" s="4">
        <f>B150*(G150/100)*(J150/100)</f>
        <v/>
      </c>
      <c r="N150" s="4">
        <f>B150*(F150/360/100)*E150*(J150/100)</f>
        <v/>
      </c>
      <c r="O150" s="4">
        <f>K150-M150+L150-N150</f>
        <v/>
      </c>
    </row>
    <row r="151">
      <c r="A151" s="2" t="inlineStr">
        <is>
          <t>A00909400</t>
        </is>
      </c>
      <c r="B151" s="4" t="n">
        <v>746.87</v>
      </c>
      <c r="C151" s="3" t="n">
        <v>46019</v>
      </c>
      <c r="D151" s="3" t="n">
        <v>46066</v>
      </c>
      <c r="E151" s="2" t="n">
        <v>39</v>
      </c>
      <c r="F151" s="2" t="n">
        <v>1.59</v>
      </c>
      <c r="G151" s="2" t="n">
        <v>2.12</v>
      </c>
      <c r="H151" s="4" t="n">
        <v>15.83</v>
      </c>
      <c r="I151" s="4" t="n">
        <v>1.29</v>
      </c>
      <c r="J151" s="2" t="n">
        <v>70</v>
      </c>
      <c r="K151" s="4" t="n">
        <v>11.37</v>
      </c>
      <c r="L151" s="4" t="n">
        <v>0.6899999999999999</v>
      </c>
      <c r="M151" s="4">
        <f>B151*(G151/100)*(J151/100)</f>
        <v/>
      </c>
      <c r="N151" s="4">
        <f>B151*(F151/360/100)*E151*(J151/100)</f>
        <v/>
      </c>
      <c r="O151" s="4">
        <f>K151-M151+L151-N151</f>
        <v/>
      </c>
    </row>
    <row r="152">
      <c r="A152" s="2" t="inlineStr">
        <is>
          <t>A83221422</t>
        </is>
      </c>
      <c r="B152" s="4" t="n">
        <v>865.02</v>
      </c>
      <c r="C152" s="3" t="n">
        <v>46011</v>
      </c>
      <c r="D152" s="3" t="n">
        <v>46039</v>
      </c>
      <c r="E152" s="2" t="n">
        <v>55</v>
      </c>
      <c r="F152" s="2" t="n">
        <v>4.15</v>
      </c>
      <c r="G152" s="2" t="n">
        <v>0.61</v>
      </c>
      <c r="H152" s="4" t="n">
        <v>5.28</v>
      </c>
      <c r="I152" s="4" t="n">
        <v>5.48</v>
      </c>
      <c r="J152" s="2" t="n">
        <v>30</v>
      </c>
      <c r="K152" s="4" t="n">
        <v>1.81</v>
      </c>
      <c r="L152" s="4" t="n">
        <v>1.37</v>
      </c>
      <c r="M152" s="4">
        <f>B152*(G152/100)*(J152/100)</f>
        <v/>
      </c>
      <c r="N152" s="4">
        <f>B152*(F152/360/100)*E152*(J152/100)</f>
        <v/>
      </c>
      <c r="O152" s="4">
        <f>K152-M152+L152-N152</f>
        <v/>
      </c>
    </row>
    <row r="153">
      <c r="A153" s="2" t="inlineStr">
        <is>
          <t>A83221422</t>
        </is>
      </c>
      <c r="B153" s="4" t="n">
        <v>285.89</v>
      </c>
      <c r="C153" s="3" t="n">
        <v>46001</v>
      </c>
      <c r="D153" s="3" t="n">
        <v>46091</v>
      </c>
      <c r="E153" s="2" t="n">
        <v>17</v>
      </c>
      <c r="F153" s="2" t="n">
        <v>2.12</v>
      </c>
      <c r="G153" s="2" t="n">
        <v>1.98</v>
      </c>
      <c r="H153" s="4" t="n">
        <v>5.66</v>
      </c>
      <c r="I153" s="4" t="n">
        <v>0.29</v>
      </c>
      <c r="J153" s="2" t="n">
        <v>70</v>
      </c>
      <c r="K153" s="4" t="n">
        <v>3.99</v>
      </c>
      <c r="L153" s="4" t="n">
        <v>0.37</v>
      </c>
      <c r="M153" s="4">
        <f>B153*(G153/100)*(J153/100)</f>
        <v/>
      </c>
      <c r="N153" s="4">
        <f>B153*(F153/360/100)*E153*(J153/100)</f>
        <v/>
      </c>
      <c r="O153" s="4">
        <f>K153-M153+L153-N153</f>
        <v/>
      </c>
    </row>
    <row r="154">
      <c r="A154" s="2" t="inlineStr">
        <is>
          <t>A83221422</t>
        </is>
      </c>
      <c r="B154" s="4" t="n">
        <v>849.87</v>
      </c>
      <c r="C154" s="3" t="n">
        <v>46009</v>
      </c>
      <c r="D154" s="3" t="n">
        <v>46050</v>
      </c>
      <c r="E154" s="2" t="n">
        <v>34</v>
      </c>
      <c r="F154" s="2" t="n">
        <v>4.1</v>
      </c>
      <c r="G154" s="2" t="n">
        <v>1.46</v>
      </c>
      <c r="H154" s="4" t="n">
        <v>12.41</v>
      </c>
      <c r="I154" s="4" t="n">
        <v>3.29</v>
      </c>
      <c r="J154" s="2" t="n">
        <v>50</v>
      </c>
      <c r="K154" s="4" t="n">
        <v>6.24</v>
      </c>
      <c r="L154" s="4" t="n">
        <v>1.61</v>
      </c>
      <c r="M154" s="4">
        <f>B154*(G154/100)*(J154/100)</f>
        <v/>
      </c>
      <c r="N154" s="4">
        <f>B154*(F154/360/100)*E154*(J154/100)</f>
        <v/>
      </c>
      <c r="O154" s="4">
        <f>K154-M154+L154-N154</f>
        <v/>
      </c>
    </row>
    <row r="155">
      <c r="A155" s="2" t="inlineStr">
        <is>
          <t>A83221422</t>
        </is>
      </c>
      <c r="B155" s="4" t="n">
        <v>1816.52</v>
      </c>
      <c r="C155" s="3" t="n">
        <v>45995</v>
      </c>
      <c r="D155" s="3" t="n">
        <v>46057</v>
      </c>
      <c r="E155" s="2" t="n">
        <v>72</v>
      </c>
      <c r="F155" s="2" t="n">
        <v>4.33</v>
      </c>
      <c r="G155" s="2" t="n">
        <v>1.95</v>
      </c>
      <c r="H155" s="4" t="n">
        <v>35.42</v>
      </c>
      <c r="I155" s="4" t="n">
        <v>15.73</v>
      </c>
      <c r="J155" s="2" t="n">
        <v>30</v>
      </c>
      <c r="K155" s="4" t="n">
        <v>10.44</v>
      </c>
      <c r="L155" s="4" t="n">
        <v>4.46</v>
      </c>
      <c r="M155" s="4">
        <f>B155*(G155/100)*(J155/100)</f>
        <v/>
      </c>
      <c r="N155" s="4">
        <f>B155*(F155/360/100)*E155*(J155/100)</f>
        <v/>
      </c>
      <c r="O155" s="4">
        <f>K155-M155+L155-N155</f>
        <v/>
      </c>
    </row>
    <row r="156">
      <c r="A156" s="2" t="inlineStr">
        <is>
          <t>A68218920</t>
        </is>
      </c>
      <c r="B156" s="4" t="n">
        <v>534.24</v>
      </c>
      <c r="C156" s="3" t="n">
        <v>46014</v>
      </c>
      <c r="D156" s="3" t="n">
        <v>46089</v>
      </c>
      <c r="E156" s="2" t="n">
        <v>65</v>
      </c>
      <c r="F156" s="2" t="n">
        <v>1.55</v>
      </c>
      <c r="G156" s="2" t="n">
        <v>1.52</v>
      </c>
      <c r="H156" s="4" t="n">
        <v>8.119999999999999</v>
      </c>
      <c r="I156" s="4" t="n">
        <v>1.5</v>
      </c>
      <c r="J156" s="2" t="n">
        <v>30</v>
      </c>
      <c r="K156" s="4" t="n">
        <v>2.14</v>
      </c>
      <c r="L156" s="4" t="n">
        <v>0.27</v>
      </c>
      <c r="M156" s="4">
        <f>B156*(G156/100)*(J156/100)</f>
        <v/>
      </c>
      <c r="N156" s="4">
        <f>B156*(F156/360/100)*E156*(J156/100)</f>
        <v/>
      </c>
      <c r="O156" s="4">
        <f>K156-M156+L156-N156</f>
        <v/>
      </c>
    </row>
    <row r="157">
      <c r="A157" s="2" t="inlineStr">
        <is>
          <t>A68218920</t>
        </is>
      </c>
      <c r="B157" s="4" t="n">
        <v>860.89</v>
      </c>
      <c r="C157" s="3" t="n">
        <v>46006</v>
      </c>
      <c r="D157" s="3" t="n">
        <v>46044</v>
      </c>
      <c r="E157" s="2" t="n">
        <v>36</v>
      </c>
      <c r="F157" s="2" t="n">
        <v>4.19</v>
      </c>
      <c r="G157" s="2" t="n">
        <v>0.9</v>
      </c>
      <c r="H157" s="4" t="n">
        <v>7.75</v>
      </c>
      <c r="I157" s="4" t="n">
        <v>3.61</v>
      </c>
      <c r="J157" s="2" t="n">
        <v>30</v>
      </c>
      <c r="K157" s="4" t="n">
        <v>2.55</v>
      </c>
      <c r="L157" s="4" t="n">
        <v>1.34</v>
      </c>
      <c r="M157" s="4">
        <f>B157*(G157/100)*(J157/100)</f>
        <v/>
      </c>
      <c r="N157" s="4">
        <f>B157*(F157/360/100)*E157*(J157/100)</f>
        <v/>
      </c>
      <c r="O157" s="4">
        <f>K157-M157+L157-N157</f>
        <v/>
      </c>
    </row>
    <row r="158">
      <c r="A158" s="2" t="inlineStr">
        <is>
          <t>A68218920</t>
        </is>
      </c>
      <c r="B158" s="4" t="n">
        <v>2464.65</v>
      </c>
      <c r="C158" s="3" t="n">
        <v>46014</v>
      </c>
      <c r="D158" s="3" t="n">
        <v>46098</v>
      </c>
      <c r="E158" s="2" t="n">
        <v>41</v>
      </c>
      <c r="F158" s="2" t="n">
        <v>3.23</v>
      </c>
      <c r="G158" s="2" t="n">
        <v>0.7</v>
      </c>
      <c r="H158" s="4" t="n">
        <v>17.25</v>
      </c>
      <c r="I158" s="4" t="n">
        <v>9.07</v>
      </c>
      <c r="J158" s="2" t="n">
        <v>30</v>
      </c>
      <c r="K158" s="4" t="n">
        <v>5.14</v>
      </c>
      <c r="L158" s="4" t="n">
        <v>2.75</v>
      </c>
      <c r="M158" s="4">
        <f>B158*(G158/100)*(J158/100)</f>
        <v/>
      </c>
      <c r="N158" s="4">
        <f>B158*(F158/360/100)*E158*(J158/100)</f>
        <v/>
      </c>
      <c r="O158" s="4">
        <f>K158-M158+L158-N158</f>
        <v/>
      </c>
    </row>
    <row r="159">
      <c r="A159" s="2" t="inlineStr">
        <is>
          <t>A68218920</t>
        </is>
      </c>
      <c r="B159" s="4" t="n">
        <v>7216.77</v>
      </c>
      <c r="C159" s="3" t="n">
        <v>45996</v>
      </c>
      <c r="D159" s="3" t="n">
        <v>46057</v>
      </c>
      <c r="E159" s="2" t="n">
        <v>30</v>
      </c>
      <c r="F159" s="2" t="n">
        <v>3.9</v>
      </c>
      <c r="G159" s="2" t="n">
        <v>1.1</v>
      </c>
      <c r="H159" s="4" t="n">
        <v>79.38</v>
      </c>
      <c r="I159" s="4" t="n">
        <v>23.45</v>
      </c>
      <c r="J159" s="2" t="n">
        <v>60</v>
      </c>
      <c r="K159" s="4" t="n">
        <v>47.87</v>
      </c>
      <c r="L159" s="4" t="n">
        <v>14.27</v>
      </c>
      <c r="M159" s="4">
        <f>B159*(G159/100)*(J159/100)</f>
        <v/>
      </c>
      <c r="N159" s="4">
        <f>B159*(F159/360/100)*E159*(J159/100)</f>
        <v/>
      </c>
      <c r="O159" s="4">
        <f>K159-M159+L159-N159</f>
        <v/>
      </c>
    </row>
    <row r="160">
      <c r="A160" s="2" t="inlineStr">
        <is>
          <t>B87003538</t>
        </is>
      </c>
      <c r="B160" s="4" t="n">
        <v>623.3099999999999</v>
      </c>
      <c r="C160" s="3" t="n">
        <v>46006</v>
      </c>
      <c r="D160" s="3" t="n">
        <v>46084</v>
      </c>
      <c r="E160" s="2" t="n">
        <v>21</v>
      </c>
      <c r="F160" s="2" t="n">
        <v>4.28</v>
      </c>
      <c r="G160" s="2" t="n">
        <v>1.15</v>
      </c>
      <c r="H160" s="4" t="n">
        <v>7.17</v>
      </c>
      <c r="I160" s="4" t="n">
        <v>1.56</v>
      </c>
      <c r="J160" s="2" t="n">
        <v>40</v>
      </c>
      <c r="K160" s="4" t="n">
        <v>2.9</v>
      </c>
      <c r="L160" s="4" t="n">
        <v>0.67</v>
      </c>
      <c r="M160" s="4">
        <f>B160*(G160/100)*(J160/100)</f>
        <v/>
      </c>
      <c r="N160" s="4">
        <f>B160*(F160/360/100)*E160*(J160/100)</f>
        <v/>
      </c>
      <c r="O160" s="4">
        <f>K160-M160+L160-N160</f>
        <v/>
      </c>
    </row>
    <row r="161">
      <c r="A161" s="2" t="inlineStr">
        <is>
          <t>B87003538</t>
        </is>
      </c>
      <c r="B161" s="4" t="n">
        <v>6256.24</v>
      </c>
      <c r="C161" s="3" t="n">
        <v>46015</v>
      </c>
      <c r="D161" s="3" t="n">
        <v>46109</v>
      </c>
      <c r="E161" s="2" t="n">
        <v>26</v>
      </c>
      <c r="F161" s="2" t="n">
        <v>2.88</v>
      </c>
      <c r="G161" s="2" t="n">
        <v>0.58</v>
      </c>
      <c r="H161" s="4" t="n">
        <v>36.29</v>
      </c>
      <c r="I161" s="4" t="n">
        <v>13.01</v>
      </c>
      <c r="J161" s="2" t="n">
        <v>70</v>
      </c>
      <c r="K161" s="4" t="n">
        <v>25.17</v>
      </c>
      <c r="L161" s="4" t="n">
        <v>9.35</v>
      </c>
      <c r="M161" s="4">
        <f>B161*(G161/100)*(J161/100)</f>
        <v/>
      </c>
      <c r="N161" s="4">
        <f>B161*(F161/360/100)*E161*(J161/100)</f>
        <v/>
      </c>
      <c r="O161" s="4">
        <f>K161-M161+L161-N161</f>
        <v/>
      </c>
    </row>
    <row r="162">
      <c r="A162" s="2" t="inlineStr">
        <is>
          <t>B87003538</t>
        </is>
      </c>
      <c r="B162" s="4" t="n">
        <v>942.52</v>
      </c>
      <c r="C162" s="3" t="n">
        <v>46014</v>
      </c>
      <c r="D162" s="3" t="n">
        <v>46076</v>
      </c>
      <c r="E162" s="2" t="n">
        <v>39</v>
      </c>
      <c r="F162" s="2" t="n">
        <v>3.44</v>
      </c>
      <c r="G162" s="2" t="n">
        <v>2.38</v>
      </c>
      <c r="H162" s="4" t="n">
        <v>22.43</v>
      </c>
      <c r="I162" s="4" t="n">
        <v>3.51</v>
      </c>
      <c r="J162" s="2" t="n">
        <v>30</v>
      </c>
      <c r="K162" s="4" t="n">
        <v>6.81</v>
      </c>
      <c r="L162" s="4" t="n">
        <v>1.08</v>
      </c>
      <c r="M162" s="4">
        <f>B162*(G162/100)*(J162/100)</f>
        <v/>
      </c>
      <c r="N162" s="4">
        <f>B162*(F162/360/100)*E162*(J162/100)</f>
        <v/>
      </c>
      <c r="O162" s="4">
        <f>K162-M162+L162-N162</f>
        <v/>
      </c>
    </row>
    <row r="163">
      <c r="A163" s="2" t="inlineStr">
        <is>
          <t>B87003538</t>
        </is>
      </c>
      <c r="B163" s="4" t="n">
        <v>797.8</v>
      </c>
      <c r="C163" s="3" t="n">
        <v>46004</v>
      </c>
      <c r="D163" s="3" t="n">
        <v>46037</v>
      </c>
      <c r="E163" s="2" t="n">
        <v>25</v>
      </c>
      <c r="F163" s="2" t="n">
        <v>4.66</v>
      </c>
      <c r="G163" s="2" t="n">
        <v>1.39</v>
      </c>
      <c r="H163" s="4" t="n">
        <v>11.09</v>
      </c>
      <c r="I163" s="4" t="n">
        <v>2.58</v>
      </c>
      <c r="J163" s="2" t="n">
        <v>50</v>
      </c>
      <c r="K163" s="4" t="n">
        <v>5.74</v>
      </c>
      <c r="L163" s="4" t="n">
        <v>1.09</v>
      </c>
      <c r="M163" s="4">
        <f>B163*(G163/100)*(J163/100)</f>
        <v/>
      </c>
      <c r="N163" s="4">
        <f>B163*(F163/360/100)*E163*(J163/100)</f>
        <v/>
      </c>
      <c r="O163" s="4">
        <f>K163-M163+L163-N163</f>
        <v/>
      </c>
    </row>
    <row r="164">
      <c r="A164" s="2" t="inlineStr">
        <is>
          <t>B56898139</t>
        </is>
      </c>
      <c r="B164" s="4" t="n">
        <v>386.38</v>
      </c>
      <c r="C164" s="3" t="n">
        <v>45996</v>
      </c>
      <c r="D164" s="3" t="n">
        <v>46089</v>
      </c>
      <c r="E164" s="2" t="n">
        <v>28</v>
      </c>
      <c r="F164" s="2" t="n">
        <v>4.83</v>
      </c>
      <c r="G164" s="2" t="n">
        <v>1.43</v>
      </c>
      <c r="H164" s="4" t="n">
        <v>5.53</v>
      </c>
      <c r="I164" s="4" t="n">
        <v>1.45</v>
      </c>
      <c r="J164" s="2" t="n">
        <v>70</v>
      </c>
      <c r="K164" s="4" t="n">
        <v>4.13</v>
      </c>
      <c r="L164" s="4" t="n">
        <v>0.95</v>
      </c>
      <c r="M164" s="4">
        <f>B164*(G164/100)*(J164/100)</f>
        <v/>
      </c>
      <c r="N164" s="4">
        <f>B164*(F164/360/100)*E164*(J164/100)</f>
        <v/>
      </c>
      <c r="O164" s="4">
        <f>K164-M164+L164-N164</f>
        <v/>
      </c>
    </row>
    <row r="165">
      <c r="A165" s="2" t="inlineStr">
        <is>
          <t>B56898139</t>
        </is>
      </c>
      <c r="B165" s="4" t="n">
        <v>584.14</v>
      </c>
      <c r="C165" s="3" t="n">
        <v>46003</v>
      </c>
      <c r="D165" s="3" t="n">
        <v>46097</v>
      </c>
      <c r="E165" s="2" t="n">
        <v>24</v>
      </c>
      <c r="F165" s="2" t="n">
        <v>3.27</v>
      </c>
      <c r="G165" s="2" t="n">
        <v>1.78</v>
      </c>
      <c r="H165" s="4" t="n">
        <v>10.4</v>
      </c>
      <c r="I165" s="4" t="n">
        <v>1.27</v>
      </c>
      <c r="J165" s="2" t="n">
        <v>70</v>
      </c>
      <c r="K165" s="4" t="n">
        <v>7.5</v>
      </c>
      <c r="L165" s="4" t="n">
        <v>1.05</v>
      </c>
      <c r="M165" s="4">
        <f>B165*(G165/100)*(J165/100)</f>
        <v/>
      </c>
      <c r="N165" s="4">
        <f>B165*(F165/360/100)*E165*(J165/100)</f>
        <v/>
      </c>
      <c r="O165" s="4">
        <f>K165-M165+L165-N165</f>
        <v/>
      </c>
    </row>
    <row r="166">
      <c r="A166" s="2" t="inlineStr">
        <is>
          <t>B56898139</t>
        </is>
      </c>
      <c r="B166" s="4" t="n">
        <v>653.4</v>
      </c>
      <c r="C166" s="3" t="n">
        <v>46016</v>
      </c>
      <c r="D166" s="3" t="n">
        <v>46040</v>
      </c>
      <c r="E166" s="2" t="n">
        <v>47</v>
      </c>
      <c r="F166" s="2" t="n">
        <v>3.92</v>
      </c>
      <c r="G166" s="2" t="n">
        <v>1.42</v>
      </c>
      <c r="H166" s="4" t="n">
        <v>9.279999999999999</v>
      </c>
      <c r="I166" s="4" t="n">
        <v>3.34</v>
      </c>
      <c r="J166" s="2" t="n">
        <v>30</v>
      </c>
      <c r="K166" s="4" t="n">
        <v>3.06</v>
      </c>
      <c r="L166" s="4" t="n">
        <v>1.06</v>
      </c>
      <c r="M166" s="4">
        <f>B166*(G166/100)*(J166/100)</f>
        <v/>
      </c>
      <c r="N166" s="4">
        <f>B166*(F166/360/100)*E166*(J166/100)</f>
        <v/>
      </c>
      <c r="O166" s="4">
        <f>K166-M166+L166-N166</f>
        <v/>
      </c>
    </row>
    <row r="167">
      <c r="A167" s="2" t="inlineStr">
        <is>
          <t>B56898139</t>
        </is>
      </c>
      <c r="B167" s="4" t="n">
        <v>771.79</v>
      </c>
      <c r="C167" s="3" t="n">
        <v>46004</v>
      </c>
      <c r="D167" s="3" t="n">
        <v>46096</v>
      </c>
      <c r="E167" s="2" t="n">
        <v>37</v>
      </c>
      <c r="F167" s="2" t="n">
        <v>2.25</v>
      </c>
      <c r="G167" s="2" t="n">
        <v>2.26</v>
      </c>
      <c r="H167" s="4" t="n">
        <v>17.44</v>
      </c>
      <c r="I167" s="4" t="n">
        <v>1.78</v>
      </c>
      <c r="J167" s="2" t="n">
        <v>50</v>
      </c>
      <c r="K167" s="4" t="n">
        <v>9.02</v>
      </c>
      <c r="L167" s="4" t="n">
        <v>0.85</v>
      </c>
      <c r="M167" s="4">
        <f>B167*(G167/100)*(J167/100)</f>
        <v/>
      </c>
      <c r="N167" s="4">
        <f>B167*(F167/360/100)*E167*(J167/100)</f>
        <v/>
      </c>
      <c r="O167" s="4">
        <f>K167-M167+L167-N167</f>
        <v/>
      </c>
    </row>
    <row r="168">
      <c r="A168" s="5" t="inlineStr">
        <is>
          <t>Total</t>
        </is>
      </c>
      <c r="B168" s="6">
        <f>SUBTOTAL(109,B2:B167)</f>
        <v/>
      </c>
      <c r="H168" s="6">
        <f>SUBTOTAL(109,H2:H167)</f>
        <v/>
      </c>
      <c r="I168" s="6">
        <f>SUBTOTAL(109,I2:I167)</f>
        <v/>
      </c>
      <c r="K168" s="6">
        <f>SUBTOTAL(109,K2:K167)</f>
        <v/>
      </c>
      <c r="L168" s="6">
        <f>SUBTOTAL(109,L2:L167)</f>
        <v/>
      </c>
      <c r="M168" s="6">
        <f>SUBTOTAL(109,M2:M167)</f>
        <v/>
      </c>
      <c r="N168" s="6">
        <f>SUBTOTAL(109,N2:N167)</f>
        <v/>
      </c>
      <c r="O168" s="6">
        <f>SUBTOTAL(109,O2:O167)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2026-09-16T22:23:09Z</dcterms:created>
  <dcterms:modified xsi:type="dcterms:W3CDTF">2026-09-16T22:23:10Z</dcterms:modified>
</cp:coreProperties>
</file>