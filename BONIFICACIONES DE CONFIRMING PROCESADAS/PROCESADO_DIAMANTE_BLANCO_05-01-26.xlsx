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" sheetId="1" state="visible" r:id="rId1"/>
    <sheet name="Imprimir" sheetId="2" state="visible" r:id="rId2"/>
  </sheets>
  <definedNames>
    <definedName name="_xlnm.Print_Titles" localSheetId="0">'Detalle'!$1:$1</definedName>
    <definedName name="_xlnm.Print_Titles" localSheetId="1">'Imprimir'!$1:$1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"/>
  </numFmts>
  <fonts count="3">
    <font>
      <name val="Calibri"/>
      <family val="2"/>
      <color theme="1"/>
      <sz val="11"/>
      <scheme val="minor"/>
    </font>
    <font>
      <sz val="8"/>
    </font>
    <font>
      <b val="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  <xf numFmtId="4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4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aDetalle" displayName="TablaDetalle" ref="A1:T226" headerRowCount="1" totalsRowCount="1">
  <tableColumns count="20">
    <tableColumn id="1" name="Banco" totalsRowLabel="Total"/>
    <tableColumn id="2" name="Sociedad"/>
    <tableColumn id="3" name="Fecha Documento"/>
    <tableColumn id="4" name="CIF"/>
    <tableColumn id="5" name="Proveedor"/>
    <tableColumn id="6" name="Nº Factura"/>
    <tableColumn id="7" name="Importe" totalsRowFunction="sum"/>
    <tableColumn id="8" name="F. Anticipo"/>
    <tableColumn id="9" name="F. Vencimiento"/>
    <tableColumn id="10" name="Días"/>
    <tableColumn id="11" name="% Interés"/>
    <tableColumn id="12" name="% Comisión"/>
    <tableColumn id="13" name="Total Comisión" totalsRowFunction="sum"/>
    <tableColumn id="14" name="Total Interés" totalsRowFunction="sum"/>
    <tableColumn id="15" name="% Reparto"/>
    <tableColumn id="16" name="Comisión Prisma" totalsRowFunction="sum"/>
    <tableColumn id="17" name="Interés Prisma" totalsRowFunction="sum"/>
    <tableColumn id="18" name="Calculo_x000a_com Prisma" totalsRowFunction="sum"/>
    <tableColumn id="19" name="Calculo_x000a_int prisma" totalsRowFunction="sum"/>
    <tableColumn id="20" name="Total_x000a_diferencia" totalsRowFunction="sum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TablaImprimir" displayName="TablaImprimir" ref="A1:O226" headerRowCount="1" totalsRowCount="1">
  <tableColumns count="15">
    <tableColumn id="1" name="CIF" totalsRowLabel="Total"/>
    <tableColumn id="2" name="Importe" totalsRowFunction="sum"/>
    <tableColumn id="3" name="F. Anticipo"/>
    <tableColumn id="4" name="F. Vencimiento"/>
    <tableColumn id="5" name="Días"/>
    <tableColumn id="6" name="% Interés"/>
    <tableColumn id="7" name="% Comisión"/>
    <tableColumn id="8" name="Total Comisión" totalsRowFunction="sum"/>
    <tableColumn id="9" name="Total Interés" totalsRowFunction="sum"/>
    <tableColumn id="10" name="% Reparto"/>
    <tableColumn id="11" name="Comisión Prisma" totalsRowFunction="sum"/>
    <tableColumn id="12" name="Interés Prisma" totalsRowFunction="sum"/>
    <tableColumn id="13" name="Calculo_x000a_com Prisma" totalsRowFunction="sum"/>
    <tableColumn id="14" name="Calculo_x000a_int prisma" totalsRowFunction="sum"/>
    <tableColumn id="15" name="Total_x000a_diferencia" totalsRowFunction="sum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226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0" customWidth="1" min="4" max="4"/>
    <col width="38" customWidth="1" min="5" max="5"/>
    <col width="13" customWidth="1" min="6" max="6"/>
    <col width="9" customWidth="1" min="7" max="7"/>
    <col width="9" customWidth="1" min="8" max="8"/>
    <col width="12" customWidth="1" min="9" max="9"/>
    <col width="6" customWidth="1" min="10" max="10"/>
    <col width="8" customWidth="1" min="11" max="11"/>
    <col width="9" customWidth="1" min="12" max="12"/>
    <col width="9" customWidth="1" min="13" max="13"/>
    <col width="8" customWidth="1" min="14" max="14"/>
    <col width="8" customWidth="1" min="15" max="15"/>
    <col width="9" customWidth="1" min="16" max="16"/>
    <col width="8" customWidth="1" min="17" max="17"/>
    <col width="11" customWidth="1" min="18" max="18"/>
    <col width="11" customWidth="1" min="19" max="19"/>
    <col width="11" customWidth="1" min="20" max="20"/>
  </cols>
  <sheetData>
    <row r="1" ht="26" customHeight="1">
      <c r="A1" s="1" t="inlineStr">
        <is>
          <t>Banco</t>
        </is>
      </c>
      <c r="B1" s="1" t="inlineStr">
        <is>
          <t>Sociedad</t>
        </is>
      </c>
      <c r="C1" s="1" t="inlineStr">
        <is>
          <t>Fecha Documento</t>
        </is>
      </c>
      <c r="D1" s="1" t="inlineStr">
        <is>
          <t>CIF</t>
        </is>
      </c>
      <c r="E1" s="1" t="inlineStr">
        <is>
          <t>Proveedor</t>
        </is>
      </c>
      <c r="F1" s="1" t="inlineStr">
        <is>
          <t>Nº Factura</t>
        </is>
      </c>
      <c r="G1" s="1" t="inlineStr">
        <is>
          <t>Importe</t>
        </is>
      </c>
      <c r="H1" s="1" t="inlineStr">
        <is>
          <t>F. Anticipo</t>
        </is>
      </c>
      <c r="I1" s="1" t="inlineStr">
        <is>
          <t>F. Vencimiento</t>
        </is>
      </c>
      <c r="J1" s="1" t="inlineStr">
        <is>
          <t>Días</t>
        </is>
      </c>
      <c r="K1" s="1" t="inlineStr">
        <is>
          <t>% Interés</t>
        </is>
      </c>
      <c r="L1" s="1" t="inlineStr">
        <is>
          <t>% Comisión</t>
        </is>
      </c>
      <c r="M1" s="1" t="inlineStr">
        <is>
          <t>Total Comisión</t>
        </is>
      </c>
      <c r="N1" s="1" t="inlineStr">
        <is>
          <t>Total Interés</t>
        </is>
      </c>
      <c r="O1" s="1" t="inlineStr">
        <is>
          <t>% Reparto</t>
        </is>
      </c>
      <c r="P1" s="1" t="inlineStr">
        <is>
          <t>Comisión Prisma</t>
        </is>
      </c>
      <c r="Q1" s="1" t="inlineStr">
        <is>
          <t>Interés Prisma</t>
        </is>
      </c>
      <c r="R1" s="1" t="inlineStr">
        <is>
          <t>Calculo
com Prisma</t>
        </is>
      </c>
      <c r="S1" s="1" t="inlineStr">
        <is>
          <t>Calculo
int prisma</t>
        </is>
      </c>
      <c r="T1" s="1" t="inlineStr">
        <is>
          <t>Total
diferencia</t>
        </is>
      </c>
    </row>
    <row r="2">
      <c r="A2" s="2" t="inlineStr">
        <is>
          <t>Diamante</t>
        </is>
      </c>
      <c r="B2" s="2" t="inlineStr">
        <is>
          <t>Blanco</t>
        </is>
      </c>
      <c r="C2" s="3" t="n">
        <v>46027</v>
      </c>
      <c r="D2" s="2" t="inlineStr">
        <is>
          <t>A39063221</t>
        </is>
      </c>
      <c r="E2" s="2" t="inlineStr">
        <is>
          <t>Cobres Madrileños S.A.</t>
        </is>
      </c>
      <c r="F2" s="2" t="n">
        <v>1821908</v>
      </c>
      <c r="G2" s="4" t="n">
        <v>763.46</v>
      </c>
      <c r="H2" s="3" t="n">
        <v>46013</v>
      </c>
      <c r="I2" s="3" t="n">
        <v>46100</v>
      </c>
      <c r="J2" s="2" t="n">
        <v>87</v>
      </c>
      <c r="K2" s="2" t="n">
        <v>4.12</v>
      </c>
      <c r="L2" s="2" t="n">
        <v>1.91</v>
      </c>
      <c r="M2" s="4" t="n">
        <v>14.58</v>
      </c>
      <c r="N2" s="4" t="n">
        <v>7.6</v>
      </c>
      <c r="O2" s="2" t="n">
        <v>20</v>
      </c>
      <c r="P2" s="4" t="n">
        <v>2.87</v>
      </c>
      <c r="Q2" s="4" t="n">
        <v>1.34</v>
      </c>
      <c r="R2" s="4">
        <f>G2*(L2/100)*(O2/100)</f>
        <v/>
      </c>
      <c r="S2" s="4">
        <f>G2*(K2/360/100)*J2*(O2/100)</f>
        <v/>
      </c>
      <c r="T2" s="4">
        <f>P2-R2+Q2-S2</f>
        <v/>
      </c>
    </row>
    <row r="3">
      <c r="A3" s="2" t="inlineStr">
        <is>
          <t>Diamante</t>
        </is>
      </c>
      <c r="B3" s="2" t="inlineStr">
        <is>
          <t>Blanco</t>
        </is>
      </c>
      <c r="C3" s="3" t="n">
        <v>46027</v>
      </c>
      <c r="D3" s="2" t="inlineStr">
        <is>
          <t>A39063221</t>
        </is>
      </c>
      <c r="E3" s="2" t="inlineStr">
        <is>
          <t>Cobres Madrileños S.A.</t>
        </is>
      </c>
      <c r="F3" s="2" t="n">
        <v>3726336</v>
      </c>
      <c r="G3" s="4" t="n">
        <v>581.52</v>
      </c>
      <c r="H3" s="3" t="n">
        <v>45999</v>
      </c>
      <c r="I3" s="3" t="n">
        <v>46035</v>
      </c>
      <c r="J3" s="2" t="n">
        <v>36</v>
      </c>
      <c r="K3" s="2" t="n">
        <v>5.25</v>
      </c>
      <c r="L3" s="2" t="n">
        <v>1.09</v>
      </c>
      <c r="M3" s="4" t="n">
        <v>6.34</v>
      </c>
      <c r="N3" s="4" t="n">
        <v>3.05</v>
      </c>
      <c r="O3" s="2" t="n">
        <v>20</v>
      </c>
      <c r="P3" s="4" t="n">
        <v>1.12</v>
      </c>
      <c r="Q3" s="4" t="n">
        <v>0.37</v>
      </c>
      <c r="R3" s="4">
        <f>G3*(L3/100)*(O3/100)</f>
        <v/>
      </c>
      <c r="S3" s="4">
        <f>G3*(K3/360/100)*J3*(O3/100)</f>
        <v/>
      </c>
      <c r="T3" s="4">
        <f>P3-R3+Q3-S3</f>
        <v/>
      </c>
    </row>
    <row r="4">
      <c r="A4" s="2" t="inlineStr">
        <is>
          <t>Diamante</t>
        </is>
      </c>
      <c r="B4" s="2" t="inlineStr">
        <is>
          <t>Blanco</t>
        </is>
      </c>
      <c r="C4" s="3" t="n">
        <v>46027</v>
      </c>
      <c r="D4" s="2" t="inlineStr">
        <is>
          <t>A39063221</t>
        </is>
      </c>
      <c r="E4" s="2" t="inlineStr">
        <is>
          <t>Cobres Madrileños S.A.</t>
        </is>
      </c>
      <c r="F4" s="2" t="n">
        <v>3947556</v>
      </c>
      <c r="G4" s="4" t="n">
        <v>3210.5</v>
      </c>
      <c r="H4" s="3" t="n">
        <v>46002</v>
      </c>
      <c r="I4" s="3" t="n">
        <v>46040</v>
      </c>
      <c r="J4" s="2" t="n">
        <v>38</v>
      </c>
      <c r="K4" s="2" t="n">
        <v>5.62</v>
      </c>
      <c r="L4" s="2" t="n">
        <v>0.58</v>
      </c>
      <c r="M4" s="4" t="n">
        <v>18.62</v>
      </c>
      <c r="N4" s="4" t="n">
        <v>19.05</v>
      </c>
      <c r="O4" s="2" t="n">
        <v>50</v>
      </c>
      <c r="P4" s="4" t="n">
        <v>9.279999999999999</v>
      </c>
      <c r="Q4" s="4" t="n">
        <v>9.26</v>
      </c>
      <c r="R4" s="4">
        <f>G4*(L4/100)*(O4/100)</f>
        <v/>
      </c>
      <c r="S4" s="4">
        <f>G4*(K4/360/100)*J4*(O4/100)</f>
        <v/>
      </c>
      <c r="T4" s="4">
        <f>P4-R4+Q4-S4</f>
        <v/>
      </c>
    </row>
    <row r="5">
      <c r="A5" s="2" t="inlineStr">
        <is>
          <t>Diamante</t>
        </is>
      </c>
      <c r="B5" s="2" t="inlineStr">
        <is>
          <t>Blanco</t>
        </is>
      </c>
      <c r="C5" s="3" t="n">
        <v>46027</v>
      </c>
      <c r="D5" s="2" t="inlineStr">
        <is>
          <t>B09652862</t>
        </is>
      </c>
      <c r="E5" s="2" t="inlineStr">
        <is>
          <t>Telas Asociados S.L.</t>
        </is>
      </c>
      <c r="F5" s="2" t="n">
        <v>3855836</v>
      </c>
      <c r="G5" s="4" t="n">
        <v>788.96</v>
      </c>
      <c r="H5" s="3" t="n">
        <v>46004</v>
      </c>
      <c r="I5" s="3" t="n">
        <v>46087</v>
      </c>
      <c r="J5" s="2" t="n">
        <v>83</v>
      </c>
      <c r="K5" s="2" t="n">
        <v>6.41</v>
      </c>
      <c r="L5" s="2" t="n">
        <v>0.59</v>
      </c>
      <c r="M5" s="4" t="n">
        <v>4.65</v>
      </c>
      <c r="N5" s="4" t="n">
        <v>11.66</v>
      </c>
      <c r="O5" s="2" t="n">
        <v>30</v>
      </c>
      <c r="P5" s="4" t="n">
        <v>1.18</v>
      </c>
      <c r="Q5" s="4" t="n">
        <v>3.75</v>
      </c>
      <c r="R5" s="4">
        <f>G5*(L5/100)*(O5/100)</f>
        <v/>
      </c>
      <c r="S5" s="4">
        <f>G5*(K5/360/100)*J5*(O5/100)</f>
        <v/>
      </c>
      <c r="T5" s="4">
        <f>P5-R5+Q5-S5</f>
        <v/>
      </c>
    </row>
    <row r="6">
      <c r="A6" s="2" t="inlineStr">
        <is>
          <t>Diamante</t>
        </is>
      </c>
      <c r="B6" s="2" t="inlineStr">
        <is>
          <t>Blanco</t>
        </is>
      </c>
      <c r="C6" s="3" t="n">
        <v>46027</v>
      </c>
      <c r="D6" s="2" t="inlineStr">
        <is>
          <t>B09652862</t>
        </is>
      </c>
      <c r="E6" s="2" t="inlineStr">
        <is>
          <t>Telas Asociados S.L.</t>
        </is>
      </c>
      <c r="F6" s="2" t="n">
        <v>3976183</v>
      </c>
      <c r="G6" s="4" t="n">
        <v>249.12</v>
      </c>
      <c r="H6" s="3" t="n">
        <v>46003</v>
      </c>
      <c r="I6" s="3" t="n">
        <v>46082</v>
      </c>
      <c r="J6" s="2" t="n">
        <v>79</v>
      </c>
      <c r="K6" s="2" t="n">
        <v>3.65</v>
      </c>
      <c r="L6" s="2" t="n">
        <v>1.3</v>
      </c>
      <c r="M6" s="4" t="n">
        <v>3.24</v>
      </c>
      <c r="N6" s="4" t="n">
        <v>2</v>
      </c>
      <c r="O6" s="2" t="n">
        <v>30</v>
      </c>
      <c r="P6" s="4" t="n">
        <v>0.75</v>
      </c>
      <c r="Q6" s="4" t="n">
        <v>0.83</v>
      </c>
      <c r="R6" s="4">
        <f>G6*(L6/100)*(O6/100)</f>
        <v/>
      </c>
      <c r="S6" s="4">
        <f>G6*(K6/360/100)*J6*(O6/100)</f>
        <v/>
      </c>
      <c r="T6" s="4">
        <f>P6-R6+Q6-S6</f>
        <v/>
      </c>
    </row>
    <row r="7">
      <c r="A7" s="2" t="inlineStr">
        <is>
          <t>Diamante</t>
        </is>
      </c>
      <c r="B7" s="2" t="inlineStr">
        <is>
          <t>Blanco</t>
        </is>
      </c>
      <c r="C7" s="3" t="n">
        <v>46027</v>
      </c>
      <c r="D7" s="2" t="inlineStr">
        <is>
          <t>B09652862</t>
        </is>
      </c>
      <c r="E7" s="2" t="inlineStr">
        <is>
          <t>Telas Asociados S.L.</t>
        </is>
      </c>
      <c r="F7" s="2" t="n">
        <v>2396849</v>
      </c>
      <c r="G7" s="4" t="n">
        <v>9064.09</v>
      </c>
      <c r="H7" s="3" t="n">
        <v>46015</v>
      </c>
      <c r="I7" s="3" t="n">
        <v>46050</v>
      </c>
      <c r="J7" s="2" t="n">
        <v>35</v>
      </c>
      <c r="K7" s="2" t="n">
        <v>5.62</v>
      </c>
      <c r="L7" s="2" t="n">
        <v>1.25</v>
      </c>
      <c r="M7" s="4" t="n">
        <v>113.3</v>
      </c>
      <c r="N7" s="4" t="n">
        <v>49.53</v>
      </c>
      <c r="O7" s="2" t="n">
        <v>20</v>
      </c>
      <c r="P7" s="4" t="n">
        <v>22.83</v>
      </c>
      <c r="Q7" s="4" t="n">
        <v>10.09</v>
      </c>
      <c r="R7" s="4">
        <f>G7*(L7/100)*(O7/100)</f>
        <v/>
      </c>
      <c r="S7" s="4">
        <f>G7*(K7/360/100)*J7*(O7/100)</f>
        <v/>
      </c>
      <c r="T7" s="4">
        <f>P7-R7+Q7-S7</f>
        <v/>
      </c>
    </row>
    <row r="8">
      <c r="A8" s="2" t="inlineStr">
        <is>
          <t>Diamante</t>
        </is>
      </c>
      <c r="B8" s="2" t="inlineStr">
        <is>
          <t>Blanco</t>
        </is>
      </c>
      <c r="C8" s="3" t="n">
        <v>46027</v>
      </c>
      <c r="D8" s="2" t="inlineStr">
        <is>
          <t>B99439940</t>
        </is>
      </c>
      <c r="E8" s="2" t="inlineStr">
        <is>
          <t>Fondeos Diferenciados S.L.</t>
        </is>
      </c>
      <c r="F8" s="2" t="n">
        <v>4387384</v>
      </c>
      <c r="G8" s="4" t="n">
        <v>862.15</v>
      </c>
      <c r="H8" s="3" t="n">
        <v>45997</v>
      </c>
      <c r="I8" s="3" t="n">
        <v>46055</v>
      </c>
      <c r="J8" s="2" t="n">
        <v>58</v>
      </c>
      <c r="K8" s="2" t="n">
        <v>3.94</v>
      </c>
      <c r="L8" s="2" t="n">
        <v>0.73</v>
      </c>
      <c r="M8" s="4" t="n">
        <v>6.29</v>
      </c>
      <c r="N8" s="4" t="n">
        <v>5.47</v>
      </c>
      <c r="O8" s="2" t="n">
        <v>20</v>
      </c>
      <c r="P8" s="4" t="n">
        <v>1.16</v>
      </c>
      <c r="Q8" s="4" t="n">
        <v>1.35</v>
      </c>
      <c r="R8" s="4">
        <f>G8*(L8/100)*(O8/100)</f>
        <v/>
      </c>
      <c r="S8" s="4">
        <f>G8*(K8/360/100)*J8*(O8/100)</f>
        <v/>
      </c>
      <c r="T8" s="4">
        <f>P8-R8+Q8-S8</f>
        <v/>
      </c>
    </row>
    <row r="9">
      <c r="A9" s="2" t="inlineStr">
        <is>
          <t>Diamante</t>
        </is>
      </c>
      <c r="B9" s="2" t="inlineStr">
        <is>
          <t>Blanco</t>
        </is>
      </c>
      <c r="C9" s="3" t="n">
        <v>46027</v>
      </c>
      <c r="D9" s="2" t="inlineStr">
        <is>
          <t>B99439940</t>
        </is>
      </c>
      <c r="E9" s="2" t="inlineStr">
        <is>
          <t>Fondeos Diferenciados S.L.</t>
        </is>
      </c>
      <c r="F9" s="2" t="n">
        <v>1354097</v>
      </c>
      <c r="G9" s="4" t="n">
        <v>138.66</v>
      </c>
      <c r="H9" s="3" t="n">
        <v>46005</v>
      </c>
      <c r="I9" s="3" t="n">
        <v>46037</v>
      </c>
      <c r="J9" s="2" t="n">
        <v>32</v>
      </c>
      <c r="K9" s="2" t="n">
        <v>4.6</v>
      </c>
      <c r="L9" s="2" t="n">
        <v>1.89</v>
      </c>
      <c r="M9" s="4" t="n">
        <v>2.62</v>
      </c>
      <c r="N9" s="4" t="n">
        <v>0.57</v>
      </c>
      <c r="O9" s="2" t="n">
        <v>70</v>
      </c>
      <c r="P9" s="4" t="n">
        <v>1.58</v>
      </c>
      <c r="Q9" s="4" t="n">
        <v>0.15</v>
      </c>
      <c r="R9" s="4">
        <f>G9*(L9/100)*(O9/100)</f>
        <v/>
      </c>
      <c r="S9" s="4">
        <f>G9*(K9/360/100)*J9*(O9/100)</f>
        <v/>
      </c>
      <c r="T9" s="4">
        <f>P9-R9+Q9-S9</f>
        <v/>
      </c>
    </row>
    <row r="10">
      <c r="A10" s="2" t="inlineStr">
        <is>
          <t>Diamante</t>
        </is>
      </c>
      <c r="B10" s="2" t="inlineStr">
        <is>
          <t>Blanco</t>
        </is>
      </c>
      <c r="C10" s="3" t="n">
        <v>46027</v>
      </c>
      <c r="D10" s="2" t="inlineStr">
        <is>
          <t>B99439940</t>
        </is>
      </c>
      <c r="E10" s="2" t="inlineStr">
        <is>
          <t>Fondeos Diferenciados S.L.</t>
        </is>
      </c>
      <c r="F10" s="2" t="n">
        <v>4664861</v>
      </c>
      <c r="G10" s="4" t="n">
        <v>1007</v>
      </c>
      <c r="H10" s="3" t="n">
        <v>45998</v>
      </c>
      <c r="I10" s="3" t="n">
        <v>46070</v>
      </c>
      <c r="J10" s="2" t="n">
        <v>72</v>
      </c>
      <c r="K10" s="2" t="n">
        <v>3.88</v>
      </c>
      <c r="L10" s="2" t="n">
        <v>0.96</v>
      </c>
      <c r="M10" s="4" t="n">
        <v>9.67</v>
      </c>
      <c r="N10" s="4" t="n">
        <v>7.81</v>
      </c>
      <c r="O10" s="2" t="n">
        <v>30</v>
      </c>
      <c r="P10" s="4" t="n">
        <v>3.1</v>
      </c>
      <c r="Q10" s="4" t="n">
        <v>2.3</v>
      </c>
      <c r="R10" s="4">
        <f>G10*(L10/100)*(O10/100)</f>
        <v/>
      </c>
      <c r="S10" s="4">
        <f>G10*(K10/360/100)*J10*(O10/100)</f>
        <v/>
      </c>
      <c r="T10" s="4">
        <f>P10-R10+Q10-S10</f>
        <v/>
      </c>
    </row>
    <row r="11">
      <c r="A11" s="2" t="inlineStr">
        <is>
          <t>Diamante</t>
        </is>
      </c>
      <c r="B11" s="2" t="inlineStr">
        <is>
          <t>Blanco</t>
        </is>
      </c>
      <c r="C11" s="3" t="n">
        <v>46027</v>
      </c>
      <c r="D11" s="2" t="inlineStr">
        <is>
          <t>B04439065</t>
        </is>
      </c>
      <c r="E11" s="2" t="inlineStr">
        <is>
          <t>Etiquetas Contemporáneos S.L.</t>
        </is>
      </c>
      <c r="F11" s="2" t="n">
        <v>3593231</v>
      </c>
      <c r="G11" s="4" t="n">
        <v>8047.87</v>
      </c>
      <c r="H11" s="3" t="n">
        <v>46008</v>
      </c>
      <c r="I11" s="3" t="n">
        <v>46044</v>
      </c>
      <c r="J11" s="2" t="n">
        <v>36</v>
      </c>
      <c r="K11" s="2" t="n">
        <v>5.89</v>
      </c>
      <c r="L11" s="2" t="n">
        <v>0.93</v>
      </c>
      <c r="M11" s="4" t="n">
        <v>74.84999999999999</v>
      </c>
      <c r="N11" s="4" t="n">
        <v>47.4</v>
      </c>
      <c r="O11" s="2" t="n">
        <v>40</v>
      </c>
      <c r="P11" s="4" t="n">
        <v>30.2</v>
      </c>
      <c r="Q11" s="4" t="n">
        <v>18.85</v>
      </c>
      <c r="R11" s="4">
        <f>G11*(L11/100)*(O11/100)</f>
        <v/>
      </c>
      <c r="S11" s="4">
        <f>G11*(K11/360/100)*J11*(O11/100)</f>
        <v/>
      </c>
      <c r="T11" s="4">
        <f>P11-R11+Q11-S11</f>
        <v/>
      </c>
    </row>
    <row r="12">
      <c r="A12" s="2" t="inlineStr">
        <is>
          <t>Diamante</t>
        </is>
      </c>
      <c r="B12" s="2" t="inlineStr">
        <is>
          <t>Blanco</t>
        </is>
      </c>
      <c r="C12" s="3" t="n">
        <v>46027</v>
      </c>
      <c r="D12" s="2" t="inlineStr">
        <is>
          <t>B04439065</t>
        </is>
      </c>
      <c r="E12" s="2" t="inlineStr">
        <is>
          <t>Etiquetas Contemporáneos S.L.</t>
        </is>
      </c>
      <c r="F12" s="2" t="n">
        <v>4103380</v>
      </c>
      <c r="G12" s="4" t="n">
        <v>708.42</v>
      </c>
      <c r="H12" s="3" t="n">
        <v>46009</v>
      </c>
      <c r="I12" s="3" t="n">
        <v>46057</v>
      </c>
      <c r="J12" s="2" t="n">
        <v>48</v>
      </c>
      <c r="K12" s="2" t="n">
        <v>4.3</v>
      </c>
      <c r="L12" s="2" t="n">
        <v>0.84</v>
      </c>
      <c r="M12" s="4" t="n">
        <v>5.95</v>
      </c>
      <c r="N12" s="4" t="n">
        <v>4.06</v>
      </c>
      <c r="O12" s="2" t="n">
        <v>60</v>
      </c>
      <c r="P12" s="4" t="n">
        <v>3.76</v>
      </c>
      <c r="Q12" s="4" t="n">
        <v>2.48</v>
      </c>
      <c r="R12" s="4">
        <f>G12*(L12/100)*(O12/100)</f>
        <v/>
      </c>
      <c r="S12" s="4">
        <f>G12*(K12/360/100)*J12*(O12/100)</f>
        <v/>
      </c>
      <c r="T12" s="4">
        <f>P12-R12+Q12-S12</f>
        <v/>
      </c>
    </row>
    <row r="13">
      <c r="A13" s="2" t="inlineStr">
        <is>
          <t>Diamante</t>
        </is>
      </c>
      <c r="B13" s="2" t="inlineStr">
        <is>
          <t>Blanco</t>
        </is>
      </c>
      <c r="C13" s="3" t="n">
        <v>46027</v>
      </c>
      <c r="D13" s="2" t="inlineStr">
        <is>
          <t>A27472379</t>
        </is>
      </c>
      <c r="E13" s="2" t="inlineStr">
        <is>
          <t>Siliconas Biodegradables S.A.</t>
        </is>
      </c>
      <c r="F13" s="2" t="n">
        <v>1075525</v>
      </c>
      <c r="G13" s="4" t="n">
        <v>650.89</v>
      </c>
      <c r="H13" s="3" t="n">
        <v>46005</v>
      </c>
      <c r="I13" s="3" t="n">
        <v>46051</v>
      </c>
      <c r="J13" s="2" t="n">
        <v>46</v>
      </c>
      <c r="K13" s="2" t="n">
        <v>3.82</v>
      </c>
      <c r="L13" s="2" t="n">
        <v>0.5</v>
      </c>
      <c r="M13" s="4" t="n">
        <v>3.25</v>
      </c>
      <c r="N13" s="4" t="n">
        <v>3.18</v>
      </c>
      <c r="O13" s="2" t="n">
        <v>60</v>
      </c>
      <c r="P13" s="4" t="n">
        <v>1.9</v>
      </c>
      <c r="Q13" s="4" t="n">
        <v>2.06</v>
      </c>
      <c r="R13" s="4">
        <f>G13*(L13/100)*(O13/100)</f>
        <v/>
      </c>
      <c r="S13" s="4">
        <f>G13*(K13/360/100)*J13*(O13/100)</f>
        <v/>
      </c>
      <c r="T13" s="4">
        <f>P13-R13+Q13-S13</f>
        <v/>
      </c>
    </row>
    <row r="14">
      <c r="A14" s="2" t="inlineStr">
        <is>
          <t>Diamante</t>
        </is>
      </c>
      <c r="B14" s="2" t="inlineStr">
        <is>
          <t>Blanco</t>
        </is>
      </c>
      <c r="C14" s="3" t="n">
        <v>46027</v>
      </c>
      <c r="D14" s="2" t="inlineStr">
        <is>
          <t>A27472379</t>
        </is>
      </c>
      <c r="E14" s="2" t="inlineStr">
        <is>
          <t>Siliconas Biodegradables S.A.</t>
        </is>
      </c>
      <c r="F14" s="2" t="n">
        <v>4285311</v>
      </c>
      <c r="G14" s="4" t="n">
        <v>287.71</v>
      </c>
      <c r="H14" s="3" t="n">
        <v>46018</v>
      </c>
      <c r="I14" s="3" t="n">
        <v>46097</v>
      </c>
      <c r="J14" s="2" t="n">
        <v>79</v>
      </c>
      <c r="K14" s="2" t="n">
        <v>5.53</v>
      </c>
      <c r="L14" s="2" t="n">
        <v>1.58</v>
      </c>
      <c r="M14" s="4" t="n">
        <v>4.55</v>
      </c>
      <c r="N14" s="4" t="n">
        <v>3.49</v>
      </c>
      <c r="O14" s="2" t="n">
        <v>70</v>
      </c>
      <c r="P14" s="4" t="n">
        <v>3.25</v>
      </c>
      <c r="Q14" s="4" t="n">
        <v>2.15</v>
      </c>
      <c r="R14" s="4">
        <f>G14*(L14/100)*(O14/100)</f>
        <v/>
      </c>
      <c r="S14" s="4">
        <f>G14*(K14/360/100)*J14*(O14/100)</f>
        <v/>
      </c>
      <c r="T14" s="4">
        <f>P14-R14+Q14-S14</f>
        <v/>
      </c>
    </row>
    <row r="15">
      <c r="A15" s="2" t="inlineStr">
        <is>
          <t>Diamante</t>
        </is>
      </c>
      <c r="B15" s="2" t="inlineStr">
        <is>
          <t>Blanco</t>
        </is>
      </c>
      <c r="C15" s="3" t="n">
        <v>46027</v>
      </c>
      <c r="D15" s="2" t="inlineStr">
        <is>
          <t>A27472379</t>
        </is>
      </c>
      <c r="E15" s="2" t="inlineStr">
        <is>
          <t>Siliconas Biodegradables S.A.</t>
        </is>
      </c>
      <c r="F15" s="2" t="n">
        <v>3387295</v>
      </c>
      <c r="G15" s="4" t="n">
        <v>1072.79</v>
      </c>
      <c r="H15" s="3" t="n">
        <v>46001</v>
      </c>
      <c r="I15" s="3" t="n">
        <v>46057</v>
      </c>
      <c r="J15" s="2" t="n">
        <v>56</v>
      </c>
      <c r="K15" s="2" t="n">
        <v>4.74</v>
      </c>
      <c r="L15" s="2" t="n">
        <v>1.28</v>
      </c>
      <c r="M15" s="4" t="n">
        <v>13.73</v>
      </c>
      <c r="N15" s="4" t="n">
        <v>7.91</v>
      </c>
      <c r="O15" s="2" t="n">
        <v>20</v>
      </c>
      <c r="P15" s="4" t="n">
        <v>2.94</v>
      </c>
      <c r="Q15" s="4" t="n">
        <v>1.62</v>
      </c>
      <c r="R15" s="4">
        <f>G15*(L15/100)*(O15/100)</f>
        <v/>
      </c>
      <c r="S15" s="4">
        <f>G15*(K15/360/100)*J15*(O15/100)</f>
        <v/>
      </c>
      <c r="T15" s="4">
        <f>P15-R15+Q15-S15</f>
        <v/>
      </c>
    </row>
    <row r="16">
      <c r="A16" s="2" t="inlineStr">
        <is>
          <t>Diamante</t>
        </is>
      </c>
      <c r="B16" s="2" t="inlineStr">
        <is>
          <t>Blanco</t>
        </is>
      </c>
      <c r="C16" s="3" t="n">
        <v>46027</v>
      </c>
      <c r="D16" s="2" t="inlineStr">
        <is>
          <t>B19269355</t>
        </is>
      </c>
      <c r="E16" s="2" t="inlineStr">
        <is>
          <t>Paneles Mineralizados S.L.</t>
        </is>
      </c>
      <c r="F16" s="2" t="n">
        <v>4644559</v>
      </c>
      <c r="G16" s="4" t="n">
        <v>433.99</v>
      </c>
      <c r="H16" s="3" t="n">
        <v>46001</v>
      </c>
      <c r="I16" s="3" t="n">
        <v>46046</v>
      </c>
      <c r="J16" s="2" t="n">
        <v>45</v>
      </c>
      <c r="K16" s="2" t="n">
        <v>6.44</v>
      </c>
      <c r="L16" s="2" t="n">
        <v>1.63</v>
      </c>
      <c r="M16" s="4" t="n">
        <v>7.07</v>
      </c>
      <c r="N16" s="4" t="n">
        <v>3.49</v>
      </c>
      <c r="O16" s="2" t="n">
        <v>60</v>
      </c>
      <c r="P16" s="4" t="n">
        <v>4.15</v>
      </c>
      <c r="Q16" s="4" t="n">
        <v>1.95</v>
      </c>
      <c r="R16" s="4">
        <f>G16*(L16/100)*(O16/100)</f>
        <v/>
      </c>
      <c r="S16" s="4">
        <f>G16*(K16/360/100)*J16*(O16/100)</f>
        <v/>
      </c>
      <c r="T16" s="4">
        <f>P16-R16+Q16-S16</f>
        <v/>
      </c>
    </row>
    <row r="17">
      <c r="A17" s="2" t="inlineStr">
        <is>
          <t>Diamante</t>
        </is>
      </c>
      <c r="B17" s="2" t="inlineStr">
        <is>
          <t>Blanco</t>
        </is>
      </c>
      <c r="C17" s="3" t="n">
        <v>46027</v>
      </c>
      <c r="D17" s="2" t="inlineStr">
        <is>
          <t>B19269355</t>
        </is>
      </c>
      <c r="E17" s="2" t="inlineStr">
        <is>
          <t>Paneles Mineralizados S.L.</t>
        </is>
      </c>
      <c r="F17" s="2" t="n">
        <v>3225832</v>
      </c>
      <c r="G17" s="4" t="n">
        <v>959.52</v>
      </c>
      <c r="H17" s="3" t="n">
        <v>46013</v>
      </c>
      <c r="I17" s="3" t="n">
        <v>46088</v>
      </c>
      <c r="J17" s="2" t="n">
        <v>75</v>
      </c>
      <c r="K17" s="2" t="n">
        <v>6.6</v>
      </c>
      <c r="L17" s="2" t="n">
        <v>1.57</v>
      </c>
      <c r="M17" s="4" t="n">
        <v>15.06</v>
      </c>
      <c r="N17" s="4" t="n">
        <v>13.19</v>
      </c>
      <c r="O17" s="2" t="n">
        <v>50</v>
      </c>
      <c r="P17" s="4" t="n">
        <v>7.35</v>
      </c>
      <c r="Q17" s="4" t="n">
        <v>6.75</v>
      </c>
      <c r="R17" s="4">
        <f>G17*(L17/100)*(O17/100)</f>
        <v/>
      </c>
      <c r="S17" s="4">
        <f>G17*(K17/360/100)*J17*(O17/100)</f>
        <v/>
      </c>
      <c r="T17" s="4">
        <f>P17-R17+Q17-S17</f>
        <v/>
      </c>
    </row>
    <row r="18">
      <c r="A18" s="2" t="inlineStr">
        <is>
          <t>Diamante</t>
        </is>
      </c>
      <c r="B18" s="2" t="inlineStr">
        <is>
          <t>Blanco</t>
        </is>
      </c>
      <c r="C18" s="3" t="n">
        <v>46027</v>
      </c>
      <c r="D18" s="2" t="inlineStr">
        <is>
          <t>B19269355</t>
        </is>
      </c>
      <c r="E18" s="2" t="inlineStr">
        <is>
          <t>Paneles Mineralizados S.L.</t>
        </is>
      </c>
      <c r="F18" s="2" t="n">
        <v>3147046</v>
      </c>
      <c r="G18" s="4" t="n">
        <v>155.02</v>
      </c>
      <c r="H18" s="3" t="n">
        <v>46012</v>
      </c>
      <c r="I18" s="3" t="n">
        <v>46099</v>
      </c>
      <c r="J18" s="2" t="n">
        <v>87</v>
      </c>
      <c r="K18" s="2" t="n">
        <v>4.59</v>
      </c>
      <c r="L18" s="2" t="n">
        <v>1.49</v>
      </c>
      <c r="M18" s="4" t="n">
        <v>2.31</v>
      </c>
      <c r="N18" s="4" t="n">
        <v>1.72</v>
      </c>
      <c r="O18" s="2" t="n">
        <v>20</v>
      </c>
      <c r="P18" s="4" t="n">
        <v>0.64</v>
      </c>
      <c r="Q18" s="4" t="n">
        <v>0.45</v>
      </c>
      <c r="R18" s="4">
        <f>G18*(L18/100)*(O18/100)</f>
        <v/>
      </c>
      <c r="S18" s="4">
        <f>G18*(K18/360/100)*J18*(O18/100)</f>
        <v/>
      </c>
      <c r="T18" s="4">
        <f>P18-R18+Q18-S18</f>
        <v/>
      </c>
    </row>
    <row r="19">
      <c r="A19" s="2" t="inlineStr">
        <is>
          <t>Diamante</t>
        </is>
      </c>
      <c r="B19" s="2" t="inlineStr">
        <is>
          <t>Blanco</t>
        </is>
      </c>
      <c r="C19" s="3" t="n">
        <v>46027</v>
      </c>
      <c r="D19" s="2" t="inlineStr">
        <is>
          <t>A46903243</t>
        </is>
      </c>
      <c r="E19" s="2" t="inlineStr">
        <is>
          <t>Manipulaciones Líderes S.A.</t>
        </is>
      </c>
      <c r="F19" s="2" t="n">
        <v>4994189</v>
      </c>
      <c r="G19" s="4" t="n">
        <v>8163.68</v>
      </c>
      <c r="H19" s="3" t="n">
        <v>46018</v>
      </c>
      <c r="I19" s="3" t="n">
        <v>46061</v>
      </c>
      <c r="J19" s="2" t="n">
        <v>43</v>
      </c>
      <c r="K19" s="2" t="n">
        <v>4.42</v>
      </c>
      <c r="L19" s="2" t="n">
        <v>1.2</v>
      </c>
      <c r="M19" s="4" t="n">
        <v>97.95999999999999</v>
      </c>
      <c r="N19" s="4" t="n">
        <v>43.1</v>
      </c>
      <c r="O19" s="2" t="n">
        <v>70</v>
      </c>
      <c r="P19" s="4" t="n">
        <v>68.78</v>
      </c>
      <c r="Q19" s="4" t="n">
        <v>30.12</v>
      </c>
      <c r="R19" s="4">
        <f>G19*(L19/100)*(O19/100)</f>
        <v/>
      </c>
      <c r="S19" s="4">
        <f>G19*(K19/360/100)*J19*(O19/100)</f>
        <v/>
      </c>
      <c r="T19" s="4">
        <f>P19-R19+Q19-S19</f>
        <v/>
      </c>
    </row>
    <row r="20">
      <c r="A20" s="2" t="inlineStr">
        <is>
          <t>Diamante</t>
        </is>
      </c>
      <c r="B20" s="2" t="inlineStr">
        <is>
          <t>Blanco</t>
        </is>
      </c>
      <c r="C20" s="3" t="n">
        <v>46027</v>
      </c>
      <c r="D20" s="2" t="inlineStr">
        <is>
          <t>A46903243</t>
        </is>
      </c>
      <c r="E20" s="2" t="inlineStr">
        <is>
          <t>Manipulaciones Líderes S.A.</t>
        </is>
      </c>
      <c r="F20" s="2" t="n">
        <v>4469631</v>
      </c>
      <c r="G20" s="4" t="n">
        <v>854.9299999999999</v>
      </c>
      <c r="H20" s="3" t="n">
        <v>45992</v>
      </c>
      <c r="I20" s="3" t="n">
        <v>46022</v>
      </c>
      <c r="J20" s="2" t="n">
        <v>30</v>
      </c>
      <c r="K20" s="2" t="n">
        <v>5.76</v>
      </c>
      <c r="L20" s="2" t="n">
        <v>0.76</v>
      </c>
      <c r="M20" s="4" t="n">
        <v>6.5</v>
      </c>
      <c r="N20" s="4" t="n">
        <v>4.1</v>
      </c>
      <c r="O20" s="2" t="n">
        <v>50</v>
      </c>
      <c r="P20" s="4" t="n">
        <v>3.09</v>
      </c>
      <c r="Q20" s="4" t="n">
        <v>2.01</v>
      </c>
      <c r="R20" s="4">
        <f>G20*(L20/100)*(O20/100)</f>
        <v/>
      </c>
      <c r="S20" s="4">
        <f>G20*(K20/360/100)*J20*(O20/100)</f>
        <v/>
      </c>
      <c r="T20" s="4">
        <f>P20-R20+Q20-S20</f>
        <v/>
      </c>
    </row>
    <row r="21">
      <c r="A21" s="2" t="inlineStr">
        <is>
          <t>Diamante</t>
        </is>
      </c>
      <c r="B21" s="2" t="inlineStr">
        <is>
          <t>Blanco</t>
        </is>
      </c>
      <c r="C21" s="3" t="n">
        <v>46027</v>
      </c>
      <c r="D21" s="2" t="inlineStr">
        <is>
          <t>A02265641</t>
        </is>
      </c>
      <c r="E21" s="2" t="inlineStr">
        <is>
          <t>Yesos Dinámicos S.A.</t>
        </is>
      </c>
      <c r="F21" s="2" t="n">
        <v>3787908</v>
      </c>
      <c r="G21" s="4" t="n">
        <v>723.53</v>
      </c>
      <c r="H21" s="3" t="n">
        <v>46005</v>
      </c>
      <c r="I21" s="3" t="n">
        <v>46064</v>
      </c>
      <c r="J21" s="2" t="n">
        <v>59</v>
      </c>
      <c r="K21" s="2" t="n">
        <v>3.85</v>
      </c>
      <c r="L21" s="2" t="n">
        <v>1.78</v>
      </c>
      <c r="M21" s="4" t="n">
        <v>12.88</v>
      </c>
      <c r="N21" s="4" t="n">
        <v>4.57</v>
      </c>
      <c r="O21" s="2" t="n">
        <v>40</v>
      </c>
      <c r="P21" s="4" t="n">
        <v>5.28</v>
      </c>
      <c r="Q21" s="4" t="n">
        <v>1.56</v>
      </c>
      <c r="R21" s="4">
        <f>G21*(L21/100)*(O21/100)</f>
        <v/>
      </c>
      <c r="S21" s="4">
        <f>G21*(K21/360/100)*J21*(O21/100)</f>
        <v/>
      </c>
      <c r="T21" s="4">
        <f>P21-R21+Q21-S21</f>
        <v/>
      </c>
    </row>
    <row r="22">
      <c r="A22" s="2" t="inlineStr">
        <is>
          <t>Diamante</t>
        </is>
      </c>
      <c r="B22" s="2" t="inlineStr">
        <is>
          <t>Blanco</t>
        </is>
      </c>
      <c r="C22" s="3" t="n">
        <v>46027</v>
      </c>
      <c r="D22" s="2" t="inlineStr">
        <is>
          <t>A02265641</t>
        </is>
      </c>
      <c r="E22" s="2" t="inlineStr">
        <is>
          <t>Yesos Dinámicos S.A.</t>
        </is>
      </c>
      <c r="F22" s="2" t="n">
        <v>3855071</v>
      </c>
      <c r="G22" s="4" t="n">
        <v>6847.84</v>
      </c>
      <c r="H22" s="3" t="n">
        <v>46000</v>
      </c>
      <c r="I22" s="3" t="n">
        <v>46073</v>
      </c>
      <c r="J22" s="2" t="n">
        <v>73</v>
      </c>
      <c r="K22" s="2" t="n">
        <v>6.53</v>
      </c>
      <c r="L22" s="2" t="n">
        <v>1.33</v>
      </c>
      <c r="M22" s="4" t="n">
        <v>91.08</v>
      </c>
      <c r="N22" s="4" t="n">
        <v>90.67</v>
      </c>
      <c r="O22" s="2" t="n">
        <v>40</v>
      </c>
      <c r="P22" s="4" t="n">
        <v>36.37</v>
      </c>
      <c r="Q22" s="4" t="n">
        <v>36.3</v>
      </c>
      <c r="R22" s="4">
        <f>G22*(L22/100)*(O22/100)</f>
        <v/>
      </c>
      <c r="S22" s="4">
        <f>G22*(K22/360/100)*J22*(O22/100)</f>
        <v/>
      </c>
      <c r="T22" s="4">
        <f>P22-R22+Q22-S22</f>
        <v/>
      </c>
    </row>
    <row r="23">
      <c r="A23" s="2" t="inlineStr">
        <is>
          <t>Diamante</t>
        </is>
      </c>
      <c r="B23" s="2" t="inlineStr">
        <is>
          <t>Blanco</t>
        </is>
      </c>
      <c r="C23" s="3" t="n">
        <v>46027</v>
      </c>
      <c r="D23" s="2" t="inlineStr">
        <is>
          <t>A02265641</t>
        </is>
      </c>
      <c r="E23" s="2" t="inlineStr">
        <is>
          <t>Yesos Dinámicos S.A.</t>
        </is>
      </c>
      <c r="F23" s="2" t="n">
        <v>1612502</v>
      </c>
      <c r="G23" s="4" t="n">
        <v>9680.85</v>
      </c>
      <c r="H23" s="3" t="n">
        <v>46015</v>
      </c>
      <c r="I23" s="3" t="n">
        <v>46047</v>
      </c>
      <c r="J23" s="2" t="n">
        <v>32</v>
      </c>
      <c r="K23" s="2" t="n">
        <v>4.94</v>
      </c>
      <c r="L23" s="2" t="n">
        <v>0.67</v>
      </c>
      <c r="M23" s="4" t="n">
        <v>64.86</v>
      </c>
      <c r="N23" s="4" t="n">
        <v>42.51</v>
      </c>
      <c r="O23" s="2" t="n">
        <v>40</v>
      </c>
      <c r="P23" s="4" t="n">
        <v>25.93</v>
      </c>
      <c r="Q23" s="4" t="n">
        <v>16.95</v>
      </c>
      <c r="R23" s="4">
        <f>G23*(L23/100)*(O23/100)</f>
        <v/>
      </c>
      <c r="S23" s="4">
        <f>G23*(K23/360/100)*J23*(O23/100)</f>
        <v/>
      </c>
      <c r="T23" s="4">
        <f>P23-R23+Q23-S23</f>
        <v/>
      </c>
    </row>
    <row r="24">
      <c r="A24" s="2" t="inlineStr">
        <is>
          <t>Diamante</t>
        </is>
      </c>
      <c r="B24" s="2" t="inlineStr">
        <is>
          <t>Blanco</t>
        </is>
      </c>
      <c r="C24" s="3" t="n">
        <v>46027</v>
      </c>
      <c r="D24" s="2" t="inlineStr">
        <is>
          <t>B89044566</t>
        </is>
      </c>
      <c r="E24" s="2" t="inlineStr">
        <is>
          <t>Matrices Castellanos S.L.</t>
        </is>
      </c>
      <c r="F24" s="2" t="n">
        <v>3430765</v>
      </c>
      <c r="G24" s="4" t="n">
        <v>458.36</v>
      </c>
      <c r="H24" s="3" t="n">
        <v>46003</v>
      </c>
      <c r="I24" s="3" t="n">
        <v>46056</v>
      </c>
      <c r="J24" s="2" t="n">
        <v>53</v>
      </c>
      <c r="K24" s="2" t="n">
        <v>4.16</v>
      </c>
      <c r="L24" s="2" t="n">
        <v>1.78</v>
      </c>
      <c r="M24" s="4" t="n">
        <v>8.16</v>
      </c>
      <c r="N24" s="4" t="n">
        <v>2.81</v>
      </c>
      <c r="O24" s="2" t="n">
        <v>30</v>
      </c>
      <c r="P24" s="4" t="n">
        <v>2.4</v>
      </c>
      <c r="Q24" s="4" t="n">
        <v>0.88</v>
      </c>
      <c r="R24" s="4">
        <f>G24*(L24/100)*(O24/100)</f>
        <v/>
      </c>
      <c r="S24" s="4">
        <f>G24*(K24/360/100)*J24*(O24/100)</f>
        <v/>
      </c>
      <c r="T24" s="4">
        <f>P24-R24+Q24-S24</f>
        <v/>
      </c>
    </row>
    <row r="25">
      <c r="A25" s="2" t="inlineStr">
        <is>
          <t>Diamante</t>
        </is>
      </c>
      <c r="B25" s="2" t="inlineStr">
        <is>
          <t>Blanco</t>
        </is>
      </c>
      <c r="C25" s="3" t="n">
        <v>46027</v>
      </c>
      <c r="D25" s="2" t="inlineStr">
        <is>
          <t>B89044566</t>
        </is>
      </c>
      <c r="E25" s="2" t="inlineStr">
        <is>
          <t>Matrices Castellanos S.L.</t>
        </is>
      </c>
      <c r="F25" s="2" t="n">
        <v>4032617</v>
      </c>
      <c r="G25" s="4" t="n">
        <v>4006.47</v>
      </c>
      <c r="H25" s="3" t="n">
        <v>46009</v>
      </c>
      <c r="I25" s="3" t="n">
        <v>46066</v>
      </c>
      <c r="J25" s="2" t="n">
        <v>57</v>
      </c>
      <c r="K25" s="2" t="n">
        <v>5.17</v>
      </c>
      <c r="L25" s="2" t="n">
        <v>1.76</v>
      </c>
      <c r="M25" s="4" t="n">
        <v>70.51000000000001</v>
      </c>
      <c r="N25" s="4" t="n">
        <v>32.8</v>
      </c>
      <c r="O25" s="2" t="n">
        <v>40</v>
      </c>
      <c r="P25" s="4" t="n">
        <v>28.24</v>
      </c>
      <c r="Q25" s="4" t="n">
        <v>13.17</v>
      </c>
      <c r="R25" s="4">
        <f>G25*(L25/100)*(O25/100)</f>
        <v/>
      </c>
      <c r="S25" s="4">
        <f>G25*(K25/360/100)*J25*(O25/100)</f>
        <v/>
      </c>
      <c r="T25" s="4">
        <f>P25-R25+Q25-S25</f>
        <v/>
      </c>
    </row>
    <row r="26">
      <c r="A26" s="2" t="inlineStr">
        <is>
          <t>Diamante</t>
        </is>
      </c>
      <c r="B26" s="2" t="inlineStr">
        <is>
          <t>Blanco</t>
        </is>
      </c>
      <c r="C26" s="3" t="n">
        <v>46027</v>
      </c>
      <c r="D26" s="2" t="inlineStr">
        <is>
          <t>B89044566</t>
        </is>
      </c>
      <c r="E26" s="2" t="inlineStr">
        <is>
          <t>Matrices Castellanos S.L.</t>
        </is>
      </c>
      <c r="F26" s="2" t="n">
        <v>3418552</v>
      </c>
      <c r="G26" s="4" t="n">
        <v>193.37</v>
      </c>
      <c r="H26" s="3" t="n">
        <v>46012</v>
      </c>
      <c r="I26" s="3" t="n">
        <v>46065</v>
      </c>
      <c r="J26" s="2" t="n">
        <v>53</v>
      </c>
      <c r="K26" s="2" t="n">
        <v>3.87</v>
      </c>
      <c r="L26" s="2" t="n">
        <v>1.67</v>
      </c>
      <c r="M26" s="4" t="n">
        <v>3.23</v>
      </c>
      <c r="N26" s="4" t="n">
        <v>1.1</v>
      </c>
      <c r="O26" s="2" t="n">
        <v>20</v>
      </c>
      <c r="P26" s="4" t="n">
        <v>0.91</v>
      </c>
      <c r="Q26" s="4" t="n">
        <v>0.48</v>
      </c>
      <c r="R26" s="4">
        <f>G26*(L26/100)*(O26/100)</f>
        <v/>
      </c>
      <c r="S26" s="4">
        <f>G26*(K26/360/100)*J26*(O26/100)</f>
        <v/>
      </c>
      <c r="T26" s="4">
        <f>P26-R26+Q26-S26</f>
        <v/>
      </c>
    </row>
    <row r="27">
      <c r="A27" s="2" t="inlineStr">
        <is>
          <t>Diamante</t>
        </is>
      </c>
      <c r="B27" s="2" t="inlineStr">
        <is>
          <t>Blanco</t>
        </is>
      </c>
      <c r="C27" s="3" t="n">
        <v>46027</v>
      </c>
      <c r="D27" s="2" t="inlineStr">
        <is>
          <t>A48764075</t>
        </is>
      </c>
      <c r="E27" s="2" t="inlineStr">
        <is>
          <t>Aditivos Fluviales S.A.</t>
        </is>
      </c>
      <c r="F27" s="2" t="n">
        <v>2946617</v>
      </c>
      <c r="G27" s="4" t="n">
        <v>9919.42</v>
      </c>
      <c r="H27" s="3" t="n">
        <v>46006</v>
      </c>
      <c r="I27" s="3" t="n">
        <v>46075</v>
      </c>
      <c r="J27" s="2" t="n">
        <v>69</v>
      </c>
      <c r="K27" s="2" t="n">
        <v>3.82</v>
      </c>
      <c r="L27" s="2" t="n">
        <v>1.58</v>
      </c>
      <c r="M27" s="4" t="n">
        <v>156.73</v>
      </c>
      <c r="N27" s="4" t="n">
        <v>72.63</v>
      </c>
      <c r="O27" s="2" t="n">
        <v>70</v>
      </c>
      <c r="P27" s="4" t="n">
        <v>109.65</v>
      </c>
      <c r="Q27" s="4" t="n">
        <v>51.12</v>
      </c>
      <c r="R27" s="4">
        <f>G27*(L27/100)*(O27/100)</f>
        <v/>
      </c>
      <c r="S27" s="4">
        <f>G27*(K27/360/100)*J27*(O27/100)</f>
        <v/>
      </c>
      <c r="T27" s="4">
        <f>P27-R27+Q27-S27</f>
        <v/>
      </c>
    </row>
    <row r="28">
      <c r="A28" s="2" t="inlineStr">
        <is>
          <t>Diamante</t>
        </is>
      </c>
      <c r="B28" s="2" t="inlineStr">
        <is>
          <t>Blanco</t>
        </is>
      </c>
      <c r="C28" s="3" t="n">
        <v>46027</v>
      </c>
      <c r="D28" s="2" t="inlineStr">
        <is>
          <t>A48764075</t>
        </is>
      </c>
      <c r="E28" s="2" t="inlineStr">
        <is>
          <t>Aditivos Fluviales S.A.</t>
        </is>
      </c>
      <c r="F28" s="2" t="n">
        <v>1392616</v>
      </c>
      <c r="G28" s="4" t="n">
        <v>942.5</v>
      </c>
      <c r="H28" s="3" t="n">
        <v>46013</v>
      </c>
      <c r="I28" s="3" t="n">
        <v>46102</v>
      </c>
      <c r="J28" s="2" t="n">
        <v>89</v>
      </c>
      <c r="K28" s="2" t="n">
        <v>5.3</v>
      </c>
      <c r="L28" s="2" t="n">
        <v>1.3</v>
      </c>
      <c r="M28" s="4" t="n">
        <v>12.25</v>
      </c>
      <c r="N28" s="4" t="n">
        <v>12.35</v>
      </c>
      <c r="O28" s="2" t="n">
        <v>50</v>
      </c>
      <c r="P28" s="4" t="n">
        <v>6.33</v>
      </c>
      <c r="Q28" s="4" t="n">
        <v>6.02</v>
      </c>
      <c r="R28" s="4">
        <f>G28*(L28/100)*(O28/100)</f>
        <v/>
      </c>
      <c r="S28" s="4">
        <f>G28*(K28/360/100)*J28*(O28/100)</f>
        <v/>
      </c>
      <c r="T28" s="4">
        <f>P28-R28+Q28-S28</f>
        <v/>
      </c>
    </row>
    <row r="29">
      <c r="A29" s="2" t="inlineStr">
        <is>
          <t>Diamante</t>
        </is>
      </c>
      <c r="B29" s="2" t="inlineStr">
        <is>
          <t>Blanco</t>
        </is>
      </c>
      <c r="C29" s="3" t="n">
        <v>46027</v>
      </c>
      <c r="D29" s="2" t="inlineStr">
        <is>
          <t>A33377985</t>
        </is>
      </c>
      <c r="E29" s="2" t="inlineStr">
        <is>
          <t>Entarimados Modulados S.A.</t>
        </is>
      </c>
      <c r="F29" s="2" t="n">
        <v>4520579</v>
      </c>
      <c r="G29" s="4" t="n">
        <v>701.73</v>
      </c>
      <c r="H29" s="3" t="n">
        <v>46016</v>
      </c>
      <c r="I29" s="3" t="n">
        <v>46085</v>
      </c>
      <c r="J29" s="2" t="n">
        <v>69</v>
      </c>
      <c r="K29" s="2" t="n">
        <v>3.97</v>
      </c>
      <c r="L29" s="2" t="n">
        <v>1.78</v>
      </c>
      <c r="M29" s="4" t="n">
        <v>12.49</v>
      </c>
      <c r="N29" s="4" t="n">
        <v>5.34</v>
      </c>
      <c r="O29" s="2" t="n">
        <v>20</v>
      </c>
      <c r="P29" s="4" t="n">
        <v>2.69</v>
      </c>
      <c r="Q29" s="4" t="n">
        <v>1.35</v>
      </c>
      <c r="R29" s="4">
        <f>G29*(L29/100)*(O29/100)</f>
        <v/>
      </c>
      <c r="S29" s="4">
        <f>G29*(K29/360/100)*J29*(O29/100)</f>
        <v/>
      </c>
      <c r="T29" s="4">
        <f>P29-R29+Q29-S29</f>
        <v/>
      </c>
    </row>
    <row r="30">
      <c r="A30" s="2" t="inlineStr">
        <is>
          <t>Diamante</t>
        </is>
      </c>
      <c r="B30" s="2" t="inlineStr">
        <is>
          <t>Blanco</t>
        </is>
      </c>
      <c r="C30" s="3" t="n">
        <v>46027</v>
      </c>
      <c r="D30" s="2" t="inlineStr">
        <is>
          <t>A33377985</t>
        </is>
      </c>
      <c r="E30" s="2" t="inlineStr">
        <is>
          <t>Entarimados Modulados S.A.</t>
        </is>
      </c>
      <c r="F30" s="2" t="n">
        <v>1065762</v>
      </c>
      <c r="G30" s="4" t="n">
        <v>233.85</v>
      </c>
      <c r="H30" s="3" t="n">
        <v>45996</v>
      </c>
      <c r="I30" s="3" t="n">
        <v>46068</v>
      </c>
      <c r="J30" s="2" t="n">
        <v>72</v>
      </c>
      <c r="K30" s="2" t="n">
        <v>5.6</v>
      </c>
      <c r="L30" s="2" t="n">
        <v>0.9</v>
      </c>
      <c r="M30" s="4" t="n">
        <v>2.1</v>
      </c>
      <c r="N30" s="4" t="n">
        <v>2.62</v>
      </c>
      <c r="O30" s="2" t="n">
        <v>60</v>
      </c>
      <c r="P30" s="4" t="n">
        <v>0.98</v>
      </c>
      <c r="Q30" s="4" t="n">
        <v>1.59</v>
      </c>
      <c r="R30" s="4">
        <f>G30*(L30/100)*(O30/100)</f>
        <v/>
      </c>
      <c r="S30" s="4">
        <f>G30*(K30/360/100)*J30*(O30/100)</f>
        <v/>
      </c>
      <c r="T30" s="4">
        <f>P30-R30+Q30-S30</f>
        <v/>
      </c>
    </row>
    <row r="31">
      <c r="A31" s="2" t="inlineStr">
        <is>
          <t>Diamante</t>
        </is>
      </c>
      <c r="B31" s="2" t="inlineStr">
        <is>
          <t>Blanco</t>
        </is>
      </c>
      <c r="C31" s="3" t="n">
        <v>46027</v>
      </c>
      <c r="D31" s="2" t="inlineStr">
        <is>
          <t>A38371798</t>
        </is>
      </c>
      <c r="E31" s="2" t="inlineStr">
        <is>
          <t>Latones Estandarizados S.A.</t>
        </is>
      </c>
      <c r="F31" s="2" t="n">
        <v>3888580</v>
      </c>
      <c r="G31" s="4" t="n">
        <v>2870.9</v>
      </c>
      <c r="H31" s="3" t="n">
        <v>45999</v>
      </c>
      <c r="I31" s="3" t="n">
        <v>46074</v>
      </c>
      <c r="J31" s="2" t="n">
        <v>75</v>
      </c>
      <c r="K31" s="2" t="n">
        <v>4.57</v>
      </c>
      <c r="L31" s="2" t="n">
        <v>1.95</v>
      </c>
      <c r="M31" s="4" t="n">
        <v>55.98</v>
      </c>
      <c r="N31" s="4" t="n">
        <v>27.33</v>
      </c>
      <c r="O31" s="2" t="n">
        <v>60</v>
      </c>
      <c r="P31" s="4" t="n">
        <v>33.39</v>
      </c>
      <c r="Q31" s="4" t="n">
        <v>16.14</v>
      </c>
      <c r="R31" s="4">
        <f>G31*(L31/100)*(O31/100)</f>
        <v/>
      </c>
      <c r="S31" s="4">
        <f>G31*(K31/360/100)*J31*(O31/100)</f>
        <v/>
      </c>
      <c r="T31" s="4">
        <f>P31-R31+Q31-S31</f>
        <v/>
      </c>
    </row>
    <row r="32">
      <c r="A32" s="2" t="inlineStr">
        <is>
          <t>Diamante</t>
        </is>
      </c>
      <c r="B32" s="2" t="inlineStr">
        <is>
          <t>Blanco</t>
        </is>
      </c>
      <c r="C32" s="3" t="n">
        <v>46027</v>
      </c>
      <c r="D32" s="2" t="inlineStr">
        <is>
          <t>A38371798</t>
        </is>
      </c>
      <c r="E32" s="2" t="inlineStr">
        <is>
          <t>Latones Estandarizados S.A.</t>
        </is>
      </c>
      <c r="F32" s="2" t="n">
        <v>2537198</v>
      </c>
      <c r="G32" s="4" t="n">
        <v>600.83</v>
      </c>
      <c r="H32" s="3" t="n">
        <v>45993</v>
      </c>
      <c r="I32" s="3" t="n">
        <v>46082</v>
      </c>
      <c r="J32" s="2" t="n">
        <v>89</v>
      </c>
      <c r="K32" s="2" t="n">
        <v>6.1</v>
      </c>
      <c r="L32" s="2" t="n">
        <v>0.72</v>
      </c>
      <c r="M32" s="4" t="n">
        <v>4.33</v>
      </c>
      <c r="N32" s="4" t="n">
        <v>9.06</v>
      </c>
      <c r="O32" s="2" t="n">
        <v>60</v>
      </c>
      <c r="P32" s="4" t="n">
        <v>2.63</v>
      </c>
      <c r="Q32" s="4" t="n">
        <v>5.52</v>
      </c>
      <c r="R32" s="4">
        <f>G32*(L32/100)*(O32/100)</f>
        <v/>
      </c>
      <c r="S32" s="4">
        <f>G32*(K32/360/100)*J32*(O32/100)</f>
        <v/>
      </c>
      <c r="T32" s="4">
        <f>P32-R32+Q32-S32</f>
        <v/>
      </c>
    </row>
    <row r="33">
      <c r="A33" s="2" t="inlineStr">
        <is>
          <t>Diamante</t>
        </is>
      </c>
      <c r="B33" s="2" t="inlineStr">
        <is>
          <t>Blanco</t>
        </is>
      </c>
      <c r="C33" s="3" t="n">
        <v>46027</v>
      </c>
      <c r="D33" s="2" t="inlineStr">
        <is>
          <t>A38371798</t>
        </is>
      </c>
      <c r="E33" s="2" t="inlineStr">
        <is>
          <t>Latones Estandarizados S.A.</t>
        </is>
      </c>
      <c r="F33" s="2" t="n">
        <v>2839242</v>
      </c>
      <c r="G33" s="4" t="n">
        <v>336.2</v>
      </c>
      <c r="H33" s="3" t="n">
        <v>46004</v>
      </c>
      <c r="I33" s="3" t="n">
        <v>46046</v>
      </c>
      <c r="J33" s="2" t="n">
        <v>42</v>
      </c>
      <c r="K33" s="2" t="n">
        <v>6.06</v>
      </c>
      <c r="L33" s="2" t="n">
        <v>0.64</v>
      </c>
      <c r="M33" s="4" t="n">
        <v>2.15</v>
      </c>
      <c r="N33" s="4" t="n">
        <v>2.38</v>
      </c>
      <c r="O33" s="2" t="n">
        <v>30</v>
      </c>
      <c r="P33" s="4" t="n">
        <v>0.76</v>
      </c>
      <c r="Q33" s="4" t="n">
        <v>0.5</v>
      </c>
      <c r="R33" s="4">
        <f>G33*(L33/100)*(O33/100)</f>
        <v/>
      </c>
      <c r="S33" s="4">
        <f>G33*(K33/360/100)*J33*(O33/100)</f>
        <v/>
      </c>
      <c r="T33" s="4">
        <f>P33-R33+Q33-S33</f>
        <v/>
      </c>
    </row>
    <row r="34">
      <c r="A34" s="2" t="inlineStr">
        <is>
          <t>Diamante</t>
        </is>
      </c>
      <c r="B34" s="2" t="inlineStr">
        <is>
          <t>Blanco</t>
        </is>
      </c>
      <c r="C34" s="3" t="n">
        <v>46027</v>
      </c>
      <c r="D34" s="2" t="inlineStr">
        <is>
          <t>B77143444</t>
        </is>
      </c>
      <c r="E34" s="2" t="inlineStr">
        <is>
          <t>Ladrillos Combinados S.L.</t>
        </is>
      </c>
      <c r="F34" s="2" t="n">
        <v>3345658</v>
      </c>
      <c r="G34" s="4" t="n">
        <v>4526.03</v>
      </c>
      <c r="H34" s="3" t="n">
        <v>46000</v>
      </c>
      <c r="I34" s="3" t="n">
        <v>46055</v>
      </c>
      <c r="J34" s="2" t="n">
        <v>55</v>
      </c>
      <c r="K34" s="2" t="n">
        <v>4.89</v>
      </c>
      <c r="L34" s="2" t="n">
        <v>0.97</v>
      </c>
      <c r="M34" s="4" t="n">
        <v>43.9</v>
      </c>
      <c r="N34" s="4" t="n">
        <v>33.81</v>
      </c>
      <c r="O34" s="2" t="n">
        <v>70</v>
      </c>
      <c r="P34" s="4" t="n">
        <v>31</v>
      </c>
      <c r="Q34" s="4" t="n">
        <v>23.65</v>
      </c>
      <c r="R34" s="4">
        <f>G34*(L34/100)*(O34/100)</f>
        <v/>
      </c>
      <c r="S34" s="4">
        <f>G34*(K34/360/100)*J34*(O34/100)</f>
        <v/>
      </c>
      <c r="T34" s="4">
        <f>P34-R34+Q34-S34</f>
        <v/>
      </c>
    </row>
    <row r="35">
      <c r="A35" s="2" t="inlineStr">
        <is>
          <t>Diamante</t>
        </is>
      </c>
      <c r="B35" s="2" t="inlineStr">
        <is>
          <t>Blanco</t>
        </is>
      </c>
      <c r="C35" s="3" t="n">
        <v>46027</v>
      </c>
      <c r="D35" s="2" t="inlineStr">
        <is>
          <t>B77143444</t>
        </is>
      </c>
      <c r="E35" s="2" t="inlineStr">
        <is>
          <t>Ladrillos Combinados S.L.</t>
        </is>
      </c>
      <c r="F35" s="2" t="n">
        <v>4467364</v>
      </c>
      <c r="G35" s="4" t="n">
        <v>7813.96</v>
      </c>
      <c r="H35" s="3" t="n">
        <v>46003</v>
      </c>
      <c r="I35" s="3" t="n">
        <v>46061</v>
      </c>
      <c r="J35" s="2" t="n">
        <v>58</v>
      </c>
      <c r="K35" s="2" t="n">
        <v>6.21</v>
      </c>
      <c r="L35" s="2" t="n">
        <v>0.57</v>
      </c>
      <c r="M35" s="4" t="n">
        <v>44.54</v>
      </c>
      <c r="N35" s="4" t="n">
        <v>78.18000000000001</v>
      </c>
      <c r="O35" s="2" t="n">
        <v>60</v>
      </c>
      <c r="P35" s="4" t="n">
        <v>27.02</v>
      </c>
      <c r="Q35" s="4" t="n">
        <v>47.21</v>
      </c>
      <c r="R35" s="4">
        <f>G35*(L35/100)*(O35/100)</f>
        <v/>
      </c>
      <c r="S35" s="4">
        <f>G35*(K35/360/100)*J35*(O35/100)</f>
        <v/>
      </c>
      <c r="T35" s="4">
        <f>P35-R35+Q35-S35</f>
        <v/>
      </c>
    </row>
    <row r="36">
      <c r="A36" s="2" t="inlineStr">
        <is>
          <t>Diamante</t>
        </is>
      </c>
      <c r="B36" s="2" t="inlineStr">
        <is>
          <t>Blanco</t>
        </is>
      </c>
      <c r="C36" s="3" t="n">
        <v>46027</v>
      </c>
      <c r="D36" s="2" t="inlineStr">
        <is>
          <t>B77143444</t>
        </is>
      </c>
      <c r="E36" s="2" t="inlineStr">
        <is>
          <t>Ladrillos Combinados S.L.</t>
        </is>
      </c>
      <c r="F36" s="2" t="n">
        <v>2578109</v>
      </c>
      <c r="G36" s="4" t="n">
        <v>982.9299999999999</v>
      </c>
      <c r="H36" s="3" t="n">
        <v>46008</v>
      </c>
      <c r="I36" s="3" t="n">
        <v>46095</v>
      </c>
      <c r="J36" s="2" t="n">
        <v>87</v>
      </c>
      <c r="K36" s="2" t="n">
        <v>5.08</v>
      </c>
      <c r="L36" s="2" t="n">
        <v>1.61</v>
      </c>
      <c r="M36" s="4" t="n">
        <v>15.83</v>
      </c>
      <c r="N36" s="4" t="n">
        <v>12.07</v>
      </c>
      <c r="O36" s="2" t="n">
        <v>30</v>
      </c>
      <c r="P36" s="4" t="n">
        <v>4.57</v>
      </c>
      <c r="Q36" s="4" t="n">
        <v>3.84</v>
      </c>
      <c r="R36" s="4">
        <f>G36*(L36/100)*(O36/100)</f>
        <v/>
      </c>
      <c r="S36" s="4">
        <f>G36*(K36/360/100)*J36*(O36/100)</f>
        <v/>
      </c>
      <c r="T36" s="4">
        <f>P36-R36+Q36-S36</f>
        <v/>
      </c>
    </row>
    <row r="37">
      <c r="A37" s="2" t="inlineStr">
        <is>
          <t>Diamante</t>
        </is>
      </c>
      <c r="B37" s="2" t="inlineStr">
        <is>
          <t>Blanco</t>
        </is>
      </c>
      <c r="C37" s="3" t="n">
        <v>46027</v>
      </c>
      <c r="D37" s="2" t="inlineStr">
        <is>
          <t>A75878906</t>
        </is>
      </c>
      <c r="E37" s="2" t="inlineStr">
        <is>
          <t>Fotovoltaicos Fosfatados S.A.</t>
        </is>
      </c>
      <c r="F37" s="2" t="n">
        <v>1963310</v>
      </c>
      <c r="G37" s="4" t="n">
        <v>358.44</v>
      </c>
      <c r="H37" s="3" t="n">
        <v>46014</v>
      </c>
      <c r="I37" s="3" t="n">
        <v>46049</v>
      </c>
      <c r="J37" s="2" t="n">
        <v>35</v>
      </c>
      <c r="K37" s="2" t="n">
        <v>4.14</v>
      </c>
      <c r="L37" s="2" t="n">
        <v>1.62</v>
      </c>
      <c r="M37" s="4" t="n">
        <v>5.81</v>
      </c>
      <c r="N37" s="4" t="n">
        <v>1.44</v>
      </c>
      <c r="O37" s="2" t="n">
        <v>30</v>
      </c>
      <c r="P37" s="4" t="n">
        <v>1.95</v>
      </c>
      <c r="Q37" s="4" t="n">
        <v>0.16</v>
      </c>
      <c r="R37" s="4">
        <f>G37*(L37/100)*(O37/100)</f>
        <v/>
      </c>
      <c r="S37" s="4">
        <f>G37*(K37/360/100)*J37*(O37/100)</f>
        <v/>
      </c>
      <c r="T37" s="4">
        <f>P37-R37+Q37-S37</f>
        <v/>
      </c>
    </row>
    <row r="38">
      <c r="A38" s="2" t="inlineStr">
        <is>
          <t>Diamante</t>
        </is>
      </c>
      <c r="B38" s="2" t="inlineStr">
        <is>
          <t>Blanco</t>
        </is>
      </c>
      <c r="C38" s="3" t="n">
        <v>46027</v>
      </c>
      <c r="D38" s="2" t="inlineStr">
        <is>
          <t>A75878906</t>
        </is>
      </c>
      <c r="E38" s="2" t="inlineStr">
        <is>
          <t>Fotovoltaicos Fosfatados S.A.</t>
        </is>
      </c>
      <c r="F38" s="2" t="n">
        <v>4577668</v>
      </c>
      <c r="G38" s="4" t="n">
        <v>815.83</v>
      </c>
      <c r="H38" s="3" t="n">
        <v>46003</v>
      </c>
      <c r="I38" s="3" t="n">
        <v>46081</v>
      </c>
      <c r="J38" s="2" t="n">
        <v>78</v>
      </c>
      <c r="K38" s="2" t="n">
        <v>5.83</v>
      </c>
      <c r="L38" s="2" t="n">
        <v>1.45</v>
      </c>
      <c r="M38" s="4" t="n">
        <v>11.83</v>
      </c>
      <c r="N38" s="4" t="n">
        <v>10.31</v>
      </c>
      <c r="O38" s="2" t="n">
        <v>50</v>
      </c>
      <c r="P38" s="4" t="n">
        <v>5.76</v>
      </c>
      <c r="Q38" s="4" t="n">
        <v>4.94</v>
      </c>
      <c r="R38" s="4">
        <f>G38*(L38/100)*(O38/100)</f>
        <v/>
      </c>
      <c r="S38" s="4">
        <f>G38*(K38/360/100)*J38*(O38/100)</f>
        <v/>
      </c>
      <c r="T38" s="4">
        <f>P38-R38+Q38-S38</f>
        <v/>
      </c>
    </row>
    <row r="39">
      <c r="A39" s="2" t="inlineStr">
        <is>
          <t>Diamante</t>
        </is>
      </c>
      <c r="B39" s="2" t="inlineStr">
        <is>
          <t>Blanco</t>
        </is>
      </c>
      <c r="C39" s="3" t="n">
        <v>46027</v>
      </c>
      <c r="D39" s="2" t="inlineStr">
        <is>
          <t>A10255054</t>
        </is>
      </c>
      <c r="E39" s="2" t="inlineStr">
        <is>
          <t>Adhesivos Regulados S.A.</t>
        </is>
      </c>
      <c r="F39" s="2" t="n">
        <v>2458191</v>
      </c>
      <c r="G39" s="4" t="n">
        <v>6190.03</v>
      </c>
      <c r="H39" s="3" t="n">
        <v>45996</v>
      </c>
      <c r="I39" s="3" t="n">
        <v>46049</v>
      </c>
      <c r="J39" s="2" t="n">
        <v>53</v>
      </c>
      <c r="K39" s="2" t="n">
        <v>5.92</v>
      </c>
      <c r="L39" s="2" t="n">
        <v>0.84</v>
      </c>
      <c r="M39" s="4" t="n">
        <v>52</v>
      </c>
      <c r="N39" s="4" t="n">
        <v>53.95</v>
      </c>
      <c r="O39" s="2" t="n">
        <v>40</v>
      </c>
      <c r="P39" s="4" t="n">
        <v>20.7</v>
      </c>
      <c r="Q39" s="4" t="n">
        <v>21.78</v>
      </c>
      <c r="R39" s="4">
        <f>G39*(L39/100)*(O39/100)</f>
        <v/>
      </c>
      <c r="S39" s="4">
        <f>G39*(K39/360/100)*J39*(O39/100)</f>
        <v/>
      </c>
      <c r="T39" s="4">
        <f>P39-R39+Q39-S39</f>
        <v/>
      </c>
    </row>
    <row r="40">
      <c r="A40" s="2" t="inlineStr">
        <is>
          <t>Diamante</t>
        </is>
      </c>
      <c r="B40" s="2" t="inlineStr">
        <is>
          <t>Blanco</t>
        </is>
      </c>
      <c r="C40" s="3" t="n">
        <v>46027</v>
      </c>
      <c r="D40" s="2" t="inlineStr">
        <is>
          <t>A10255054</t>
        </is>
      </c>
      <c r="E40" s="2" t="inlineStr">
        <is>
          <t>Adhesivos Regulados S.A.</t>
        </is>
      </c>
      <c r="F40" s="2" t="n">
        <v>1208941</v>
      </c>
      <c r="G40" s="4" t="n">
        <v>8076.09</v>
      </c>
      <c r="H40" s="3" t="n">
        <v>46004</v>
      </c>
      <c r="I40" s="3" t="n">
        <v>46071</v>
      </c>
      <c r="J40" s="2" t="n">
        <v>67</v>
      </c>
      <c r="K40" s="2" t="n">
        <v>3.4</v>
      </c>
      <c r="L40" s="2" t="n">
        <v>1.7</v>
      </c>
      <c r="M40" s="4" t="n">
        <v>137.29</v>
      </c>
      <c r="N40" s="4" t="n">
        <v>51.1</v>
      </c>
      <c r="O40" s="2" t="n">
        <v>50</v>
      </c>
      <c r="P40" s="4" t="n">
        <v>68.72</v>
      </c>
      <c r="Q40" s="4" t="n">
        <v>25.81</v>
      </c>
      <c r="R40" s="4">
        <f>G40*(L40/100)*(O40/100)</f>
        <v/>
      </c>
      <c r="S40" s="4">
        <f>G40*(K40/360/100)*J40*(O40/100)</f>
        <v/>
      </c>
      <c r="T40" s="4">
        <f>P40-R40+Q40-S40</f>
        <v/>
      </c>
    </row>
    <row r="41">
      <c r="A41" s="2" t="inlineStr">
        <is>
          <t>Diamante</t>
        </is>
      </c>
      <c r="B41" s="2" t="inlineStr">
        <is>
          <t>Blanco</t>
        </is>
      </c>
      <c r="C41" s="3" t="n">
        <v>46027</v>
      </c>
      <c r="D41" s="2" t="inlineStr">
        <is>
          <t>A10255054</t>
        </is>
      </c>
      <c r="E41" s="2" t="inlineStr">
        <is>
          <t>Adhesivos Regulados S.A.</t>
        </is>
      </c>
      <c r="F41" s="2" t="n">
        <v>2482912</v>
      </c>
      <c r="G41" s="4" t="n">
        <v>9259.77</v>
      </c>
      <c r="H41" s="3" t="n">
        <v>46018</v>
      </c>
      <c r="I41" s="3" t="n">
        <v>46055</v>
      </c>
      <c r="J41" s="2" t="n">
        <v>37</v>
      </c>
      <c r="K41" s="2" t="n">
        <v>3.78</v>
      </c>
      <c r="L41" s="2" t="n">
        <v>0.99</v>
      </c>
      <c r="M41" s="4" t="n">
        <v>91.67</v>
      </c>
      <c r="N41" s="4" t="n">
        <v>35.97</v>
      </c>
      <c r="O41" s="2" t="n">
        <v>70</v>
      </c>
      <c r="P41" s="4" t="n">
        <v>64.08</v>
      </c>
      <c r="Q41" s="4" t="n">
        <v>25.06</v>
      </c>
      <c r="R41" s="4">
        <f>G41*(L41/100)*(O41/100)</f>
        <v/>
      </c>
      <c r="S41" s="4">
        <f>G41*(K41/360/100)*J41*(O41/100)</f>
        <v/>
      </c>
      <c r="T41" s="4">
        <f>P41-R41+Q41-S41</f>
        <v/>
      </c>
    </row>
    <row r="42">
      <c r="A42" s="2" t="inlineStr">
        <is>
          <t>Diamante</t>
        </is>
      </c>
      <c r="B42" s="2" t="inlineStr">
        <is>
          <t>Blanco</t>
        </is>
      </c>
      <c r="C42" s="3" t="n">
        <v>46027</v>
      </c>
      <c r="D42" s="2" t="inlineStr">
        <is>
          <t>A15071021</t>
        </is>
      </c>
      <c r="E42" s="2" t="inlineStr">
        <is>
          <t>Estructuras Inteligentes S.A.</t>
        </is>
      </c>
      <c r="F42" s="2" t="n">
        <v>1873889</v>
      </c>
      <c r="G42" s="4" t="n">
        <v>707.6</v>
      </c>
      <c r="H42" s="3" t="n">
        <v>46019</v>
      </c>
      <c r="I42" s="3" t="n">
        <v>46081</v>
      </c>
      <c r="J42" s="2" t="n">
        <v>62</v>
      </c>
      <c r="K42" s="2" t="n">
        <v>3.73</v>
      </c>
      <c r="L42" s="2" t="n">
        <v>0.54</v>
      </c>
      <c r="M42" s="4" t="n">
        <v>3.82</v>
      </c>
      <c r="N42" s="4" t="n">
        <v>4.55</v>
      </c>
      <c r="O42" s="2" t="n">
        <v>50</v>
      </c>
      <c r="P42" s="4" t="n">
        <v>1.85</v>
      </c>
      <c r="Q42" s="4" t="n">
        <v>2.09</v>
      </c>
      <c r="R42" s="4">
        <f>G42*(L42/100)*(O42/100)</f>
        <v/>
      </c>
      <c r="S42" s="4">
        <f>G42*(K42/360/100)*J42*(O42/100)</f>
        <v/>
      </c>
      <c r="T42" s="4">
        <f>P42-R42+Q42-S42</f>
        <v/>
      </c>
    </row>
    <row r="43">
      <c r="A43" s="2" t="inlineStr">
        <is>
          <t>Diamante</t>
        </is>
      </c>
      <c r="B43" s="2" t="inlineStr">
        <is>
          <t>Blanco</t>
        </is>
      </c>
      <c r="C43" s="3" t="n">
        <v>46027</v>
      </c>
      <c r="D43" s="2" t="inlineStr">
        <is>
          <t>A15071021</t>
        </is>
      </c>
      <c r="E43" s="2" t="inlineStr">
        <is>
          <t>Estructuras Inteligentes S.A.</t>
        </is>
      </c>
      <c r="F43" s="2" t="n">
        <v>1515680</v>
      </c>
      <c r="G43" s="4" t="n">
        <v>7879.36</v>
      </c>
      <c r="H43" s="3" t="n">
        <v>46003</v>
      </c>
      <c r="I43" s="3" t="n">
        <v>46054</v>
      </c>
      <c r="J43" s="2" t="n">
        <v>51</v>
      </c>
      <c r="K43" s="2" t="n">
        <v>5.42</v>
      </c>
      <c r="L43" s="2" t="n">
        <v>0.66</v>
      </c>
      <c r="M43" s="4" t="n">
        <v>52</v>
      </c>
      <c r="N43" s="4" t="n">
        <v>60.5</v>
      </c>
      <c r="O43" s="2" t="n">
        <v>30</v>
      </c>
      <c r="P43" s="4" t="n">
        <v>15.45</v>
      </c>
      <c r="Q43" s="4" t="n">
        <v>18.38</v>
      </c>
      <c r="R43" s="4">
        <f>G43*(L43/100)*(O43/100)</f>
        <v/>
      </c>
      <c r="S43" s="4">
        <f>G43*(K43/360/100)*J43*(O43/100)</f>
        <v/>
      </c>
      <c r="T43" s="4">
        <f>P43-R43+Q43-S43</f>
        <v/>
      </c>
    </row>
    <row r="44">
      <c r="A44" s="2" t="inlineStr">
        <is>
          <t>Diamante</t>
        </is>
      </c>
      <c r="B44" s="2" t="inlineStr">
        <is>
          <t>Blanco</t>
        </is>
      </c>
      <c r="C44" s="3" t="n">
        <v>46027</v>
      </c>
      <c r="D44" s="2" t="inlineStr">
        <is>
          <t>B38381423</t>
        </is>
      </c>
      <c r="E44" s="2" t="inlineStr">
        <is>
          <t>Aceros Procesados S.L.</t>
        </is>
      </c>
      <c r="F44" s="2" t="n">
        <v>2266297</v>
      </c>
      <c r="G44" s="4" t="n">
        <v>6863.64</v>
      </c>
      <c r="H44" s="3" t="n">
        <v>45993</v>
      </c>
      <c r="I44" s="3" t="n">
        <v>46058</v>
      </c>
      <c r="J44" s="2" t="n">
        <v>65</v>
      </c>
      <c r="K44" s="2" t="n">
        <v>4.22</v>
      </c>
      <c r="L44" s="2" t="n">
        <v>1.01</v>
      </c>
      <c r="M44" s="4" t="n">
        <v>69.31999999999999</v>
      </c>
      <c r="N44" s="4" t="n">
        <v>52.3</v>
      </c>
      <c r="O44" s="2" t="n">
        <v>70</v>
      </c>
      <c r="P44" s="4" t="n">
        <v>48.3</v>
      </c>
      <c r="Q44" s="4" t="n">
        <v>36.88</v>
      </c>
      <c r="R44" s="4">
        <f>G44*(L44/100)*(O44/100)</f>
        <v/>
      </c>
      <c r="S44" s="4">
        <f>G44*(K44/360/100)*J44*(O44/100)</f>
        <v/>
      </c>
      <c r="T44" s="4">
        <f>P44-R44+Q44-S44</f>
        <v/>
      </c>
    </row>
    <row r="45">
      <c r="A45" s="2" t="inlineStr">
        <is>
          <t>Diamante</t>
        </is>
      </c>
      <c r="B45" s="2" t="inlineStr">
        <is>
          <t>Blanco</t>
        </is>
      </c>
      <c r="C45" s="3" t="n">
        <v>46027</v>
      </c>
      <c r="D45" s="2" t="inlineStr">
        <is>
          <t>B38381423</t>
        </is>
      </c>
      <c r="E45" s="2" t="inlineStr">
        <is>
          <t>Aceros Procesados S.L.</t>
        </is>
      </c>
      <c r="F45" s="2" t="n">
        <v>4618976</v>
      </c>
      <c r="G45" s="4" t="n">
        <v>960.63</v>
      </c>
      <c r="H45" s="3" t="n">
        <v>46006</v>
      </c>
      <c r="I45" s="3" t="n">
        <v>46039</v>
      </c>
      <c r="J45" s="2" t="n">
        <v>33</v>
      </c>
      <c r="K45" s="2" t="n">
        <v>4.1</v>
      </c>
      <c r="L45" s="2" t="n">
        <v>1.91</v>
      </c>
      <c r="M45" s="4" t="n">
        <v>18.35</v>
      </c>
      <c r="N45" s="4" t="n">
        <v>3.61</v>
      </c>
      <c r="O45" s="2" t="n">
        <v>20</v>
      </c>
      <c r="P45" s="4" t="n">
        <v>3.46</v>
      </c>
      <c r="Q45" s="4" t="n">
        <v>0.9</v>
      </c>
      <c r="R45" s="4">
        <f>G45*(L45/100)*(O45/100)</f>
        <v/>
      </c>
      <c r="S45" s="4">
        <f>G45*(K45/360/100)*J45*(O45/100)</f>
        <v/>
      </c>
      <c r="T45" s="4">
        <f>P45-R45+Q45-S45</f>
        <v/>
      </c>
    </row>
    <row r="46">
      <c r="A46" s="2" t="inlineStr">
        <is>
          <t>Diamante</t>
        </is>
      </c>
      <c r="B46" s="2" t="inlineStr">
        <is>
          <t>Blanco</t>
        </is>
      </c>
      <c r="C46" s="3" t="n">
        <v>46027</v>
      </c>
      <c r="D46" s="2" t="inlineStr">
        <is>
          <t>B38381423</t>
        </is>
      </c>
      <c r="E46" s="2" t="inlineStr">
        <is>
          <t>Aceros Procesados S.L.</t>
        </is>
      </c>
      <c r="F46" s="2" t="n">
        <v>2087540</v>
      </c>
      <c r="G46" s="4" t="n">
        <v>7520.08</v>
      </c>
      <c r="H46" s="3" t="n">
        <v>46000</v>
      </c>
      <c r="I46" s="3" t="n">
        <v>46046</v>
      </c>
      <c r="J46" s="2" t="n">
        <v>46</v>
      </c>
      <c r="K46" s="2" t="n">
        <v>6.48</v>
      </c>
      <c r="L46" s="2" t="n">
        <v>1.7</v>
      </c>
      <c r="M46" s="4" t="n">
        <v>127.84</v>
      </c>
      <c r="N46" s="4" t="n">
        <v>62.27</v>
      </c>
      <c r="O46" s="2" t="n">
        <v>30</v>
      </c>
      <c r="P46" s="4" t="n">
        <v>38.34</v>
      </c>
      <c r="Q46" s="4" t="n">
        <v>18.8</v>
      </c>
      <c r="R46" s="4">
        <f>G46*(L46/100)*(O46/100)</f>
        <v/>
      </c>
      <c r="S46" s="4">
        <f>G46*(K46/360/100)*J46*(O46/100)</f>
        <v/>
      </c>
      <c r="T46" s="4">
        <f>P46-R46+Q46-S46</f>
        <v/>
      </c>
    </row>
    <row r="47">
      <c r="A47" s="2" t="inlineStr">
        <is>
          <t>Diamante</t>
        </is>
      </c>
      <c r="B47" s="2" t="inlineStr">
        <is>
          <t>Blanco</t>
        </is>
      </c>
      <c r="C47" s="3" t="n">
        <v>46027</v>
      </c>
      <c r="D47" s="2" t="inlineStr">
        <is>
          <t>B27653469</t>
        </is>
      </c>
      <c r="E47" s="2" t="inlineStr">
        <is>
          <t>Áridos Soldados S.L.</t>
        </is>
      </c>
      <c r="F47" s="2" t="n">
        <v>4485207</v>
      </c>
      <c r="G47" s="4" t="n">
        <v>726.41</v>
      </c>
      <c r="H47" s="3" t="n">
        <v>46016</v>
      </c>
      <c r="I47" s="3" t="n">
        <v>46046</v>
      </c>
      <c r="J47" s="2" t="n">
        <v>30</v>
      </c>
      <c r="K47" s="2" t="n">
        <v>3.75</v>
      </c>
      <c r="L47" s="2" t="n">
        <v>0.64</v>
      </c>
      <c r="M47" s="4" t="n">
        <v>4.65</v>
      </c>
      <c r="N47" s="4" t="n">
        <v>2.27</v>
      </c>
      <c r="O47" s="2" t="n">
        <v>30</v>
      </c>
      <c r="P47" s="4" t="n">
        <v>1.55</v>
      </c>
      <c r="Q47" s="4" t="n">
        <v>0.75</v>
      </c>
      <c r="R47" s="4">
        <f>G47*(L47/100)*(O47/100)</f>
        <v/>
      </c>
      <c r="S47" s="4">
        <f>G47*(K47/360/100)*J47*(O47/100)</f>
        <v/>
      </c>
      <c r="T47" s="4">
        <f>P47-R47+Q47-S47</f>
        <v/>
      </c>
    </row>
    <row r="48">
      <c r="A48" s="2" t="inlineStr">
        <is>
          <t>Diamante</t>
        </is>
      </c>
      <c r="B48" s="2" t="inlineStr">
        <is>
          <t>Blanco</t>
        </is>
      </c>
      <c r="C48" s="3" t="n">
        <v>46027</v>
      </c>
      <c r="D48" s="2" t="inlineStr">
        <is>
          <t>B27653469</t>
        </is>
      </c>
      <c r="E48" s="2" t="inlineStr">
        <is>
          <t>Áridos Soldados S.L.</t>
        </is>
      </c>
      <c r="F48" s="2" t="n">
        <v>4100081</v>
      </c>
      <c r="G48" s="4" t="n">
        <v>888.5700000000001</v>
      </c>
      <c r="H48" s="3" t="n">
        <v>45994</v>
      </c>
      <c r="I48" s="3" t="n">
        <v>46037</v>
      </c>
      <c r="J48" s="2" t="n">
        <v>43</v>
      </c>
      <c r="K48" s="2" t="n">
        <v>6.68</v>
      </c>
      <c r="L48" s="2" t="n">
        <v>1.06</v>
      </c>
      <c r="M48" s="4" t="n">
        <v>9.42</v>
      </c>
      <c r="N48" s="4" t="n">
        <v>7.09</v>
      </c>
      <c r="O48" s="2" t="n">
        <v>70</v>
      </c>
      <c r="P48" s="4" t="n">
        <v>6.51</v>
      </c>
      <c r="Q48" s="4" t="n">
        <v>4.98</v>
      </c>
      <c r="R48" s="4">
        <f>G48*(L48/100)*(O48/100)</f>
        <v/>
      </c>
      <c r="S48" s="4">
        <f>G48*(K48/360/100)*J48*(O48/100)</f>
        <v/>
      </c>
      <c r="T48" s="4">
        <f>P48-R48+Q48-S48</f>
        <v/>
      </c>
    </row>
    <row r="49">
      <c r="A49" s="2" t="inlineStr">
        <is>
          <t>Diamante</t>
        </is>
      </c>
      <c r="B49" s="2" t="inlineStr">
        <is>
          <t>Blanco</t>
        </is>
      </c>
      <c r="C49" s="3" t="n">
        <v>46027</v>
      </c>
      <c r="D49" s="2" t="inlineStr">
        <is>
          <t>A64349113</t>
        </is>
      </c>
      <c r="E49" s="2" t="inlineStr">
        <is>
          <t>Datos Evaluados S.A.</t>
        </is>
      </c>
      <c r="F49" s="2" t="n">
        <v>1240060</v>
      </c>
      <c r="G49" s="4" t="n">
        <v>992.13</v>
      </c>
      <c r="H49" s="3" t="n">
        <v>46000</v>
      </c>
      <c r="I49" s="3" t="n">
        <v>46042</v>
      </c>
      <c r="J49" s="2" t="n">
        <v>42</v>
      </c>
      <c r="K49" s="2" t="n">
        <v>4.02</v>
      </c>
      <c r="L49" s="2" t="n">
        <v>1.56</v>
      </c>
      <c r="M49" s="4" t="n">
        <v>15.48</v>
      </c>
      <c r="N49" s="4" t="n">
        <v>4.65</v>
      </c>
      <c r="O49" s="2" t="n">
        <v>60</v>
      </c>
      <c r="P49" s="4" t="n">
        <v>9.390000000000001</v>
      </c>
      <c r="Q49" s="4" t="n">
        <v>2.82</v>
      </c>
      <c r="R49" s="4">
        <f>G49*(L49/100)*(O49/100)</f>
        <v/>
      </c>
      <c r="S49" s="4">
        <f>G49*(K49/360/100)*J49*(O49/100)</f>
        <v/>
      </c>
      <c r="T49" s="4">
        <f>P49-R49+Q49-S49</f>
        <v/>
      </c>
    </row>
    <row r="50">
      <c r="A50" s="2" t="inlineStr">
        <is>
          <t>Diamante</t>
        </is>
      </c>
      <c r="B50" s="2" t="inlineStr">
        <is>
          <t>Blanco</t>
        </is>
      </c>
      <c r="C50" s="3" t="n">
        <v>46027</v>
      </c>
      <c r="D50" s="2" t="inlineStr">
        <is>
          <t>A64349113</t>
        </is>
      </c>
      <c r="E50" s="2" t="inlineStr">
        <is>
          <t>Datos Evaluados S.A.</t>
        </is>
      </c>
      <c r="F50" s="2" t="n">
        <v>3512826</v>
      </c>
      <c r="G50" s="4" t="n">
        <v>949.88</v>
      </c>
      <c r="H50" s="3" t="n">
        <v>45996</v>
      </c>
      <c r="I50" s="3" t="n">
        <v>46060</v>
      </c>
      <c r="J50" s="2" t="n">
        <v>64</v>
      </c>
      <c r="K50" s="2" t="n">
        <v>4.86</v>
      </c>
      <c r="L50" s="2" t="n">
        <v>1.33</v>
      </c>
      <c r="M50" s="4" t="n">
        <v>12.63</v>
      </c>
      <c r="N50" s="4" t="n">
        <v>8.210000000000001</v>
      </c>
      <c r="O50" s="2" t="n">
        <v>60</v>
      </c>
      <c r="P50" s="4" t="n">
        <v>7.32</v>
      </c>
      <c r="Q50" s="4" t="n">
        <v>4.88</v>
      </c>
      <c r="R50" s="4">
        <f>G50*(L50/100)*(O50/100)</f>
        <v/>
      </c>
      <c r="S50" s="4">
        <f>G50*(K50/360/100)*J50*(O50/100)</f>
        <v/>
      </c>
      <c r="T50" s="4">
        <f>P50-R50+Q50-S50</f>
        <v/>
      </c>
    </row>
    <row r="51">
      <c r="A51" s="2" t="inlineStr">
        <is>
          <t>Diamante</t>
        </is>
      </c>
      <c r="B51" s="2" t="inlineStr">
        <is>
          <t>Blanco</t>
        </is>
      </c>
      <c r="C51" s="3" t="n">
        <v>46027</v>
      </c>
      <c r="D51" s="2" t="inlineStr">
        <is>
          <t>A64349113</t>
        </is>
      </c>
      <c r="E51" s="2" t="inlineStr">
        <is>
          <t>Datos Evaluados S.A.</t>
        </is>
      </c>
      <c r="F51" s="2" t="n">
        <v>3285631</v>
      </c>
      <c r="G51" s="4" t="n">
        <v>232.22</v>
      </c>
      <c r="H51" s="3" t="n">
        <v>46008</v>
      </c>
      <c r="I51" s="3" t="n">
        <v>46054</v>
      </c>
      <c r="J51" s="2" t="n">
        <v>46</v>
      </c>
      <c r="K51" s="2" t="n">
        <v>4.76</v>
      </c>
      <c r="L51" s="2" t="n">
        <v>1.39</v>
      </c>
      <c r="M51" s="4" t="n">
        <v>3.23</v>
      </c>
      <c r="N51" s="4" t="n">
        <v>1.41</v>
      </c>
      <c r="O51" s="2" t="n">
        <v>30</v>
      </c>
      <c r="P51" s="4" t="n">
        <v>0.87</v>
      </c>
      <c r="Q51" s="4" t="n">
        <v>0.68</v>
      </c>
      <c r="R51" s="4">
        <f>G51*(L51/100)*(O51/100)</f>
        <v/>
      </c>
      <c r="S51" s="4">
        <f>G51*(K51/360/100)*J51*(O51/100)</f>
        <v/>
      </c>
      <c r="T51" s="4">
        <f>P51-R51+Q51-S51</f>
        <v/>
      </c>
    </row>
    <row r="52">
      <c r="A52" s="2" t="inlineStr">
        <is>
          <t>Diamante</t>
        </is>
      </c>
      <c r="B52" s="2" t="inlineStr">
        <is>
          <t>Blanco</t>
        </is>
      </c>
      <c r="C52" s="3" t="n">
        <v>46027</v>
      </c>
      <c r="D52" s="2" t="inlineStr">
        <is>
          <t>B07073880</t>
        </is>
      </c>
      <c r="E52" s="2" t="inlineStr">
        <is>
          <t>Ferrosos Cibernéticos S.L.</t>
        </is>
      </c>
      <c r="F52" s="2" t="n">
        <v>1497818</v>
      </c>
      <c r="G52" s="4" t="n">
        <v>438.66</v>
      </c>
      <c r="H52" s="3" t="n">
        <v>46003</v>
      </c>
      <c r="I52" s="3" t="n">
        <v>46050</v>
      </c>
      <c r="J52" s="2" t="n">
        <v>47</v>
      </c>
      <c r="K52" s="2" t="n">
        <v>6.14</v>
      </c>
      <c r="L52" s="2" t="n">
        <v>1.7</v>
      </c>
      <c r="M52" s="4" t="n">
        <v>7.46</v>
      </c>
      <c r="N52" s="4" t="n">
        <v>3.52</v>
      </c>
      <c r="O52" s="2" t="n">
        <v>60</v>
      </c>
      <c r="P52" s="4" t="n">
        <v>4.71</v>
      </c>
      <c r="Q52" s="4" t="n">
        <v>1.99</v>
      </c>
      <c r="R52" s="4">
        <f>G52*(L52/100)*(O52/100)</f>
        <v/>
      </c>
      <c r="S52" s="4">
        <f>G52*(K52/360/100)*J52*(O52/100)</f>
        <v/>
      </c>
      <c r="T52" s="4">
        <f>P52-R52+Q52-S52</f>
        <v/>
      </c>
    </row>
    <row r="53">
      <c r="A53" s="2" t="inlineStr">
        <is>
          <t>Diamante</t>
        </is>
      </c>
      <c r="B53" s="2" t="inlineStr">
        <is>
          <t>Blanco</t>
        </is>
      </c>
      <c r="C53" s="3" t="n">
        <v>46027</v>
      </c>
      <c r="D53" s="2" t="inlineStr">
        <is>
          <t>B07073880</t>
        </is>
      </c>
      <c r="E53" s="2" t="inlineStr">
        <is>
          <t>Ferrosos Cibernéticos S.L.</t>
        </is>
      </c>
      <c r="F53" s="2" t="n">
        <v>1445738</v>
      </c>
      <c r="G53" s="4" t="n">
        <v>627.77</v>
      </c>
      <c r="H53" s="3" t="n">
        <v>46014</v>
      </c>
      <c r="I53" s="3" t="n">
        <v>46063</v>
      </c>
      <c r="J53" s="2" t="n">
        <v>49</v>
      </c>
      <c r="K53" s="2" t="n">
        <v>5.71</v>
      </c>
      <c r="L53" s="2" t="n">
        <v>1.42</v>
      </c>
      <c r="M53" s="4" t="n">
        <v>8.91</v>
      </c>
      <c r="N53" s="4" t="n">
        <v>4.88</v>
      </c>
      <c r="O53" s="2" t="n">
        <v>60</v>
      </c>
      <c r="P53" s="4" t="n">
        <v>5.51</v>
      </c>
      <c r="Q53" s="4" t="n">
        <v>2.86</v>
      </c>
      <c r="R53" s="4">
        <f>G53*(L53/100)*(O53/100)</f>
        <v/>
      </c>
      <c r="S53" s="4">
        <f>G53*(K53/360/100)*J53*(O53/100)</f>
        <v/>
      </c>
      <c r="T53" s="4">
        <f>P53-R53+Q53-S53</f>
        <v/>
      </c>
    </row>
    <row r="54">
      <c r="A54" s="2" t="inlineStr">
        <is>
          <t>Diamante</t>
        </is>
      </c>
      <c r="B54" s="2" t="inlineStr">
        <is>
          <t>Blanco</t>
        </is>
      </c>
      <c r="C54" s="3" t="n">
        <v>46027</v>
      </c>
      <c r="D54" s="2" t="inlineStr">
        <is>
          <t>B07073880</t>
        </is>
      </c>
      <c r="E54" s="2" t="inlineStr">
        <is>
          <t>Ferrosos Cibernéticos S.L.</t>
        </is>
      </c>
      <c r="F54" s="2" t="n">
        <v>4636542</v>
      </c>
      <c r="G54" s="4" t="n">
        <v>3173.58</v>
      </c>
      <c r="H54" s="3" t="n">
        <v>46004</v>
      </c>
      <c r="I54" s="3" t="n">
        <v>46057</v>
      </c>
      <c r="J54" s="2" t="n">
        <v>53</v>
      </c>
      <c r="K54" s="2" t="n">
        <v>5.92</v>
      </c>
      <c r="L54" s="2" t="n">
        <v>1.84</v>
      </c>
      <c r="M54" s="4" t="n">
        <v>58.39</v>
      </c>
      <c r="N54" s="4" t="n">
        <v>27.66</v>
      </c>
      <c r="O54" s="2" t="n">
        <v>20</v>
      </c>
      <c r="P54" s="4" t="n">
        <v>11.83</v>
      </c>
      <c r="Q54" s="4" t="n">
        <v>5.78</v>
      </c>
      <c r="R54" s="4">
        <f>G54*(L54/100)*(O54/100)</f>
        <v/>
      </c>
      <c r="S54" s="4">
        <f>G54*(K54/360/100)*J54*(O54/100)</f>
        <v/>
      </c>
      <c r="T54" s="4">
        <f>P54-R54+Q54-S54</f>
        <v/>
      </c>
    </row>
    <row r="55">
      <c r="A55" s="2" t="inlineStr">
        <is>
          <t>Diamante</t>
        </is>
      </c>
      <c r="B55" s="2" t="inlineStr">
        <is>
          <t>Blanco</t>
        </is>
      </c>
      <c r="C55" s="3" t="n">
        <v>46027</v>
      </c>
      <c r="D55" s="2" t="inlineStr">
        <is>
          <t>B59508945</t>
        </is>
      </c>
      <c r="E55" s="2" t="inlineStr">
        <is>
          <t>Digitalizaciones Fiables S.L.</t>
        </is>
      </c>
      <c r="F55" s="2" t="n">
        <v>4811733</v>
      </c>
      <c r="G55" s="4" t="n">
        <v>7781.96</v>
      </c>
      <c r="H55" s="3" t="n">
        <v>45995</v>
      </c>
      <c r="I55" s="3" t="n">
        <v>46065</v>
      </c>
      <c r="J55" s="2" t="n">
        <v>70</v>
      </c>
      <c r="K55" s="2" t="n">
        <v>5.26</v>
      </c>
      <c r="L55" s="2" t="n">
        <v>1.49</v>
      </c>
      <c r="M55" s="4" t="n">
        <v>115.95</v>
      </c>
      <c r="N55" s="4" t="n">
        <v>79.59</v>
      </c>
      <c r="O55" s="2" t="n">
        <v>60</v>
      </c>
      <c r="P55" s="4" t="n">
        <v>69.61</v>
      </c>
      <c r="Q55" s="4" t="n">
        <v>47.96</v>
      </c>
      <c r="R55" s="4">
        <f>G55*(L55/100)*(O55/100)</f>
        <v/>
      </c>
      <c r="S55" s="4">
        <f>G55*(K55/360/100)*J55*(O55/100)</f>
        <v/>
      </c>
      <c r="T55" s="4">
        <f>P55-R55+Q55-S55</f>
        <v/>
      </c>
    </row>
    <row r="56">
      <c r="A56" s="2" t="inlineStr">
        <is>
          <t>Diamante</t>
        </is>
      </c>
      <c r="B56" s="2" t="inlineStr">
        <is>
          <t>Blanco</t>
        </is>
      </c>
      <c r="C56" s="3" t="n">
        <v>46027</v>
      </c>
      <c r="D56" s="2" t="inlineStr">
        <is>
          <t>B59508945</t>
        </is>
      </c>
      <c r="E56" s="2" t="inlineStr">
        <is>
          <t>Digitalizaciones Fiables S.L.</t>
        </is>
      </c>
      <c r="F56" s="2" t="n">
        <v>3357448</v>
      </c>
      <c r="G56" s="4" t="n">
        <v>437.52</v>
      </c>
      <c r="H56" s="3" t="n">
        <v>46019</v>
      </c>
      <c r="I56" s="3" t="n">
        <v>46095</v>
      </c>
      <c r="J56" s="2" t="n">
        <v>76</v>
      </c>
      <c r="K56" s="2" t="n">
        <v>5.8</v>
      </c>
      <c r="L56" s="2" t="n">
        <v>0.57</v>
      </c>
      <c r="M56" s="4" t="n">
        <v>2.49</v>
      </c>
      <c r="N56" s="4" t="n">
        <v>5.36</v>
      </c>
      <c r="O56" s="2" t="n">
        <v>50</v>
      </c>
      <c r="P56" s="4" t="n">
        <v>1.51</v>
      </c>
      <c r="Q56" s="4" t="n">
        <v>2.59</v>
      </c>
      <c r="R56" s="4">
        <f>G56*(L56/100)*(O56/100)</f>
        <v/>
      </c>
      <c r="S56" s="4">
        <f>G56*(K56/360/100)*J56*(O56/100)</f>
        <v/>
      </c>
      <c r="T56" s="4">
        <f>P56-R56+Q56-S56</f>
        <v/>
      </c>
    </row>
    <row r="57">
      <c r="A57" s="2" t="inlineStr">
        <is>
          <t>Diamante</t>
        </is>
      </c>
      <c r="B57" s="2" t="inlineStr">
        <is>
          <t>Blanco</t>
        </is>
      </c>
      <c r="C57" s="3" t="n">
        <v>46027</v>
      </c>
      <c r="D57" s="2" t="inlineStr">
        <is>
          <t>B59508945</t>
        </is>
      </c>
      <c r="E57" s="2" t="inlineStr">
        <is>
          <t>Digitalizaciones Fiables S.L.</t>
        </is>
      </c>
      <c r="F57" s="2" t="n">
        <v>2181146</v>
      </c>
      <c r="G57" s="4" t="n">
        <v>409.52</v>
      </c>
      <c r="H57" s="3" t="n">
        <v>46013</v>
      </c>
      <c r="I57" s="3" t="n">
        <v>46071</v>
      </c>
      <c r="J57" s="2" t="n">
        <v>58</v>
      </c>
      <c r="K57" s="2" t="n">
        <v>5.35</v>
      </c>
      <c r="L57" s="2" t="n">
        <v>0.66</v>
      </c>
      <c r="M57" s="4" t="n">
        <v>2.7</v>
      </c>
      <c r="N57" s="4" t="n">
        <v>3.53</v>
      </c>
      <c r="O57" s="2" t="n">
        <v>50</v>
      </c>
      <c r="P57" s="4" t="n">
        <v>1.47</v>
      </c>
      <c r="Q57" s="4" t="n">
        <v>1.57</v>
      </c>
      <c r="R57" s="4">
        <f>G57*(L57/100)*(O57/100)</f>
        <v/>
      </c>
      <c r="S57" s="4">
        <f>G57*(K57/360/100)*J57*(O57/100)</f>
        <v/>
      </c>
      <c r="T57" s="4">
        <f>P57-R57+Q57-S57</f>
        <v/>
      </c>
    </row>
    <row r="58">
      <c r="A58" s="2" t="inlineStr">
        <is>
          <t>Diamante</t>
        </is>
      </c>
      <c r="B58" s="2" t="inlineStr">
        <is>
          <t>Blanco</t>
        </is>
      </c>
      <c r="C58" s="3" t="n">
        <v>46027</v>
      </c>
      <c r="D58" s="2" t="inlineStr">
        <is>
          <t>B18651928</t>
        </is>
      </c>
      <c r="E58" s="2" t="inlineStr">
        <is>
          <t>Cables Nitrurados S.L.</t>
        </is>
      </c>
      <c r="F58" s="2" t="n">
        <v>2762278</v>
      </c>
      <c r="G58" s="4" t="n">
        <v>204.92</v>
      </c>
      <c r="H58" s="3" t="n">
        <v>46010</v>
      </c>
      <c r="I58" s="3" t="n">
        <v>46043</v>
      </c>
      <c r="J58" s="2" t="n">
        <v>33</v>
      </c>
      <c r="K58" s="2" t="n">
        <v>4.8</v>
      </c>
      <c r="L58" s="2" t="n">
        <v>1.2</v>
      </c>
      <c r="M58" s="4" t="n">
        <v>2.46</v>
      </c>
      <c r="N58" s="4" t="n">
        <v>0.9</v>
      </c>
      <c r="O58" s="2" t="n">
        <v>40</v>
      </c>
      <c r="P58" s="4" t="n">
        <v>1.27</v>
      </c>
      <c r="Q58" s="4" t="n">
        <v>0.15</v>
      </c>
      <c r="R58" s="4">
        <f>G58*(L58/100)*(O58/100)</f>
        <v/>
      </c>
      <c r="S58" s="4">
        <f>G58*(K58/360/100)*J58*(O58/100)</f>
        <v/>
      </c>
      <c r="T58" s="4">
        <f>P58-R58+Q58-S58</f>
        <v/>
      </c>
    </row>
    <row r="59">
      <c r="A59" s="2" t="inlineStr">
        <is>
          <t>Diamante</t>
        </is>
      </c>
      <c r="B59" s="2" t="inlineStr">
        <is>
          <t>Blanco</t>
        </is>
      </c>
      <c r="C59" s="3" t="n">
        <v>46027</v>
      </c>
      <c r="D59" s="2" t="inlineStr">
        <is>
          <t>B18651928</t>
        </is>
      </c>
      <c r="E59" s="2" t="inlineStr">
        <is>
          <t>Cables Nitrurados S.L.</t>
        </is>
      </c>
      <c r="F59" s="2" t="n">
        <v>2753831</v>
      </c>
      <c r="G59" s="4" t="n">
        <v>772.02</v>
      </c>
      <c r="H59" s="3" t="n">
        <v>45998</v>
      </c>
      <c r="I59" s="3" t="n">
        <v>46050</v>
      </c>
      <c r="J59" s="2" t="n">
        <v>52</v>
      </c>
      <c r="K59" s="2" t="n">
        <v>5.55</v>
      </c>
      <c r="L59" s="2" t="n">
        <v>1</v>
      </c>
      <c r="M59" s="4" t="n">
        <v>7.72</v>
      </c>
      <c r="N59" s="4" t="n">
        <v>6.19</v>
      </c>
      <c r="O59" s="2" t="n">
        <v>40</v>
      </c>
      <c r="P59" s="4" t="n">
        <v>3.3</v>
      </c>
      <c r="Q59" s="4" t="n">
        <v>2.53</v>
      </c>
      <c r="R59" s="4">
        <f>G59*(L59/100)*(O59/100)</f>
        <v/>
      </c>
      <c r="S59" s="4">
        <f>G59*(K59/360/100)*J59*(O59/100)</f>
        <v/>
      </c>
      <c r="T59" s="4">
        <f>P59-R59+Q59-S59</f>
        <v/>
      </c>
    </row>
    <row r="60">
      <c r="A60" s="2" t="inlineStr">
        <is>
          <t>Diamante</t>
        </is>
      </c>
      <c r="B60" s="2" t="inlineStr">
        <is>
          <t>Blanco</t>
        </is>
      </c>
      <c r="C60" s="3" t="n">
        <v>46027</v>
      </c>
      <c r="D60" s="2" t="inlineStr">
        <is>
          <t>B18651928</t>
        </is>
      </c>
      <c r="E60" s="2" t="inlineStr">
        <is>
          <t>Cables Nitrurados S.L.</t>
        </is>
      </c>
      <c r="F60" s="2" t="n">
        <v>1495853</v>
      </c>
      <c r="G60" s="4" t="n">
        <v>239.87</v>
      </c>
      <c r="H60" s="3" t="n">
        <v>46014</v>
      </c>
      <c r="I60" s="3" t="n">
        <v>46071</v>
      </c>
      <c r="J60" s="2" t="n">
        <v>57</v>
      </c>
      <c r="K60" s="2" t="n">
        <v>5.81</v>
      </c>
      <c r="L60" s="2" t="n">
        <v>1.41</v>
      </c>
      <c r="M60" s="4" t="n">
        <v>3.38</v>
      </c>
      <c r="N60" s="4" t="n">
        <v>2.21</v>
      </c>
      <c r="O60" s="2" t="n">
        <v>20</v>
      </c>
      <c r="P60" s="4" t="n">
        <v>0.47</v>
      </c>
      <c r="Q60" s="4" t="n">
        <v>0.17</v>
      </c>
      <c r="R60" s="4">
        <f>G60*(L60/100)*(O60/100)</f>
        <v/>
      </c>
      <c r="S60" s="4">
        <f>G60*(K60/360/100)*J60*(O60/100)</f>
        <v/>
      </c>
      <c r="T60" s="4">
        <f>P60-R60+Q60-S60</f>
        <v/>
      </c>
    </row>
    <row r="61">
      <c r="A61" s="2" t="inlineStr">
        <is>
          <t>Diamante</t>
        </is>
      </c>
      <c r="B61" s="2" t="inlineStr">
        <is>
          <t>Blanco</t>
        </is>
      </c>
      <c r="C61" s="3" t="n">
        <v>46027</v>
      </c>
      <c r="D61" s="2" t="inlineStr">
        <is>
          <t>A36686807</t>
        </is>
      </c>
      <c r="E61" s="2" t="inlineStr">
        <is>
          <t>Bioestimulantes Sólidos S.A.</t>
        </is>
      </c>
      <c r="F61" s="2" t="n">
        <v>2539916</v>
      </c>
      <c r="G61" s="4" t="n">
        <v>532.01</v>
      </c>
      <c r="H61" s="3" t="n">
        <v>46015</v>
      </c>
      <c r="I61" s="3" t="n">
        <v>46098</v>
      </c>
      <c r="J61" s="2" t="n">
        <v>83</v>
      </c>
      <c r="K61" s="2" t="n">
        <v>3.69</v>
      </c>
      <c r="L61" s="2" t="n">
        <v>0.6</v>
      </c>
      <c r="M61" s="4" t="n">
        <v>3.19</v>
      </c>
      <c r="N61" s="4" t="n">
        <v>4.53</v>
      </c>
      <c r="O61" s="2" t="n">
        <v>20</v>
      </c>
      <c r="P61" s="4" t="n">
        <v>0.35</v>
      </c>
      <c r="Q61" s="4" t="n">
        <v>0.73</v>
      </c>
      <c r="R61" s="4">
        <f>G61*(L61/100)*(O61/100)</f>
        <v/>
      </c>
      <c r="S61" s="4">
        <f>G61*(K61/360/100)*J61*(O61/100)</f>
        <v/>
      </c>
      <c r="T61" s="4">
        <f>P61-R61+Q61-S61</f>
        <v/>
      </c>
    </row>
    <row r="62">
      <c r="A62" s="2" t="inlineStr">
        <is>
          <t>Diamante</t>
        </is>
      </c>
      <c r="B62" s="2" t="inlineStr">
        <is>
          <t>Blanco</t>
        </is>
      </c>
      <c r="C62" s="3" t="n">
        <v>46027</v>
      </c>
      <c r="D62" s="2" t="inlineStr">
        <is>
          <t>A36686807</t>
        </is>
      </c>
      <c r="E62" s="2" t="inlineStr">
        <is>
          <t>Bioestimulantes Sólidos S.A.</t>
        </is>
      </c>
      <c r="F62" s="2" t="n">
        <v>2767632</v>
      </c>
      <c r="G62" s="4" t="n">
        <v>6416.78</v>
      </c>
      <c r="H62" s="3" t="n">
        <v>45998</v>
      </c>
      <c r="I62" s="3" t="n">
        <v>46057</v>
      </c>
      <c r="J62" s="2" t="n">
        <v>59</v>
      </c>
      <c r="K62" s="2" t="n">
        <v>4.14</v>
      </c>
      <c r="L62" s="2" t="n">
        <v>1.27</v>
      </c>
      <c r="M62" s="4" t="n">
        <v>81.48999999999999</v>
      </c>
      <c r="N62" s="4" t="n">
        <v>43.54</v>
      </c>
      <c r="O62" s="2" t="n">
        <v>20</v>
      </c>
      <c r="P62" s="4" t="n">
        <v>16.16</v>
      </c>
      <c r="Q62" s="4" t="n">
        <v>8.92</v>
      </c>
      <c r="R62" s="4">
        <f>G62*(L62/100)*(O62/100)</f>
        <v/>
      </c>
      <c r="S62" s="4">
        <f>G62*(K62/360/100)*J62*(O62/100)</f>
        <v/>
      </c>
      <c r="T62" s="4">
        <f>P62-R62+Q62-S62</f>
        <v/>
      </c>
    </row>
    <row r="63">
      <c r="A63" s="2" t="inlineStr">
        <is>
          <t>Diamante</t>
        </is>
      </c>
      <c r="B63" s="2" t="inlineStr">
        <is>
          <t>Blanco</t>
        </is>
      </c>
      <c r="C63" s="3" t="n">
        <v>46027</v>
      </c>
      <c r="D63" s="2" t="inlineStr">
        <is>
          <t>A55284133</t>
        </is>
      </c>
      <c r="E63" s="2" t="inlineStr">
        <is>
          <t>Disolventes Superpuestos S.A.</t>
        </is>
      </c>
      <c r="F63" s="2" t="n">
        <v>4503507</v>
      </c>
      <c r="G63" s="4" t="n">
        <v>676.8</v>
      </c>
      <c r="H63" s="3" t="n">
        <v>46002</v>
      </c>
      <c r="I63" s="3" t="n">
        <v>46043</v>
      </c>
      <c r="J63" s="2" t="n">
        <v>41</v>
      </c>
      <c r="K63" s="2" t="n">
        <v>4.8</v>
      </c>
      <c r="L63" s="2" t="n">
        <v>0.9399999999999999</v>
      </c>
      <c r="M63" s="4" t="n">
        <v>6.36</v>
      </c>
      <c r="N63" s="4" t="n">
        <v>3.7</v>
      </c>
      <c r="O63" s="2" t="n">
        <v>50</v>
      </c>
      <c r="P63" s="4" t="n">
        <v>2.91</v>
      </c>
      <c r="Q63" s="4" t="n">
        <v>1.64</v>
      </c>
      <c r="R63" s="4">
        <f>G63*(L63/100)*(O63/100)</f>
        <v/>
      </c>
      <c r="S63" s="4">
        <f>G63*(K63/360/100)*J63*(O63/100)</f>
        <v/>
      </c>
      <c r="T63" s="4">
        <f>P63-R63+Q63-S63</f>
        <v/>
      </c>
    </row>
    <row r="64">
      <c r="A64" s="2" t="inlineStr">
        <is>
          <t>Diamante</t>
        </is>
      </c>
      <c r="B64" s="2" t="inlineStr">
        <is>
          <t>Blanco</t>
        </is>
      </c>
      <c r="C64" s="3" t="n">
        <v>46027</v>
      </c>
      <c r="D64" s="2" t="inlineStr">
        <is>
          <t>A55284133</t>
        </is>
      </c>
      <c r="E64" s="2" t="inlineStr">
        <is>
          <t>Disolventes Superpuestos S.A.</t>
        </is>
      </c>
      <c r="F64" s="2" t="n">
        <v>1355568</v>
      </c>
      <c r="G64" s="4" t="n">
        <v>786</v>
      </c>
      <c r="H64" s="3" t="n">
        <v>46016</v>
      </c>
      <c r="I64" s="3" t="n">
        <v>46094</v>
      </c>
      <c r="J64" s="2" t="n">
        <v>78</v>
      </c>
      <c r="K64" s="2" t="n">
        <v>3.91</v>
      </c>
      <c r="L64" s="2" t="n">
        <v>1.8</v>
      </c>
      <c r="M64" s="4" t="n">
        <v>14.15</v>
      </c>
      <c r="N64" s="4" t="n">
        <v>6.66</v>
      </c>
      <c r="O64" s="2" t="n">
        <v>20</v>
      </c>
      <c r="P64" s="4" t="n">
        <v>2.6</v>
      </c>
      <c r="Q64" s="4" t="n">
        <v>1.54</v>
      </c>
      <c r="R64" s="4">
        <f>G64*(L64/100)*(O64/100)</f>
        <v/>
      </c>
      <c r="S64" s="4">
        <f>G64*(K64/360/100)*J64*(O64/100)</f>
        <v/>
      </c>
      <c r="T64" s="4">
        <f>P64-R64+Q64-S64</f>
        <v/>
      </c>
    </row>
    <row r="65">
      <c r="A65" s="2" t="inlineStr">
        <is>
          <t>Diamante</t>
        </is>
      </c>
      <c r="B65" s="2" t="inlineStr">
        <is>
          <t>Blanco</t>
        </is>
      </c>
      <c r="C65" s="3" t="n">
        <v>46027</v>
      </c>
      <c r="D65" s="2" t="inlineStr">
        <is>
          <t>B38381423</t>
        </is>
      </c>
      <c r="E65" s="2" t="inlineStr">
        <is>
          <t>Aceros Procesados S.L.</t>
        </is>
      </c>
      <c r="F65" s="2" t="n">
        <v>1094498</v>
      </c>
      <c r="G65" s="4" t="n">
        <v>604.21</v>
      </c>
      <c r="H65" s="3" t="n">
        <v>46013</v>
      </c>
      <c r="I65" s="3" t="n">
        <v>46050</v>
      </c>
      <c r="J65" s="2" t="n">
        <v>37</v>
      </c>
      <c r="K65" s="2" t="n">
        <v>4.34</v>
      </c>
      <c r="L65" s="2" t="n">
        <v>1.52</v>
      </c>
      <c r="M65" s="4" t="n">
        <v>9.18</v>
      </c>
      <c r="N65" s="4" t="n">
        <v>2.7</v>
      </c>
      <c r="O65" s="2" t="n">
        <v>20</v>
      </c>
      <c r="P65" s="4" t="n">
        <v>1.97</v>
      </c>
      <c r="Q65" s="4" t="n">
        <v>0.25</v>
      </c>
      <c r="R65" s="4">
        <f>G65*(L65/100)*(O65/100)</f>
        <v/>
      </c>
      <c r="S65" s="4">
        <f>G65*(K65/360/100)*J65*(O65/100)</f>
        <v/>
      </c>
      <c r="T65" s="4">
        <f>P65-R65+Q65-S65</f>
        <v/>
      </c>
    </row>
    <row r="66">
      <c r="A66" s="2" t="inlineStr">
        <is>
          <t>Diamante</t>
        </is>
      </c>
      <c r="B66" s="2" t="inlineStr">
        <is>
          <t>Blanco</t>
        </is>
      </c>
      <c r="C66" s="3" t="n">
        <v>46027</v>
      </c>
      <c r="D66" s="2" t="inlineStr">
        <is>
          <t>B38381423</t>
        </is>
      </c>
      <c r="E66" s="2" t="inlineStr">
        <is>
          <t>Aceros Procesados S.L.</t>
        </is>
      </c>
      <c r="F66" s="2" t="n">
        <v>4522355</v>
      </c>
      <c r="G66" s="4" t="n">
        <v>867.65</v>
      </c>
      <c r="H66" s="3" t="n">
        <v>45993</v>
      </c>
      <c r="I66" s="3" t="n">
        <v>46030</v>
      </c>
      <c r="J66" s="2" t="n">
        <v>37</v>
      </c>
      <c r="K66" s="2" t="n">
        <v>4.62</v>
      </c>
      <c r="L66" s="2" t="n">
        <v>1.55</v>
      </c>
      <c r="M66" s="4" t="n">
        <v>13.45</v>
      </c>
      <c r="N66" s="4" t="n">
        <v>4.12</v>
      </c>
      <c r="O66" s="2" t="n">
        <v>40</v>
      </c>
      <c r="P66" s="4" t="n">
        <v>5.26</v>
      </c>
      <c r="Q66" s="4" t="n">
        <v>1.7</v>
      </c>
      <c r="R66" s="4">
        <f>G66*(L66/100)*(O66/100)</f>
        <v/>
      </c>
      <c r="S66" s="4">
        <f>G66*(K66/360/100)*J66*(O66/100)</f>
        <v/>
      </c>
      <c r="T66" s="4">
        <f>P66-R66+Q66-S66</f>
        <v/>
      </c>
    </row>
    <row r="67">
      <c r="A67" s="2" t="inlineStr">
        <is>
          <t>Diamante</t>
        </is>
      </c>
      <c r="B67" s="2" t="inlineStr">
        <is>
          <t>Blanco</t>
        </is>
      </c>
      <c r="C67" s="3" t="n">
        <v>46027</v>
      </c>
      <c r="D67" s="2" t="inlineStr">
        <is>
          <t>B38381423</t>
        </is>
      </c>
      <c r="E67" s="2" t="inlineStr">
        <is>
          <t>Aceros Procesados S.L.</t>
        </is>
      </c>
      <c r="F67" s="2" t="n">
        <v>2604609</v>
      </c>
      <c r="G67" s="4" t="n">
        <v>503.57</v>
      </c>
      <c r="H67" s="3" t="n">
        <v>45999</v>
      </c>
      <c r="I67" s="3" t="n">
        <v>46040</v>
      </c>
      <c r="J67" s="2" t="n">
        <v>41</v>
      </c>
      <c r="K67" s="2" t="n">
        <v>3.65</v>
      </c>
      <c r="L67" s="2" t="n">
        <v>1.93</v>
      </c>
      <c r="M67" s="4" t="n">
        <v>9.720000000000001</v>
      </c>
      <c r="N67" s="4" t="n">
        <v>2.09</v>
      </c>
      <c r="O67" s="2" t="n">
        <v>20</v>
      </c>
      <c r="P67" s="4" t="n">
        <v>2.08</v>
      </c>
      <c r="Q67" s="4" t="n">
        <v>0.16</v>
      </c>
      <c r="R67" s="4">
        <f>G67*(L67/100)*(O67/100)</f>
        <v/>
      </c>
      <c r="S67" s="4">
        <f>G67*(K67/360/100)*J67*(O67/100)</f>
        <v/>
      </c>
      <c r="T67" s="4">
        <f>P67-R67+Q67-S67</f>
        <v/>
      </c>
    </row>
    <row r="68">
      <c r="A68" s="2" t="inlineStr">
        <is>
          <t>Diamante</t>
        </is>
      </c>
      <c r="B68" s="2" t="inlineStr">
        <is>
          <t>Blanco</t>
        </is>
      </c>
      <c r="C68" s="3" t="n">
        <v>46027</v>
      </c>
      <c r="D68" s="2" t="inlineStr">
        <is>
          <t>B95586293</t>
        </is>
      </c>
      <c r="E68" s="2" t="inlineStr">
        <is>
          <t>Excipientes Digitales S.L.</t>
        </is>
      </c>
      <c r="F68" s="2" t="n">
        <v>4015681</v>
      </c>
      <c r="G68" s="4" t="n">
        <v>350.48</v>
      </c>
      <c r="H68" s="3" t="n">
        <v>46005</v>
      </c>
      <c r="I68" s="3" t="n">
        <v>46046</v>
      </c>
      <c r="J68" s="2" t="n">
        <v>41</v>
      </c>
      <c r="K68" s="2" t="n">
        <v>5.47</v>
      </c>
      <c r="L68" s="2" t="n">
        <v>0.6899999999999999</v>
      </c>
      <c r="M68" s="4" t="n">
        <v>2.42</v>
      </c>
      <c r="N68" s="4" t="n">
        <v>2.18</v>
      </c>
      <c r="O68" s="2" t="n">
        <v>70</v>
      </c>
      <c r="P68" s="4" t="n">
        <v>1.86</v>
      </c>
      <c r="Q68" s="4" t="n">
        <v>1.8</v>
      </c>
      <c r="R68" s="4">
        <f>G68*(L68/100)*(O68/100)</f>
        <v/>
      </c>
      <c r="S68" s="4">
        <f>G68*(K68/360/100)*J68*(O68/100)</f>
        <v/>
      </c>
      <c r="T68" s="4">
        <f>P68-R68+Q68-S68</f>
        <v/>
      </c>
    </row>
    <row r="69">
      <c r="A69" s="2" t="inlineStr">
        <is>
          <t>Diamante</t>
        </is>
      </c>
      <c r="B69" s="2" t="inlineStr">
        <is>
          <t>Blanco</t>
        </is>
      </c>
      <c r="C69" s="3" t="n">
        <v>46027</v>
      </c>
      <c r="D69" s="2" t="inlineStr">
        <is>
          <t>B95586293</t>
        </is>
      </c>
      <c r="E69" s="2" t="inlineStr">
        <is>
          <t>Excipientes Digitales S.L.</t>
        </is>
      </c>
      <c r="F69" s="2" t="n">
        <v>2043787</v>
      </c>
      <c r="G69" s="4" t="n">
        <v>218.19</v>
      </c>
      <c r="H69" s="3" t="n">
        <v>46019</v>
      </c>
      <c r="I69" s="3" t="n">
        <v>46086</v>
      </c>
      <c r="J69" s="2" t="n">
        <v>67</v>
      </c>
      <c r="K69" s="2" t="n">
        <v>4.82</v>
      </c>
      <c r="L69" s="2" t="n">
        <v>1.05</v>
      </c>
      <c r="M69" s="4" t="n">
        <v>2.29</v>
      </c>
      <c r="N69" s="4" t="n">
        <v>1.96</v>
      </c>
      <c r="O69" s="2" t="n">
        <v>70</v>
      </c>
      <c r="P69" s="4" t="n">
        <v>1.87</v>
      </c>
      <c r="Q69" s="4" t="n">
        <v>1.19</v>
      </c>
      <c r="R69" s="4">
        <f>G69*(L69/100)*(O69/100)</f>
        <v/>
      </c>
      <c r="S69" s="4">
        <f>G69*(K69/360/100)*J69*(O69/100)</f>
        <v/>
      </c>
      <c r="T69" s="4">
        <f>P69-R69+Q69-S69</f>
        <v/>
      </c>
    </row>
    <row r="70">
      <c r="A70" s="2" t="inlineStr">
        <is>
          <t>Diamante</t>
        </is>
      </c>
      <c r="B70" s="2" t="inlineStr">
        <is>
          <t>Blanco</t>
        </is>
      </c>
      <c r="C70" s="3" t="n">
        <v>46027</v>
      </c>
      <c r="D70" s="2" t="inlineStr">
        <is>
          <t>B95586293</t>
        </is>
      </c>
      <c r="E70" s="2" t="inlineStr">
        <is>
          <t>Excipientes Digitales S.L.</t>
        </is>
      </c>
      <c r="F70" s="2" t="n">
        <v>4396565</v>
      </c>
      <c r="G70" s="4" t="n">
        <v>538.79</v>
      </c>
      <c r="H70" s="3" t="n">
        <v>46014</v>
      </c>
      <c r="I70" s="3" t="n">
        <v>46069</v>
      </c>
      <c r="J70" s="2" t="n">
        <v>55</v>
      </c>
      <c r="K70" s="2" t="n">
        <v>4.41</v>
      </c>
      <c r="L70" s="2" t="n">
        <v>1.3</v>
      </c>
      <c r="M70" s="4" t="n">
        <v>7</v>
      </c>
      <c r="N70" s="4" t="n">
        <v>3.63</v>
      </c>
      <c r="O70" s="2" t="n">
        <v>30</v>
      </c>
      <c r="P70" s="4" t="n">
        <v>2.08</v>
      </c>
      <c r="Q70" s="4" t="n">
        <v>0.82</v>
      </c>
      <c r="R70" s="4">
        <f>G70*(L70/100)*(O70/100)</f>
        <v/>
      </c>
      <c r="S70" s="4">
        <f>G70*(K70/360/100)*J70*(O70/100)</f>
        <v/>
      </c>
      <c r="T70" s="4">
        <f>P70-R70+Q70-S70</f>
        <v/>
      </c>
    </row>
    <row r="71">
      <c r="A71" s="2" t="inlineStr">
        <is>
          <t>Diamante</t>
        </is>
      </c>
      <c r="B71" s="2" t="inlineStr">
        <is>
          <t>Blanco</t>
        </is>
      </c>
      <c r="C71" s="3" t="n">
        <v>46027</v>
      </c>
      <c r="D71" s="2" t="inlineStr">
        <is>
          <t>A46950300</t>
        </is>
      </c>
      <c r="E71" s="2" t="inlineStr">
        <is>
          <t>Fresas Renovados S.A.</t>
        </is>
      </c>
      <c r="F71" s="2" t="n">
        <v>3732450</v>
      </c>
      <c r="G71" s="4" t="n">
        <v>544.41</v>
      </c>
      <c r="H71" s="3" t="n">
        <v>46013</v>
      </c>
      <c r="I71" s="3" t="n">
        <v>46084</v>
      </c>
      <c r="J71" s="2" t="n">
        <v>71</v>
      </c>
      <c r="K71" s="2" t="n">
        <v>4.03</v>
      </c>
      <c r="L71" s="2" t="n">
        <v>1.75</v>
      </c>
      <c r="M71" s="4" t="n">
        <v>9.529999999999999</v>
      </c>
      <c r="N71" s="4" t="n">
        <v>4.33</v>
      </c>
      <c r="O71" s="2" t="n">
        <v>70</v>
      </c>
      <c r="P71" s="4" t="n">
        <v>6.81</v>
      </c>
      <c r="Q71" s="4" t="n">
        <v>2.78</v>
      </c>
      <c r="R71" s="4">
        <f>G71*(L71/100)*(O71/100)</f>
        <v/>
      </c>
      <c r="S71" s="4">
        <f>G71*(K71/360/100)*J71*(O71/100)</f>
        <v/>
      </c>
      <c r="T71" s="4">
        <f>P71-R71+Q71-S71</f>
        <v/>
      </c>
    </row>
    <row r="72">
      <c r="A72" s="2" t="inlineStr">
        <is>
          <t>Diamante</t>
        </is>
      </c>
      <c r="B72" s="2" t="inlineStr">
        <is>
          <t>Blanco</t>
        </is>
      </c>
      <c r="C72" s="3" t="n">
        <v>46027</v>
      </c>
      <c r="D72" s="2" t="inlineStr">
        <is>
          <t>A46950300</t>
        </is>
      </c>
      <c r="E72" s="2" t="inlineStr">
        <is>
          <t>Fresas Renovados S.A.</t>
        </is>
      </c>
      <c r="F72" s="2" t="n">
        <v>1500407</v>
      </c>
      <c r="G72" s="4" t="n">
        <v>831.12</v>
      </c>
      <c r="H72" s="3" t="n">
        <v>45994</v>
      </c>
      <c r="I72" s="3" t="n">
        <v>46078</v>
      </c>
      <c r="J72" s="2" t="n">
        <v>84</v>
      </c>
      <c r="K72" s="2" t="n">
        <v>3.69</v>
      </c>
      <c r="L72" s="2" t="n">
        <v>1.6</v>
      </c>
      <c r="M72" s="4" t="n">
        <v>13.3</v>
      </c>
      <c r="N72" s="4" t="n">
        <v>7.16</v>
      </c>
      <c r="O72" s="2" t="n">
        <v>20</v>
      </c>
      <c r="P72" s="4" t="n">
        <v>2.74</v>
      </c>
      <c r="Q72" s="4" t="n">
        <v>1.49</v>
      </c>
      <c r="R72" s="4">
        <f>G72*(L72/100)*(O72/100)</f>
        <v/>
      </c>
      <c r="S72" s="4">
        <f>G72*(K72/360/100)*J72*(O72/100)</f>
        <v/>
      </c>
      <c r="T72" s="4">
        <f>P72-R72+Q72-S72</f>
        <v/>
      </c>
    </row>
    <row r="73">
      <c r="A73" s="2" t="inlineStr">
        <is>
          <t>Diamante</t>
        </is>
      </c>
      <c r="B73" s="2" t="inlineStr">
        <is>
          <t>Blanco</t>
        </is>
      </c>
      <c r="C73" s="3" t="n">
        <v>46027</v>
      </c>
      <c r="D73" s="2" t="inlineStr">
        <is>
          <t>A46950300</t>
        </is>
      </c>
      <c r="E73" s="2" t="inlineStr">
        <is>
          <t>Fresas Renovados S.A.</t>
        </is>
      </c>
      <c r="F73" s="2" t="n">
        <v>1233184</v>
      </c>
      <c r="G73" s="4" t="n">
        <v>115.51</v>
      </c>
      <c r="H73" s="3" t="n">
        <v>45999</v>
      </c>
      <c r="I73" s="3" t="n">
        <v>46042</v>
      </c>
      <c r="J73" s="2" t="n">
        <v>43</v>
      </c>
      <c r="K73" s="2" t="n">
        <v>5.38</v>
      </c>
      <c r="L73" s="2" t="n">
        <v>0.53</v>
      </c>
      <c r="M73" s="4" t="n">
        <v>0.61</v>
      </c>
      <c r="N73" s="4" t="n">
        <v>0.74</v>
      </c>
      <c r="O73" s="2" t="n">
        <v>30</v>
      </c>
      <c r="P73" s="4" t="n">
        <v>0.06</v>
      </c>
      <c r="Q73" s="4" t="n">
        <v>0.34</v>
      </c>
      <c r="R73" s="4">
        <f>G73*(L73/100)*(O73/100)</f>
        <v/>
      </c>
      <c r="S73" s="4">
        <f>G73*(K73/360/100)*J73*(O73/100)</f>
        <v/>
      </c>
      <c r="T73" s="4">
        <f>P73-R73+Q73-S73</f>
        <v/>
      </c>
    </row>
    <row r="74">
      <c r="A74" s="2" t="inlineStr">
        <is>
          <t>Diamante</t>
        </is>
      </c>
      <c r="B74" s="2" t="inlineStr">
        <is>
          <t>Blanco</t>
        </is>
      </c>
      <c r="C74" s="3" t="n">
        <v>46027</v>
      </c>
      <c r="D74" s="2" t="inlineStr">
        <is>
          <t>B27785166</t>
        </is>
      </c>
      <c r="E74" s="2" t="inlineStr">
        <is>
          <t>Tarimas Murcianos S.L.</t>
        </is>
      </c>
      <c r="F74" s="2" t="n">
        <v>4230118</v>
      </c>
      <c r="G74" s="4" t="n">
        <v>2990.64</v>
      </c>
      <c r="H74" s="3" t="n">
        <v>45997</v>
      </c>
      <c r="I74" s="3" t="n">
        <v>46041</v>
      </c>
      <c r="J74" s="2" t="n">
        <v>44</v>
      </c>
      <c r="K74" s="2" t="n">
        <v>4.82</v>
      </c>
      <c r="L74" s="2" t="n">
        <v>1.42</v>
      </c>
      <c r="M74" s="4" t="n">
        <v>42.47</v>
      </c>
      <c r="N74" s="4" t="n">
        <v>17.62</v>
      </c>
      <c r="O74" s="2" t="n">
        <v>30</v>
      </c>
      <c r="P74" s="4" t="n">
        <v>12.63</v>
      </c>
      <c r="Q74" s="4" t="n">
        <v>5</v>
      </c>
      <c r="R74" s="4">
        <f>G74*(L74/100)*(O74/100)</f>
        <v/>
      </c>
      <c r="S74" s="4">
        <f>G74*(K74/360/100)*J74*(O74/100)</f>
        <v/>
      </c>
      <c r="T74" s="4">
        <f>P74-R74+Q74-S74</f>
        <v/>
      </c>
    </row>
    <row r="75">
      <c r="A75" s="2" t="inlineStr">
        <is>
          <t>Diamante</t>
        </is>
      </c>
      <c r="B75" s="2" t="inlineStr">
        <is>
          <t>Blanco</t>
        </is>
      </c>
      <c r="C75" s="3" t="n">
        <v>46027</v>
      </c>
      <c r="D75" s="2" t="inlineStr">
        <is>
          <t>B27785166</t>
        </is>
      </c>
      <c r="E75" s="2" t="inlineStr">
        <is>
          <t>Tarimas Murcianos S.L.</t>
        </is>
      </c>
      <c r="F75" s="2" t="n">
        <v>3216736</v>
      </c>
      <c r="G75" s="4" t="n">
        <v>719.66</v>
      </c>
      <c r="H75" s="3" t="n">
        <v>46016</v>
      </c>
      <c r="I75" s="3" t="n">
        <v>46067</v>
      </c>
      <c r="J75" s="2" t="n">
        <v>51</v>
      </c>
      <c r="K75" s="2" t="n">
        <v>6.03</v>
      </c>
      <c r="L75" s="2" t="n">
        <v>1.35</v>
      </c>
      <c r="M75" s="4" t="n">
        <v>9.720000000000001</v>
      </c>
      <c r="N75" s="4" t="n">
        <v>6.15</v>
      </c>
      <c r="O75" s="2" t="n">
        <v>50</v>
      </c>
      <c r="P75" s="4" t="n">
        <v>4.65</v>
      </c>
      <c r="Q75" s="4" t="n">
        <v>3.11</v>
      </c>
      <c r="R75" s="4">
        <f>G75*(L75/100)*(O75/100)</f>
        <v/>
      </c>
      <c r="S75" s="4">
        <f>G75*(K75/360/100)*J75*(O75/100)</f>
        <v/>
      </c>
      <c r="T75" s="4">
        <f>P75-R75+Q75-S75</f>
        <v/>
      </c>
    </row>
    <row r="76">
      <c r="A76" s="2" t="inlineStr">
        <is>
          <t>Diamante</t>
        </is>
      </c>
      <c r="B76" s="2" t="inlineStr">
        <is>
          <t>Blanco</t>
        </is>
      </c>
      <c r="C76" s="3" t="n">
        <v>46027</v>
      </c>
      <c r="D76" s="2" t="inlineStr">
        <is>
          <t>B64207507</t>
        </is>
      </c>
      <c r="E76" s="2" t="inlineStr">
        <is>
          <t>Etilenos Cementados S.L.</t>
        </is>
      </c>
      <c r="F76" s="2" t="n">
        <v>3116996</v>
      </c>
      <c r="G76" s="4" t="n">
        <v>210.3</v>
      </c>
      <c r="H76" s="3" t="n">
        <v>45993</v>
      </c>
      <c r="I76" s="3" t="n">
        <v>46041</v>
      </c>
      <c r="J76" s="2" t="n">
        <v>48</v>
      </c>
      <c r="K76" s="2" t="n">
        <v>6.16</v>
      </c>
      <c r="L76" s="2" t="n">
        <v>1.36</v>
      </c>
      <c r="M76" s="4" t="n">
        <v>2.86</v>
      </c>
      <c r="N76" s="4" t="n">
        <v>1.73</v>
      </c>
      <c r="O76" s="2" t="n">
        <v>60</v>
      </c>
      <c r="P76" s="4" t="n">
        <v>1.88</v>
      </c>
      <c r="Q76" s="4" t="n">
        <v>0.8</v>
      </c>
      <c r="R76" s="4">
        <f>G76*(L76/100)*(O76/100)</f>
        <v/>
      </c>
      <c r="S76" s="4">
        <f>G76*(K76/360/100)*J76*(O76/100)</f>
        <v/>
      </c>
      <c r="T76" s="4">
        <f>P76-R76+Q76-S76</f>
        <v/>
      </c>
    </row>
    <row r="77">
      <c r="A77" s="2" t="inlineStr">
        <is>
          <t>Diamante</t>
        </is>
      </c>
      <c r="B77" s="2" t="inlineStr">
        <is>
          <t>Blanco</t>
        </is>
      </c>
      <c r="C77" s="3" t="n">
        <v>46027</v>
      </c>
      <c r="D77" s="2" t="inlineStr">
        <is>
          <t>B64207507</t>
        </is>
      </c>
      <c r="E77" s="2" t="inlineStr">
        <is>
          <t>Etilenos Cementados S.L.</t>
        </is>
      </c>
      <c r="F77" s="2" t="n">
        <v>1001593</v>
      </c>
      <c r="G77" s="4" t="n">
        <v>927.09</v>
      </c>
      <c r="H77" s="3" t="n">
        <v>46012</v>
      </c>
      <c r="I77" s="3" t="n">
        <v>46069</v>
      </c>
      <c r="J77" s="2" t="n">
        <v>57</v>
      </c>
      <c r="K77" s="2" t="n">
        <v>6.24</v>
      </c>
      <c r="L77" s="2" t="n">
        <v>1.19</v>
      </c>
      <c r="M77" s="4" t="n">
        <v>11.03</v>
      </c>
      <c r="N77" s="4" t="n">
        <v>9.16</v>
      </c>
      <c r="O77" s="2" t="n">
        <v>50</v>
      </c>
      <c r="P77" s="4" t="n">
        <v>5.78</v>
      </c>
      <c r="Q77" s="4" t="n">
        <v>4.37</v>
      </c>
      <c r="R77" s="4">
        <f>G77*(L77/100)*(O77/100)</f>
        <v/>
      </c>
      <c r="S77" s="4">
        <f>G77*(K77/360/100)*J77*(O77/100)</f>
        <v/>
      </c>
      <c r="T77" s="4">
        <f>P77-R77+Q77-S77</f>
        <v/>
      </c>
    </row>
    <row r="78">
      <c r="A78" s="2" t="inlineStr">
        <is>
          <t>Diamante</t>
        </is>
      </c>
      <c r="B78" s="2" t="inlineStr">
        <is>
          <t>Blanco</t>
        </is>
      </c>
      <c r="C78" s="3" t="n">
        <v>46027</v>
      </c>
      <c r="D78" s="2" t="inlineStr">
        <is>
          <t>B09286084</t>
        </is>
      </c>
      <c r="E78" s="2" t="inlineStr">
        <is>
          <t>Engranajes Miniaturizados S.L.</t>
        </is>
      </c>
      <c r="F78" s="2" t="n">
        <v>4836119</v>
      </c>
      <c r="G78" s="4" t="n">
        <v>639.0700000000001</v>
      </c>
      <c r="H78" s="3" t="n">
        <v>46017</v>
      </c>
      <c r="I78" s="3" t="n">
        <v>46058</v>
      </c>
      <c r="J78" s="2" t="n">
        <v>41</v>
      </c>
      <c r="K78" s="2" t="n">
        <v>5.83</v>
      </c>
      <c r="L78" s="2" t="n">
        <v>1.9</v>
      </c>
      <c r="M78" s="4" t="n">
        <v>12.14</v>
      </c>
      <c r="N78" s="4" t="n">
        <v>4.24</v>
      </c>
      <c r="O78" s="2" t="n">
        <v>50</v>
      </c>
      <c r="P78" s="4" t="n">
        <v>6.35</v>
      </c>
      <c r="Q78" s="4" t="n">
        <v>2.03</v>
      </c>
      <c r="R78" s="4">
        <f>G78*(L78/100)*(O78/100)</f>
        <v/>
      </c>
      <c r="S78" s="4">
        <f>G78*(K78/360/100)*J78*(O78/100)</f>
        <v/>
      </c>
      <c r="T78" s="4">
        <f>P78-R78+Q78-S78</f>
        <v/>
      </c>
    </row>
    <row r="79">
      <c r="A79" s="2" t="inlineStr">
        <is>
          <t>Diamante</t>
        </is>
      </c>
      <c r="B79" s="2" t="inlineStr">
        <is>
          <t>Blanco</t>
        </is>
      </c>
      <c r="C79" s="3" t="n">
        <v>46027</v>
      </c>
      <c r="D79" s="2" t="inlineStr">
        <is>
          <t>B09286084</t>
        </is>
      </c>
      <c r="E79" s="2" t="inlineStr">
        <is>
          <t>Engranajes Miniaturizados S.L.</t>
        </is>
      </c>
      <c r="F79" s="2" t="n">
        <v>4057994</v>
      </c>
      <c r="G79" s="4" t="n">
        <v>383.08</v>
      </c>
      <c r="H79" s="3" t="n">
        <v>45997</v>
      </c>
      <c r="I79" s="3" t="n">
        <v>46062</v>
      </c>
      <c r="J79" s="2" t="n">
        <v>65</v>
      </c>
      <c r="K79" s="2" t="n">
        <v>6.01</v>
      </c>
      <c r="L79" s="2" t="n">
        <v>1.64</v>
      </c>
      <c r="M79" s="4" t="n">
        <v>6.28</v>
      </c>
      <c r="N79" s="4" t="n">
        <v>4.16</v>
      </c>
      <c r="O79" s="2" t="n">
        <v>70</v>
      </c>
      <c r="P79" s="4" t="n">
        <v>4.55</v>
      </c>
      <c r="Q79" s="4" t="n">
        <v>2.74</v>
      </c>
      <c r="R79" s="4">
        <f>G79*(L79/100)*(O79/100)</f>
        <v/>
      </c>
      <c r="S79" s="4">
        <f>G79*(K79/360/100)*J79*(O79/100)</f>
        <v/>
      </c>
      <c r="T79" s="4">
        <f>P79-R79+Q79-S79</f>
        <v/>
      </c>
    </row>
    <row r="80">
      <c r="A80" s="2" t="inlineStr">
        <is>
          <t>Diamante</t>
        </is>
      </c>
      <c r="B80" s="2" t="inlineStr">
        <is>
          <t>Blanco</t>
        </is>
      </c>
      <c r="C80" s="3" t="n">
        <v>46027</v>
      </c>
      <c r="D80" s="2" t="inlineStr">
        <is>
          <t>B23121122</t>
        </is>
      </c>
      <c r="E80" s="2" t="inlineStr">
        <is>
          <t>Proyectos Importadores S.L.</t>
        </is>
      </c>
      <c r="F80" s="2" t="n">
        <v>4228109</v>
      </c>
      <c r="G80" s="4" t="n">
        <v>161.64</v>
      </c>
      <c r="H80" s="3" t="n">
        <v>45997</v>
      </c>
      <c r="I80" s="3" t="n">
        <v>46080</v>
      </c>
      <c r="J80" s="2" t="n">
        <v>83</v>
      </c>
      <c r="K80" s="2" t="n">
        <v>6.6</v>
      </c>
      <c r="L80" s="2" t="n">
        <v>1.85</v>
      </c>
      <c r="M80" s="4" t="n">
        <v>2.99</v>
      </c>
      <c r="N80" s="4" t="n">
        <v>2.46</v>
      </c>
      <c r="O80" s="2" t="n">
        <v>70</v>
      </c>
      <c r="P80" s="4" t="n">
        <v>2.36</v>
      </c>
      <c r="Q80" s="4" t="n">
        <v>1.66</v>
      </c>
      <c r="R80" s="4">
        <f>G80*(L80/100)*(O80/100)</f>
        <v/>
      </c>
      <c r="S80" s="4">
        <f>G80*(K80/360/100)*J80*(O80/100)</f>
        <v/>
      </c>
      <c r="T80" s="4">
        <f>P80-R80+Q80-S80</f>
        <v/>
      </c>
    </row>
    <row r="81">
      <c r="A81" s="2" t="inlineStr">
        <is>
          <t>Diamante</t>
        </is>
      </c>
      <c r="B81" s="2" t="inlineStr">
        <is>
          <t>Blanco</t>
        </is>
      </c>
      <c r="C81" s="3" t="n">
        <v>46027</v>
      </c>
      <c r="D81" s="2" t="inlineStr">
        <is>
          <t>B23121122</t>
        </is>
      </c>
      <c r="E81" s="2" t="inlineStr">
        <is>
          <t>Proyectos Importadores S.L.</t>
        </is>
      </c>
      <c r="F81" s="2" t="n">
        <v>1723526</v>
      </c>
      <c r="G81" s="4" t="n">
        <v>6145.42</v>
      </c>
      <c r="H81" s="3" t="n">
        <v>46005</v>
      </c>
      <c r="I81" s="3" t="n">
        <v>46050</v>
      </c>
      <c r="J81" s="2" t="n">
        <v>45</v>
      </c>
      <c r="K81" s="2" t="n">
        <v>5.72</v>
      </c>
      <c r="L81" s="2" t="n">
        <v>1.31</v>
      </c>
      <c r="M81" s="4" t="n">
        <v>80.51000000000001</v>
      </c>
      <c r="N81" s="4" t="n">
        <v>43.94</v>
      </c>
      <c r="O81" s="2" t="n">
        <v>30</v>
      </c>
      <c r="P81" s="4" t="n">
        <v>23.94</v>
      </c>
      <c r="Q81" s="4" t="n">
        <v>13.15</v>
      </c>
      <c r="R81" s="4">
        <f>G81*(L81/100)*(O81/100)</f>
        <v/>
      </c>
      <c r="S81" s="4">
        <f>G81*(K81/360/100)*J81*(O81/100)</f>
        <v/>
      </c>
      <c r="T81" s="4">
        <f>P81-R81+Q81-S81</f>
        <v/>
      </c>
    </row>
    <row r="82">
      <c r="A82" s="2" t="inlineStr">
        <is>
          <t>Diamante</t>
        </is>
      </c>
      <c r="B82" s="2" t="inlineStr">
        <is>
          <t>Blanco</t>
        </is>
      </c>
      <c r="C82" s="3" t="n">
        <v>46027</v>
      </c>
      <c r="D82" s="2" t="inlineStr">
        <is>
          <t>B23121122</t>
        </is>
      </c>
      <c r="E82" s="2" t="inlineStr">
        <is>
          <t>Proyectos Importadores S.L.</t>
        </is>
      </c>
      <c r="F82" s="2" t="n">
        <v>1371015</v>
      </c>
      <c r="G82" s="4" t="n">
        <v>605.41</v>
      </c>
      <c r="H82" s="3" t="n">
        <v>45994</v>
      </c>
      <c r="I82" s="3" t="n">
        <v>46056</v>
      </c>
      <c r="J82" s="2" t="n">
        <v>62</v>
      </c>
      <c r="K82" s="2" t="n">
        <v>6.37</v>
      </c>
      <c r="L82" s="2" t="n">
        <v>1.74</v>
      </c>
      <c r="M82" s="4" t="n">
        <v>10.53</v>
      </c>
      <c r="N82" s="4" t="n">
        <v>6.64</v>
      </c>
      <c r="O82" s="2" t="n">
        <v>60</v>
      </c>
      <c r="P82" s="4" t="n">
        <v>6.31</v>
      </c>
      <c r="Q82" s="4" t="n">
        <v>3.8</v>
      </c>
      <c r="R82" s="4">
        <f>G82*(L82/100)*(O82/100)</f>
        <v/>
      </c>
      <c r="S82" s="4">
        <f>G82*(K82/360/100)*J82*(O82/100)</f>
        <v/>
      </c>
      <c r="T82" s="4">
        <f>P82-R82+Q82-S82</f>
        <v/>
      </c>
    </row>
    <row r="83">
      <c r="A83" s="2" t="inlineStr">
        <is>
          <t>Diamante</t>
        </is>
      </c>
      <c r="B83" s="2" t="inlineStr">
        <is>
          <t>Blanco</t>
        </is>
      </c>
      <c r="C83" s="3" t="n">
        <v>46027</v>
      </c>
      <c r="D83" s="2" t="inlineStr">
        <is>
          <t>A75878906</t>
        </is>
      </c>
      <c r="E83" s="2" t="inlineStr">
        <is>
          <t>Fotovoltaicos Fosfatados S.A.</t>
        </is>
      </c>
      <c r="F83" s="2" t="n">
        <v>1653403</v>
      </c>
      <c r="G83" s="4" t="n">
        <v>542.42</v>
      </c>
      <c r="H83" s="3" t="n">
        <v>46013</v>
      </c>
      <c r="I83" s="3" t="n">
        <v>46099</v>
      </c>
      <c r="J83" s="2" t="n">
        <v>86</v>
      </c>
      <c r="K83" s="2" t="n">
        <v>4.18</v>
      </c>
      <c r="L83" s="2" t="n">
        <v>0.84</v>
      </c>
      <c r="M83" s="4" t="n">
        <v>4.56</v>
      </c>
      <c r="N83" s="4" t="n">
        <v>5.42</v>
      </c>
      <c r="O83" s="2" t="n">
        <v>50</v>
      </c>
      <c r="P83" s="4" t="n">
        <v>2.14</v>
      </c>
      <c r="Q83" s="4" t="n">
        <v>2.91</v>
      </c>
      <c r="R83" s="4">
        <f>G83*(L83/100)*(O83/100)</f>
        <v/>
      </c>
      <c r="S83" s="4">
        <f>G83*(K83/360/100)*J83*(O83/100)</f>
        <v/>
      </c>
      <c r="T83" s="4">
        <f>P83-R83+Q83-S83</f>
        <v/>
      </c>
    </row>
    <row r="84">
      <c r="A84" s="2" t="inlineStr">
        <is>
          <t>Diamante</t>
        </is>
      </c>
      <c r="B84" s="2" t="inlineStr">
        <is>
          <t>Blanco</t>
        </is>
      </c>
      <c r="C84" s="3" t="n">
        <v>46027</v>
      </c>
      <c r="D84" s="2" t="inlineStr">
        <is>
          <t>A75878906</t>
        </is>
      </c>
      <c r="E84" s="2" t="inlineStr">
        <is>
          <t>Fotovoltaicos Fosfatados S.A.</t>
        </is>
      </c>
      <c r="F84" s="2" t="n">
        <v>3335224</v>
      </c>
      <c r="G84" s="4" t="n">
        <v>8404.860000000001</v>
      </c>
      <c r="H84" s="3" t="n">
        <v>46015</v>
      </c>
      <c r="I84" s="3" t="n">
        <v>46103</v>
      </c>
      <c r="J84" s="2" t="n">
        <v>88</v>
      </c>
      <c r="K84" s="2" t="n">
        <v>5.38</v>
      </c>
      <c r="L84" s="2" t="n">
        <v>0.68</v>
      </c>
      <c r="M84" s="4" t="n">
        <v>57.15</v>
      </c>
      <c r="N84" s="4" t="n">
        <v>110.53</v>
      </c>
      <c r="O84" s="2" t="n">
        <v>70</v>
      </c>
      <c r="P84" s="4" t="n">
        <v>39.82</v>
      </c>
      <c r="Q84" s="4" t="n">
        <v>77.53</v>
      </c>
      <c r="R84" s="4">
        <f>G84*(L84/100)*(O84/100)</f>
        <v/>
      </c>
      <c r="S84" s="4">
        <f>G84*(K84/360/100)*J84*(O84/100)</f>
        <v/>
      </c>
      <c r="T84" s="4">
        <f>P84-R84+Q84-S84</f>
        <v/>
      </c>
    </row>
    <row r="85">
      <c r="A85" s="2" t="inlineStr">
        <is>
          <t>Diamante</t>
        </is>
      </c>
      <c r="B85" s="2" t="inlineStr">
        <is>
          <t>Blanco</t>
        </is>
      </c>
      <c r="C85" s="3" t="n">
        <v>46027</v>
      </c>
      <c r="D85" s="2" t="inlineStr">
        <is>
          <t>A02265641</t>
        </is>
      </c>
      <c r="E85" s="2" t="inlineStr">
        <is>
          <t>Yesos Dinámicos S.A.</t>
        </is>
      </c>
      <c r="F85" s="2" t="n">
        <v>4440600</v>
      </c>
      <c r="G85" s="4" t="n">
        <v>122.24</v>
      </c>
      <c r="H85" s="3" t="n">
        <v>46011</v>
      </c>
      <c r="I85" s="3" t="n">
        <v>46042</v>
      </c>
      <c r="J85" s="2" t="n">
        <v>31</v>
      </c>
      <c r="K85" s="2" t="n">
        <v>4.79</v>
      </c>
      <c r="L85" s="2" t="n">
        <v>1.17</v>
      </c>
      <c r="M85" s="4" t="n">
        <v>1.43</v>
      </c>
      <c r="N85" s="4" t="n">
        <v>0.5</v>
      </c>
      <c r="O85" s="2" t="n">
        <v>20</v>
      </c>
      <c r="P85" s="4" t="n">
        <v>0.17</v>
      </c>
      <c r="Q85" s="4" t="n">
        <v>0.35</v>
      </c>
      <c r="R85" s="4">
        <f>G85*(L85/100)*(O85/100)</f>
        <v/>
      </c>
      <c r="S85" s="4">
        <f>G85*(K85/360/100)*J85*(O85/100)</f>
        <v/>
      </c>
      <c r="T85" s="4">
        <f>P85-R85+Q85-S85</f>
        <v/>
      </c>
    </row>
    <row r="86">
      <c r="A86" s="2" t="inlineStr">
        <is>
          <t>Diamante</t>
        </is>
      </c>
      <c r="B86" s="2" t="inlineStr">
        <is>
          <t>Blanco</t>
        </is>
      </c>
      <c r="C86" s="3" t="n">
        <v>46027</v>
      </c>
      <c r="D86" s="2" t="inlineStr">
        <is>
          <t>A02265641</t>
        </is>
      </c>
      <c r="E86" s="2" t="inlineStr">
        <is>
          <t>Yesos Dinámicos S.A.</t>
        </is>
      </c>
      <c r="F86" s="2" t="n">
        <v>2730139</v>
      </c>
      <c r="G86" s="4" t="n">
        <v>3488.33</v>
      </c>
      <c r="H86" s="3" t="n">
        <v>46017</v>
      </c>
      <c r="I86" s="3" t="n">
        <v>46079</v>
      </c>
      <c r="J86" s="2" t="n">
        <v>62</v>
      </c>
      <c r="K86" s="2" t="n">
        <v>5.93</v>
      </c>
      <c r="L86" s="2" t="n">
        <v>1.81</v>
      </c>
      <c r="M86" s="4" t="n">
        <v>63.14</v>
      </c>
      <c r="N86" s="4" t="n">
        <v>35.63</v>
      </c>
      <c r="O86" s="2" t="n">
        <v>60</v>
      </c>
      <c r="P86" s="4" t="n">
        <v>37.98</v>
      </c>
      <c r="Q86" s="4" t="n">
        <v>21.24</v>
      </c>
      <c r="R86" s="4">
        <f>G86*(L86/100)*(O86/100)</f>
        <v/>
      </c>
      <c r="S86" s="4">
        <f>G86*(K86/360/100)*J86*(O86/100)</f>
        <v/>
      </c>
      <c r="T86" s="4">
        <f>P86-R86+Q86-S86</f>
        <v/>
      </c>
    </row>
    <row r="87">
      <c r="A87" s="2" t="inlineStr">
        <is>
          <t>Diamante</t>
        </is>
      </c>
      <c r="B87" s="2" t="inlineStr">
        <is>
          <t>Blanco</t>
        </is>
      </c>
      <c r="C87" s="3" t="n">
        <v>46027</v>
      </c>
      <c r="D87" s="2" t="inlineStr">
        <is>
          <t>A75878906</t>
        </is>
      </c>
      <c r="E87" s="2" t="inlineStr">
        <is>
          <t>Fotovoltaicos Fosfatados S.A.</t>
        </is>
      </c>
      <c r="F87" s="2" t="n">
        <v>1989670</v>
      </c>
      <c r="G87" s="4" t="n">
        <v>157.3</v>
      </c>
      <c r="H87" s="3" t="n">
        <v>46005</v>
      </c>
      <c r="I87" s="3" t="n">
        <v>46095</v>
      </c>
      <c r="J87" s="2" t="n">
        <v>90</v>
      </c>
      <c r="K87" s="2" t="n">
        <v>3.83</v>
      </c>
      <c r="L87" s="2" t="n">
        <v>1.3</v>
      </c>
      <c r="M87" s="4" t="n">
        <v>2.04</v>
      </c>
      <c r="N87" s="4" t="n">
        <v>1.51</v>
      </c>
      <c r="O87" s="2" t="n">
        <v>20</v>
      </c>
      <c r="P87" s="4" t="n">
        <v>0.17</v>
      </c>
      <c r="Q87" s="4" t="n">
        <v>0.08</v>
      </c>
      <c r="R87" s="4">
        <f>G87*(L87/100)*(O87/100)</f>
        <v/>
      </c>
      <c r="S87" s="4">
        <f>G87*(K87/360/100)*J87*(O87/100)</f>
        <v/>
      </c>
      <c r="T87" s="4">
        <f>P87-R87+Q87-S87</f>
        <v/>
      </c>
    </row>
    <row r="88">
      <c r="A88" s="2" t="inlineStr">
        <is>
          <t>Diamante</t>
        </is>
      </c>
      <c r="B88" s="2" t="inlineStr">
        <is>
          <t>Blanco</t>
        </is>
      </c>
      <c r="C88" s="3" t="n">
        <v>46027</v>
      </c>
      <c r="D88" s="2" t="inlineStr">
        <is>
          <t>A75878906</t>
        </is>
      </c>
      <c r="E88" s="2" t="inlineStr">
        <is>
          <t>Fotovoltaicos Fosfatados S.A.</t>
        </is>
      </c>
      <c r="F88" s="2" t="n">
        <v>1559829</v>
      </c>
      <c r="G88" s="4" t="n">
        <v>417.51</v>
      </c>
      <c r="H88" s="3" t="n">
        <v>46019</v>
      </c>
      <c r="I88" s="3" t="n">
        <v>46108</v>
      </c>
      <c r="J88" s="2" t="n">
        <v>89</v>
      </c>
      <c r="K88" s="2" t="n">
        <v>5.53</v>
      </c>
      <c r="L88" s="2" t="n">
        <v>0.68</v>
      </c>
      <c r="M88" s="4" t="n">
        <v>2.84</v>
      </c>
      <c r="N88" s="4" t="n">
        <v>5.71</v>
      </c>
      <c r="O88" s="2" t="n">
        <v>70</v>
      </c>
      <c r="P88" s="4" t="n">
        <v>2</v>
      </c>
      <c r="Q88" s="4" t="n">
        <v>3.79</v>
      </c>
      <c r="R88" s="4">
        <f>G88*(L88/100)*(O88/100)</f>
        <v/>
      </c>
      <c r="S88" s="4">
        <f>G88*(K88/360/100)*J88*(O88/100)</f>
        <v/>
      </c>
      <c r="T88" s="4">
        <f>P88-R88+Q88-S88</f>
        <v/>
      </c>
    </row>
    <row r="89">
      <c r="A89" s="2" t="inlineStr">
        <is>
          <t>Diamante</t>
        </is>
      </c>
      <c r="B89" s="2" t="inlineStr">
        <is>
          <t>Blanco</t>
        </is>
      </c>
      <c r="C89" s="3" t="n">
        <v>46027</v>
      </c>
      <c r="D89" s="2" t="inlineStr">
        <is>
          <t>A75878906</t>
        </is>
      </c>
      <c r="E89" s="2" t="inlineStr">
        <is>
          <t>Fotovoltaicos Fosfatados S.A.</t>
        </is>
      </c>
      <c r="F89" s="2" t="n">
        <v>4543158</v>
      </c>
      <c r="G89" s="4" t="n">
        <v>568.54</v>
      </c>
      <c r="H89" s="3" t="n">
        <v>46001</v>
      </c>
      <c r="I89" s="3" t="n">
        <v>46089</v>
      </c>
      <c r="J89" s="2" t="n">
        <v>88</v>
      </c>
      <c r="K89" s="2" t="n">
        <v>4.4</v>
      </c>
      <c r="L89" s="2" t="n">
        <v>1.89</v>
      </c>
      <c r="M89" s="4" t="n">
        <v>10.75</v>
      </c>
      <c r="N89" s="4" t="n">
        <v>6.11</v>
      </c>
      <c r="O89" s="2" t="n">
        <v>50</v>
      </c>
      <c r="P89" s="4" t="n">
        <v>5.67</v>
      </c>
      <c r="Q89" s="4" t="n">
        <v>3.18</v>
      </c>
      <c r="R89" s="4">
        <f>G89*(L89/100)*(O89/100)</f>
        <v/>
      </c>
      <c r="S89" s="4">
        <f>G89*(K89/360/100)*J89*(O89/100)</f>
        <v/>
      </c>
      <c r="T89" s="4">
        <f>P89-R89+Q89-S89</f>
        <v/>
      </c>
    </row>
    <row r="90">
      <c r="A90" s="2" t="inlineStr">
        <is>
          <t>Diamante</t>
        </is>
      </c>
      <c r="B90" s="2" t="inlineStr">
        <is>
          <t>Blanco</t>
        </is>
      </c>
      <c r="C90" s="3" t="n">
        <v>46027</v>
      </c>
      <c r="D90" s="2" t="inlineStr">
        <is>
          <t>B23607696</t>
        </is>
      </c>
      <c r="E90" s="2" t="inlineStr">
        <is>
          <t>Alcoholes Cementados S.L.</t>
        </is>
      </c>
      <c r="F90" s="2" t="n">
        <v>1654394</v>
      </c>
      <c r="G90" s="4" t="n">
        <v>794.91</v>
      </c>
      <c r="H90" s="3" t="n">
        <v>46000</v>
      </c>
      <c r="I90" s="3" t="n">
        <v>46063</v>
      </c>
      <c r="J90" s="2" t="n">
        <v>63</v>
      </c>
      <c r="K90" s="2" t="n">
        <v>6.48</v>
      </c>
      <c r="L90" s="2" t="n">
        <v>0.83</v>
      </c>
      <c r="M90" s="4" t="n">
        <v>6.6</v>
      </c>
      <c r="N90" s="4" t="n">
        <v>9.01</v>
      </c>
      <c r="O90" s="2" t="n">
        <v>60</v>
      </c>
      <c r="P90" s="4" t="n">
        <v>4.2</v>
      </c>
      <c r="Q90" s="4" t="n">
        <v>5.38</v>
      </c>
      <c r="R90" s="4">
        <f>G90*(L90/100)*(O90/100)</f>
        <v/>
      </c>
      <c r="S90" s="4">
        <f>G90*(K90/360/100)*J90*(O90/100)</f>
        <v/>
      </c>
      <c r="T90" s="4">
        <f>P90-R90+Q90-S90</f>
        <v/>
      </c>
    </row>
    <row r="91">
      <c r="A91" s="2" t="inlineStr">
        <is>
          <t>Diamante</t>
        </is>
      </c>
      <c r="B91" s="2" t="inlineStr">
        <is>
          <t>Blanco</t>
        </is>
      </c>
      <c r="C91" s="3" t="n">
        <v>46027</v>
      </c>
      <c r="D91" s="2" t="inlineStr">
        <is>
          <t>B23607696</t>
        </is>
      </c>
      <c r="E91" s="2" t="inlineStr">
        <is>
          <t>Alcoholes Cementados S.L.</t>
        </is>
      </c>
      <c r="F91" s="2" t="n">
        <v>3015445</v>
      </c>
      <c r="G91" s="4" t="n">
        <v>684.71</v>
      </c>
      <c r="H91" s="3" t="n">
        <v>45996</v>
      </c>
      <c r="I91" s="3" t="n">
        <v>46069</v>
      </c>
      <c r="J91" s="2" t="n">
        <v>73</v>
      </c>
      <c r="K91" s="2" t="n">
        <v>5.05</v>
      </c>
      <c r="L91" s="2" t="n">
        <v>1.18</v>
      </c>
      <c r="M91" s="4" t="n">
        <v>8.08</v>
      </c>
      <c r="N91" s="4" t="n">
        <v>7.01</v>
      </c>
      <c r="O91" s="2" t="n">
        <v>40</v>
      </c>
      <c r="P91" s="4" t="n">
        <v>3.16</v>
      </c>
      <c r="Q91" s="4" t="n">
        <v>2.75</v>
      </c>
      <c r="R91" s="4">
        <f>G91*(L91/100)*(O91/100)</f>
        <v/>
      </c>
      <c r="S91" s="4">
        <f>G91*(K91/360/100)*J91*(O91/100)</f>
        <v/>
      </c>
      <c r="T91" s="4">
        <f>P91-R91+Q91-S91</f>
        <v/>
      </c>
    </row>
    <row r="92">
      <c r="A92" s="2" t="inlineStr">
        <is>
          <t>Diamante</t>
        </is>
      </c>
      <c r="B92" s="2" t="inlineStr">
        <is>
          <t>Blanco</t>
        </is>
      </c>
      <c r="C92" s="3" t="n">
        <v>46027</v>
      </c>
      <c r="D92" s="2" t="inlineStr">
        <is>
          <t>B23607696</t>
        </is>
      </c>
      <c r="E92" s="2" t="inlineStr">
        <is>
          <t>Alcoholes Cementados S.L.</t>
        </is>
      </c>
      <c r="F92" s="2" t="n">
        <v>3539541</v>
      </c>
      <c r="G92" s="4" t="n">
        <v>918.86</v>
      </c>
      <c r="H92" s="3" t="n">
        <v>46009</v>
      </c>
      <c r="I92" s="3" t="n">
        <v>46063</v>
      </c>
      <c r="J92" s="2" t="n">
        <v>54</v>
      </c>
      <c r="K92" s="2" t="n">
        <v>6.1</v>
      </c>
      <c r="L92" s="2" t="n">
        <v>1.88</v>
      </c>
      <c r="M92" s="4" t="n">
        <v>17.27</v>
      </c>
      <c r="N92" s="4" t="n">
        <v>8.41</v>
      </c>
      <c r="O92" s="2" t="n">
        <v>30</v>
      </c>
      <c r="P92" s="4" t="n">
        <v>5.06</v>
      </c>
      <c r="Q92" s="4" t="n">
        <v>2.28</v>
      </c>
      <c r="R92" s="4">
        <f>G92*(L92/100)*(O92/100)</f>
        <v/>
      </c>
      <c r="S92" s="4">
        <f>G92*(K92/360/100)*J92*(O92/100)</f>
        <v/>
      </c>
      <c r="T92" s="4">
        <f>P92-R92+Q92-S92</f>
        <v/>
      </c>
    </row>
    <row r="93">
      <c r="A93" s="2" t="inlineStr">
        <is>
          <t>Diamante</t>
        </is>
      </c>
      <c r="B93" s="2" t="inlineStr">
        <is>
          <t>Blanco</t>
        </is>
      </c>
      <c r="C93" s="3" t="n">
        <v>46027</v>
      </c>
      <c r="D93" s="2" t="inlineStr">
        <is>
          <t>B22209928</t>
        </is>
      </c>
      <c r="E93" s="2" t="inlineStr">
        <is>
          <t>Tintes Gigantes S.L.</t>
        </is>
      </c>
      <c r="F93" s="2" t="n">
        <v>3931736</v>
      </c>
      <c r="G93" s="4" t="n">
        <v>424.48</v>
      </c>
      <c r="H93" s="3" t="n">
        <v>46004</v>
      </c>
      <c r="I93" s="3" t="n">
        <v>46076</v>
      </c>
      <c r="J93" s="2" t="n">
        <v>72</v>
      </c>
      <c r="K93" s="2" t="n">
        <v>6.53</v>
      </c>
      <c r="L93" s="2" t="n">
        <v>1.47</v>
      </c>
      <c r="M93" s="4" t="n">
        <v>6.24</v>
      </c>
      <c r="N93" s="4" t="n">
        <v>5.54</v>
      </c>
      <c r="O93" s="2" t="n">
        <v>40</v>
      </c>
      <c r="P93" s="4" t="n">
        <v>2.47</v>
      </c>
      <c r="Q93" s="4" t="n">
        <v>2.33</v>
      </c>
      <c r="R93" s="4">
        <f>G93*(L93/100)*(O93/100)</f>
        <v/>
      </c>
      <c r="S93" s="4">
        <f>G93*(K93/360/100)*J93*(O93/100)</f>
        <v/>
      </c>
      <c r="T93" s="4">
        <f>P93-R93+Q93-S93</f>
        <v/>
      </c>
    </row>
    <row r="94">
      <c r="A94" s="2" t="inlineStr">
        <is>
          <t>Diamante</t>
        </is>
      </c>
      <c r="B94" s="2" t="inlineStr">
        <is>
          <t>Blanco</t>
        </is>
      </c>
      <c r="C94" s="3" t="n">
        <v>46027</v>
      </c>
      <c r="D94" s="2" t="inlineStr">
        <is>
          <t>B22209928</t>
        </is>
      </c>
      <c r="E94" s="2" t="inlineStr">
        <is>
          <t>Tintes Gigantes S.L.</t>
        </is>
      </c>
      <c r="F94" s="2" t="n">
        <v>1861514</v>
      </c>
      <c r="G94" s="4" t="n">
        <v>5539.33</v>
      </c>
      <c r="H94" s="3" t="n">
        <v>45995</v>
      </c>
      <c r="I94" s="3" t="n">
        <v>46085</v>
      </c>
      <c r="J94" s="2" t="n">
        <v>90</v>
      </c>
      <c r="K94" s="2" t="n">
        <v>4.9</v>
      </c>
      <c r="L94" s="2" t="n">
        <v>0.53</v>
      </c>
      <c r="M94" s="4" t="n">
        <v>29.36</v>
      </c>
      <c r="N94" s="4" t="n">
        <v>67.86</v>
      </c>
      <c r="O94" s="2" t="n">
        <v>50</v>
      </c>
      <c r="P94" s="4" t="n">
        <v>14.43</v>
      </c>
      <c r="Q94" s="4" t="n">
        <v>33.81</v>
      </c>
      <c r="R94" s="4">
        <f>G94*(L94/100)*(O94/100)</f>
        <v/>
      </c>
      <c r="S94" s="4">
        <f>G94*(K94/360/100)*J94*(O94/100)</f>
        <v/>
      </c>
      <c r="T94" s="4">
        <f>P94-R94+Q94-S94</f>
        <v/>
      </c>
    </row>
    <row r="95">
      <c r="A95" s="2" t="inlineStr">
        <is>
          <t>Diamante</t>
        </is>
      </c>
      <c r="B95" s="2" t="inlineStr">
        <is>
          <t>Blanco</t>
        </is>
      </c>
      <c r="C95" s="3" t="n">
        <v>46027</v>
      </c>
      <c r="D95" s="2" t="inlineStr">
        <is>
          <t>B22209928</t>
        </is>
      </c>
      <c r="E95" s="2" t="inlineStr">
        <is>
          <t>Tintes Gigantes S.L.</t>
        </is>
      </c>
      <c r="F95" s="2" t="n">
        <v>3097219</v>
      </c>
      <c r="G95" s="4" t="n">
        <v>133.89</v>
      </c>
      <c r="H95" s="3" t="n">
        <v>46015</v>
      </c>
      <c r="I95" s="3" t="n">
        <v>46091</v>
      </c>
      <c r="J95" s="2" t="n">
        <v>76</v>
      </c>
      <c r="K95" s="2" t="n">
        <v>3.6</v>
      </c>
      <c r="L95" s="2" t="n">
        <v>1.96</v>
      </c>
      <c r="M95" s="4" t="n">
        <v>2.62</v>
      </c>
      <c r="N95" s="4" t="n">
        <v>1.02</v>
      </c>
      <c r="O95" s="2" t="n">
        <v>50</v>
      </c>
      <c r="P95" s="4" t="n">
        <v>1.33</v>
      </c>
      <c r="Q95" s="4" t="n">
        <v>0.6</v>
      </c>
      <c r="R95" s="4">
        <f>G95*(L95/100)*(O95/100)</f>
        <v/>
      </c>
      <c r="S95" s="4">
        <f>G95*(K95/360/100)*J95*(O95/100)</f>
        <v/>
      </c>
      <c r="T95" s="4">
        <f>P95-R95+Q95-S95</f>
        <v/>
      </c>
    </row>
    <row r="96">
      <c r="A96" s="2" t="inlineStr">
        <is>
          <t>Diamante</t>
        </is>
      </c>
      <c r="B96" s="2" t="inlineStr">
        <is>
          <t>Blanco</t>
        </is>
      </c>
      <c r="C96" s="3" t="n">
        <v>46027</v>
      </c>
      <c r="D96" s="2" t="inlineStr">
        <is>
          <t>A10220438</t>
        </is>
      </c>
      <c r="E96" s="2" t="inlineStr">
        <is>
          <t>Tubulares Iridiscentes S.A.</t>
        </is>
      </c>
      <c r="F96" s="2" t="n">
        <v>4225744</v>
      </c>
      <c r="G96" s="4" t="n">
        <v>1076.24</v>
      </c>
      <c r="H96" s="3" t="n">
        <v>45996</v>
      </c>
      <c r="I96" s="3" t="n">
        <v>46027</v>
      </c>
      <c r="J96" s="2" t="n">
        <v>31</v>
      </c>
      <c r="K96" s="2" t="n">
        <v>4.33</v>
      </c>
      <c r="L96" s="2" t="n">
        <v>0.87</v>
      </c>
      <c r="M96" s="4" t="n">
        <v>9.359999999999999</v>
      </c>
      <c r="N96" s="4" t="n">
        <v>4.01</v>
      </c>
      <c r="O96" s="2" t="n">
        <v>30</v>
      </c>
      <c r="P96" s="4" t="n">
        <v>2.93</v>
      </c>
      <c r="Q96" s="4" t="n">
        <v>1.28</v>
      </c>
      <c r="R96" s="4">
        <f>G96*(L96/100)*(O96/100)</f>
        <v/>
      </c>
      <c r="S96" s="4">
        <f>G96*(K96/360/100)*J96*(O96/100)</f>
        <v/>
      </c>
      <c r="T96" s="4">
        <f>P96-R96+Q96-S96</f>
        <v/>
      </c>
    </row>
    <row r="97">
      <c r="A97" s="2" t="inlineStr">
        <is>
          <t>Diamante</t>
        </is>
      </c>
      <c r="B97" s="2" t="inlineStr">
        <is>
          <t>Blanco</t>
        </is>
      </c>
      <c r="C97" s="3" t="n">
        <v>46027</v>
      </c>
      <c r="D97" s="2" t="inlineStr">
        <is>
          <t>A10220438</t>
        </is>
      </c>
      <c r="E97" s="2" t="inlineStr">
        <is>
          <t>Tubulares Iridiscentes S.A.</t>
        </is>
      </c>
      <c r="F97" s="2" t="n">
        <v>3163098</v>
      </c>
      <c r="G97" s="4" t="n">
        <v>642.05</v>
      </c>
      <c r="H97" s="3" t="n">
        <v>45998</v>
      </c>
      <c r="I97" s="3" t="n">
        <v>46041</v>
      </c>
      <c r="J97" s="2" t="n">
        <v>43</v>
      </c>
      <c r="K97" s="2" t="n">
        <v>3.97</v>
      </c>
      <c r="L97" s="2" t="n">
        <v>1.73</v>
      </c>
      <c r="M97" s="4" t="n">
        <v>11.11</v>
      </c>
      <c r="N97" s="4" t="n">
        <v>3.04</v>
      </c>
      <c r="O97" s="2" t="n">
        <v>70</v>
      </c>
      <c r="P97" s="4" t="n">
        <v>7.58</v>
      </c>
      <c r="Q97" s="4" t="n">
        <v>2.02</v>
      </c>
      <c r="R97" s="4">
        <f>G97*(L97/100)*(O97/100)</f>
        <v/>
      </c>
      <c r="S97" s="4">
        <f>G97*(K97/360/100)*J97*(O97/100)</f>
        <v/>
      </c>
      <c r="T97" s="4">
        <f>P97-R97+Q97-S97</f>
        <v/>
      </c>
    </row>
    <row r="98">
      <c r="A98" s="2" t="inlineStr">
        <is>
          <t>Diamante</t>
        </is>
      </c>
      <c r="B98" s="2" t="inlineStr">
        <is>
          <t>Blanco</t>
        </is>
      </c>
      <c r="C98" s="3" t="n">
        <v>46027</v>
      </c>
      <c r="D98" s="2" t="inlineStr">
        <is>
          <t>A10220438</t>
        </is>
      </c>
      <c r="E98" s="2" t="inlineStr">
        <is>
          <t>Tubulares Iridiscentes S.A.</t>
        </is>
      </c>
      <c r="F98" s="2" t="n">
        <v>1807320</v>
      </c>
      <c r="G98" s="4" t="n">
        <v>181.67</v>
      </c>
      <c r="H98" s="3" t="n">
        <v>46000</v>
      </c>
      <c r="I98" s="3" t="n">
        <v>46049</v>
      </c>
      <c r="J98" s="2" t="n">
        <v>49</v>
      </c>
      <c r="K98" s="2" t="n">
        <v>6.53</v>
      </c>
      <c r="L98" s="2" t="n">
        <v>0.5600000000000001</v>
      </c>
      <c r="M98" s="4" t="n">
        <v>1.02</v>
      </c>
      <c r="N98" s="4" t="n">
        <v>1.61</v>
      </c>
      <c r="O98" s="2" t="n">
        <v>40</v>
      </c>
      <c r="P98" s="4" t="n">
        <v>0.6</v>
      </c>
      <c r="Q98" s="4" t="n">
        <v>0.67</v>
      </c>
      <c r="R98" s="4">
        <f>G98*(L98/100)*(O98/100)</f>
        <v/>
      </c>
      <c r="S98" s="4">
        <f>G98*(K98/360/100)*J98*(O98/100)</f>
        <v/>
      </c>
      <c r="T98" s="4">
        <f>P98-R98+Q98-S98</f>
        <v/>
      </c>
    </row>
    <row r="99">
      <c r="A99" s="2" t="inlineStr">
        <is>
          <t>Diamante</t>
        </is>
      </c>
      <c r="B99" s="2" t="inlineStr">
        <is>
          <t>Blanco</t>
        </is>
      </c>
      <c r="C99" s="3" t="n">
        <v>46027</v>
      </c>
      <c r="D99" s="2" t="inlineStr">
        <is>
          <t>A96007606</t>
        </is>
      </c>
      <c r="E99" s="2" t="inlineStr">
        <is>
          <t>Pistones Antivandálicos S.A.</t>
        </is>
      </c>
      <c r="F99" s="2" t="n">
        <v>3821156</v>
      </c>
      <c r="G99" s="4" t="n">
        <v>6581.01</v>
      </c>
      <c r="H99" s="3" t="n">
        <v>46017</v>
      </c>
      <c r="I99" s="3" t="n">
        <v>46077</v>
      </c>
      <c r="J99" s="2" t="n">
        <v>60</v>
      </c>
      <c r="K99" s="2" t="n">
        <v>4.59</v>
      </c>
      <c r="L99" s="2" t="n">
        <v>1.72</v>
      </c>
      <c r="M99" s="4" t="n">
        <v>113.19</v>
      </c>
      <c r="N99" s="4" t="n">
        <v>50.34</v>
      </c>
      <c r="O99" s="2" t="n">
        <v>40</v>
      </c>
      <c r="P99" s="4" t="n">
        <v>45.11</v>
      </c>
      <c r="Q99" s="4" t="n">
        <v>19.89</v>
      </c>
      <c r="R99" s="4">
        <f>G99*(L99/100)*(O99/100)</f>
        <v/>
      </c>
      <c r="S99" s="4">
        <f>G99*(K99/360/100)*J99*(O99/100)</f>
        <v/>
      </c>
      <c r="T99" s="4">
        <f>P99-R99+Q99-S99</f>
        <v/>
      </c>
    </row>
    <row r="100">
      <c r="A100" s="2" t="inlineStr">
        <is>
          <t>Diamante</t>
        </is>
      </c>
      <c r="B100" s="2" t="inlineStr">
        <is>
          <t>Blanco</t>
        </is>
      </c>
      <c r="C100" s="3" t="n">
        <v>46027</v>
      </c>
      <c r="D100" s="2" t="inlineStr">
        <is>
          <t>A96007606</t>
        </is>
      </c>
      <c r="E100" s="2" t="inlineStr">
        <is>
          <t>Pistones Antivandálicos S.A.</t>
        </is>
      </c>
      <c r="F100" s="2" t="n">
        <v>3782143</v>
      </c>
      <c r="G100" s="4" t="n">
        <v>510.88</v>
      </c>
      <c r="H100" s="3" t="n">
        <v>45994</v>
      </c>
      <c r="I100" s="3" t="n">
        <v>46033</v>
      </c>
      <c r="J100" s="2" t="n">
        <v>39</v>
      </c>
      <c r="K100" s="2" t="n">
        <v>5.99</v>
      </c>
      <c r="L100" s="2" t="n">
        <v>0.66</v>
      </c>
      <c r="M100" s="4" t="n">
        <v>3.37</v>
      </c>
      <c r="N100" s="4" t="n">
        <v>3.32</v>
      </c>
      <c r="O100" s="2" t="n">
        <v>30</v>
      </c>
      <c r="P100" s="4" t="n">
        <v>1.11</v>
      </c>
      <c r="Q100" s="4" t="n">
        <v>1.02</v>
      </c>
      <c r="R100" s="4">
        <f>G100*(L100/100)*(O100/100)</f>
        <v/>
      </c>
      <c r="S100" s="4">
        <f>G100*(K100/360/100)*J100*(O100/100)</f>
        <v/>
      </c>
      <c r="T100" s="4">
        <f>P100-R100+Q100-S100</f>
        <v/>
      </c>
    </row>
    <row r="101">
      <c r="A101" s="2" t="inlineStr">
        <is>
          <t>Diamante</t>
        </is>
      </c>
      <c r="B101" s="2" t="inlineStr">
        <is>
          <t>Blanco</t>
        </is>
      </c>
      <c r="C101" s="3" t="n">
        <v>46027</v>
      </c>
      <c r="D101" s="2" t="inlineStr">
        <is>
          <t>A96007606</t>
        </is>
      </c>
      <c r="E101" s="2" t="inlineStr">
        <is>
          <t>Pistones Antivandálicos S.A.</t>
        </is>
      </c>
      <c r="F101" s="2" t="n">
        <v>1709784</v>
      </c>
      <c r="G101" s="4" t="n">
        <v>293.43</v>
      </c>
      <c r="H101" s="3" t="n">
        <v>45994</v>
      </c>
      <c r="I101" s="3" t="n">
        <v>46053</v>
      </c>
      <c r="J101" s="2" t="n">
        <v>59</v>
      </c>
      <c r="K101" s="2" t="n">
        <v>3.67</v>
      </c>
      <c r="L101" s="2" t="n">
        <v>0.53</v>
      </c>
      <c r="M101" s="4" t="n">
        <v>1.56</v>
      </c>
      <c r="N101" s="4" t="n">
        <v>1.76</v>
      </c>
      <c r="O101" s="2" t="n">
        <v>30</v>
      </c>
      <c r="P101" s="4" t="n">
        <v>0.66</v>
      </c>
      <c r="Q101" s="4" t="n">
        <v>0.23</v>
      </c>
      <c r="R101" s="4">
        <f>G101*(L101/100)*(O101/100)</f>
        <v/>
      </c>
      <c r="S101" s="4">
        <f>G101*(K101/360/100)*J101*(O101/100)</f>
        <v/>
      </c>
      <c r="T101" s="4">
        <f>P101-R101+Q101-S101</f>
        <v/>
      </c>
    </row>
    <row r="102">
      <c r="A102" s="2" t="inlineStr">
        <is>
          <t>Diamante</t>
        </is>
      </c>
      <c r="B102" s="2" t="inlineStr">
        <is>
          <t>Blanco</t>
        </is>
      </c>
      <c r="C102" s="3" t="n">
        <v>46027</v>
      </c>
      <c r="D102" s="2" t="inlineStr">
        <is>
          <t>B45920308</t>
        </is>
      </c>
      <c r="E102" s="2" t="inlineStr">
        <is>
          <t>Bioresiduos Sellados S.L.</t>
        </is>
      </c>
      <c r="F102" s="2" t="n">
        <v>1288035</v>
      </c>
      <c r="G102" s="4" t="n">
        <v>9100.51</v>
      </c>
      <c r="H102" s="3" t="n">
        <v>46002</v>
      </c>
      <c r="I102" s="3" t="n">
        <v>46046</v>
      </c>
      <c r="J102" s="2" t="n">
        <v>44</v>
      </c>
      <c r="K102" s="2" t="n">
        <v>5.61</v>
      </c>
      <c r="L102" s="2" t="n">
        <v>0.89</v>
      </c>
      <c r="M102" s="4" t="n">
        <v>80.98999999999999</v>
      </c>
      <c r="N102" s="4" t="n">
        <v>62.4</v>
      </c>
      <c r="O102" s="2" t="n">
        <v>50</v>
      </c>
      <c r="P102" s="4" t="n">
        <v>40.32</v>
      </c>
      <c r="Q102" s="4" t="n">
        <v>31.06</v>
      </c>
      <c r="R102" s="4">
        <f>G102*(L102/100)*(O102/100)</f>
        <v/>
      </c>
      <c r="S102" s="4">
        <f>G102*(K102/360/100)*J102*(O102/100)</f>
        <v/>
      </c>
      <c r="T102" s="4">
        <f>P102-R102+Q102-S102</f>
        <v/>
      </c>
    </row>
    <row r="103">
      <c r="A103" s="2" t="inlineStr">
        <is>
          <t>Diamante</t>
        </is>
      </c>
      <c r="B103" s="2" t="inlineStr">
        <is>
          <t>Blanco</t>
        </is>
      </c>
      <c r="C103" s="3" t="n">
        <v>46027</v>
      </c>
      <c r="D103" s="2" t="inlineStr">
        <is>
          <t>B45920308</t>
        </is>
      </c>
      <c r="E103" s="2" t="inlineStr">
        <is>
          <t>Bioresiduos Sellados S.L.</t>
        </is>
      </c>
      <c r="F103" s="2" t="n">
        <v>4345828</v>
      </c>
      <c r="G103" s="4" t="n">
        <v>950.95</v>
      </c>
      <c r="H103" s="3" t="n">
        <v>46019</v>
      </c>
      <c r="I103" s="3" t="n">
        <v>46093</v>
      </c>
      <c r="J103" s="2" t="n">
        <v>74</v>
      </c>
      <c r="K103" s="2" t="n">
        <v>4.02</v>
      </c>
      <c r="L103" s="2" t="n">
        <v>1.9</v>
      </c>
      <c r="M103" s="4" t="n">
        <v>18.07</v>
      </c>
      <c r="N103" s="4" t="n">
        <v>7.86</v>
      </c>
      <c r="O103" s="2" t="n">
        <v>40</v>
      </c>
      <c r="P103" s="4" t="n">
        <v>7.07</v>
      </c>
      <c r="Q103" s="4" t="n">
        <v>3.36</v>
      </c>
      <c r="R103" s="4">
        <f>G103*(L103/100)*(O103/100)</f>
        <v/>
      </c>
      <c r="S103" s="4">
        <f>G103*(K103/360/100)*J103*(O103/100)</f>
        <v/>
      </c>
      <c r="T103" s="4">
        <f>P103-R103+Q103-S103</f>
        <v/>
      </c>
    </row>
    <row r="104">
      <c r="A104" s="2" t="inlineStr">
        <is>
          <t>Diamante</t>
        </is>
      </c>
      <c r="B104" s="2" t="inlineStr">
        <is>
          <t>Blanco</t>
        </is>
      </c>
      <c r="C104" s="3" t="n">
        <v>46027</v>
      </c>
      <c r="D104" s="2" t="inlineStr">
        <is>
          <t>B64401496</t>
        </is>
      </c>
      <c r="E104" s="2" t="inlineStr">
        <is>
          <t>Microchips Moldeados S.L.</t>
        </is>
      </c>
      <c r="F104" s="2" t="n">
        <v>3745844</v>
      </c>
      <c r="G104" s="4" t="n">
        <v>477.82</v>
      </c>
      <c r="H104" s="3" t="n">
        <v>46010</v>
      </c>
      <c r="I104" s="3" t="n">
        <v>46058</v>
      </c>
      <c r="J104" s="2" t="n">
        <v>48</v>
      </c>
      <c r="K104" s="2" t="n">
        <v>5.36</v>
      </c>
      <c r="L104" s="2" t="n">
        <v>1.62</v>
      </c>
      <c r="M104" s="4" t="n">
        <v>7.74</v>
      </c>
      <c r="N104" s="4" t="n">
        <v>3.41</v>
      </c>
      <c r="O104" s="2" t="n">
        <v>60</v>
      </c>
      <c r="P104" s="4" t="n">
        <v>4.51</v>
      </c>
      <c r="Q104" s="4" t="n">
        <v>2.25</v>
      </c>
      <c r="R104" s="4">
        <f>G104*(L104/100)*(O104/100)</f>
        <v/>
      </c>
      <c r="S104" s="4">
        <f>G104*(K104/360/100)*J104*(O104/100)</f>
        <v/>
      </c>
      <c r="T104" s="4">
        <f>P104-R104+Q104-S104</f>
        <v/>
      </c>
    </row>
    <row r="105">
      <c r="A105" s="2" t="inlineStr">
        <is>
          <t>Diamante</t>
        </is>
      </c>
      <c r="B105" s="2" t="inlineStr">
        <is>
          <t>Blanco</t>
        </is>
      </c>
      <c r="C105" s="3" t="n">
        <v>46027</v>
      </c>
      <c r="D105" s="2" t="inlineStr">
        <is>
          <t>B64401496</t>
        </is>
      </c>
      <c r="E105" s="2" t="inlineStr">
        <is>
          <t>Microchips Moldeados S.L.</t>
        </is>
      </c>
      <c r="F105" s="2" t="n">
        <v>4480387</v>
      </c>
      <c r="G105" s="4" t="n">
        <v>179.05</v>
      </c>
      <c r="H105" s="3" t="n">
        <v>46002</v>
      </c>
      <c r="I105" s="3" t="n">
        <v>46056</v>
      </c>
      <c r="J105" s="2" t="n">
        <v>54</v>
      </c>
      <c r="K105" s="2" t="n">
        <v>4.66</v>
      </c>
      <c r="L105" s="2" t="n">
        <v>0.6899999999999999</v>
      </c>
      <c r="M105" s="4" t="n">
        <v>1.24</v>
      </c>
      <c r="N105" s="4" t="n">
        <v>1.25</v>
      </c>
      <c r="O105" s="2" t="n">
        <v>20</v>
      </c>
      <c r="P105" s="4" t="n">
        <v>0.3</v>
      </c>
      <c r="Q105" s="4" t="n">
        <v>0.32</v>
      </c>
      <c r="R105" s="4">
        <f>G105*(L105/100)*(O105/100)</f>
        <v/>
      </c>
      <c r="S105" s="4">
        <f>G105*(K105/360/100)*J105*(O105/100)</f>
        <v/>
      </c>
      <c r="T105" s="4">
        <f>P105-R105+Q105-S105</f>
        <v/>
      </c>
    </row>
    <row r="106">
      <c r="A106" s="2" t="inlineStr">
        <is>
          <t>Diamante</t>
        </is>
      </c>
      <c r="B106" s="2" t="inlineStr">
        <is>
          <t>Blanco</t>
        </is>
      </c>
      <c r="C106" s="3" t="n">
        <v>46027</v>
      </c>
      <c r="D106" s="2" t="inlineStr">
        <is>
          <t>B92659959</t>
        </is>
      </c>
      <c r="E106" s="2" t="inlineStr">
        <is>
          <t>Azúcares Neutros S.L.</t>
        </is>
      </c>
      <c r="F106" s="2" t="n">
        <v>4461124</v>
      </c>
      <c r="G106" s="4" t="n">
        <v>383.98</v>
      </c>
      <c r="H106" s="3" t="n">
        <v>45996</v>
      </c>
      <c r="I106" s="3" t="n">
        <v>46028</v>
      </c>
      <c r="J106" s="2" t="n">
        <v>32</v>
      </c>
      <c r="K106" s="2" t="n">
        <v>5.12</v>
      </c>
      <c r="L106" s="2" t="n">
        <v>1.43</v>
      </c>
      <c r="M106" s="4" t="n">
        <v>5.49</v>
      </c>
      <c r="N106" s="4" t="n">
        <v>1.75</v>
      </c>
      <c r="O106" s="2" t="n">
        <v>50</v>
      </c>
      <c r="P106" s="4" t="n">
        <v>2.49</v>
      </c>
      <c r="Q106" s="4" t="n">
        <v>1.14</v>
      </c>
      <c r="R106" s="4">
        <f>G106*(L106/100)*(O106/100)</f>
        <v/>
      </c>
      <c r="S106" s="4">
        <f>G106*(K106/360/100)*J106*(O106/100)</f>
        <v/>
      </c>
      <c r="T106" s="4">
        <f>P106-R106+Q106-S106</f>
        <v/>
      </c>
    </row>
    <row r="107">
      <c r="A107" s="2" t="inlineStr">
        <is>
          <t>Diamante</t>
        </is>
      </c>
      <c r="B107" s="2" t="inlineStr">
        <is>
          <t>Blanco</t>
        </is>
      </c>
      <c r="C107" s="3" t="n">
        <v>46027</v>
      </c>
      <c r="D107" s="2" t="inlineStr">
        <is>
          <t>B92659959</t>
        </is>
      </c>
      <c r="E107" s="2" t="inlineStr">
        <is>
          <t>Azúcares Neutros S.L.</t>
        </is>
      </c>
      <c r="F107" s="2" t="n">
        <v>4949576</v>
      </c>
      <c r="G107" s="4" t="n">
        <v>715.15</v>
      </c>
      <c r="H107" s="3" t="n">
        <v>45993</v>
      </c>
      <c r="I107" s="3" t="n">
        <v>46053</v>
      </c>
      <c r="J107" s="2" t="n">
        <v>60</v>
      </c>
      <c r="K107" s="2" t="n">
        <v>4.61</v>
      </c>
      <c r="L107" s="2" t="n">
        <v>0.66</v>
      </c>
      <c r="M107" s="4" t="n">
        <v>4.72</v>
      </c>
      <c r="N107" s="4" t="n">
        <v>5.49</v>
      </c>
      <c r="O107" s="2" t="n">
        <v>30</v>
      </c>
      <c r="P107" s="4" t="n">
        <v>1.71</v>
      </c>
      <c r="Q107" s="4" t="n">
        <v>1.84</v>
      </c>
      <c r="R107" s="4">
        <f>G107*(L107/100)*(O107/100)</f>
        <v/>
      </c>
      <c r="S107" s="4">
        <f>G107*(K107/360/100)*J107*(O107/100)</f>
        <v/>
      </c>
      <c r="T107" s="4">
        <f>P107-R107+Q107-S107</f>
        <v/>
      </c>
    </row>
    <row r="108">
      <c r="A108" s="2" t="inlineStr">
        <is>
          <t>Diamante</t>
        </is>
      </c>
      <c r="B108" s="2" t="inlineStr">
        <is>
          <t>Blanco</t>
        </is>
      </c>
      <c r="C108" s="3" t="n">
        <v>46027</v>
      </c>
      <c r="D108" s="2" t="inlineStr">
        <is>
          <t>A29491727</t>
        </is>
      </c>
      <c r="E108" s="2" t="inlineStr">
        <is>
          <t>Aleaciones Comprometidos S.A.</t>
        </is>
      </c>
      <c r="F108" s="2" t="n">
        <v>4984937</v>
      </c>
      <c r="G108" s="4" t="n">
        <v>236.35</v>
      </c>
      <c r="H108" s="3" t="n">
        <v>45996</v>
      </c>
      <c r="I108" s="3" t="n">
        <v>46052</v>
      </c>
      <c r="J108" s="2" t="n">
        <v>56</v>
      </c>
      <c r="K108" s="2" t="n">
        <v>3.84</v>
      </c>
      <c r="L108" s="2" t="n">
        <v>0.99</v>
      </c>
      <c r="M108" s="4" t="n">
        <v>2.34</v>
      </c>
      <c r="N108" s="4" t="n">
        <v>1.41</v>
      </c>
      <c r="O108" s="2" t="n">
        <v>40</v>
      </c>
      <c r="P108" s="4" t="n">
        <v>1.17</v>
      </c>
      <c r="Q108" s="4" t="n">
        <v>0.65</v>
      </c>
      <c r="R108" s="4">
        <f>G108*(L108/100)*(O108/100)</f>
        <v/>
      </c>
      <c r="S108" s="4">
        <f>G108*(K108/360/100)*J108*(O108/100)</f>
        <v/>
      </c>
      <c r="T108" s="4">
        <f>P108-R108+Q108-S108</f>
        <v/>
      </c>
    </row>
    <row r="109">
      <c r="A109" s="2" t="inlineStr">
        <is>
          <t>Diamante</t>
        </is>
      </c>
      <c r="B109" s="2" t="inlineStr">
        <is>
          <t>Blanco</t>
        </is>
      </c>
      <c r="C109" s="3" t="n">
        <v>46027</v>
      </c>
      <c r="D109" s="2" t="inlineStr">
        <is>
          <t>A29491727</t>
        </is>
      </c>
      <c r="E109" s="2" t="inlineStr">
        <is>
          <t>Aleaciones Comprometidos S.A.</t>
        </is>
      </c>
      <c r="F109" s="2" t="n">
        <v>3068529</v>
      </c>
      <c r="G109" s="4" t="n">
        <v>572.73</v>
      </c>
      <c r="H109" s="3" t="n">
        <v>46008</v>
      </c>
      <c r="I109" s="3" t="n">
        <v>46043</v>
      </c>
      <c r="J109" s="2" t="n">
        <v>35</v>
      </c>
      <c r="K109" s="2" t="n">
        <v>5.87</v>
      </c>
      <c r="L109" s="2" t="n">
        <v>1.8</v>
      </c>
      <c r="M109" s="4" t="n">
        <v>10.31</v>
      </c>
      <c r="N109" s="4" t="n">
        <v>3.27</v>
      </c>
      <c r="O109" s="2" t="n">
        <v>30</v>
      </c>
      <c r="P109" s="4" t="n">
        <v>3.17</v>
      </c>
      <c r="Q109" s="4" t="n">
        <v>1.25</v>
      </c>
      <c r="R109" s="4">
        <f>G109*(L109/100)*(O109/100)</f>
        <v/>
      </c>
      <c r="S109" s="4">
        <f>G109*(K109/360/100)*J109*(O109/100)</f>
        <v/>
      </c>
      <c r="T109" s="4">
        <f>P109-R109+Q109-S109</f>
        <v/>
      </c>
    </row>
    <row r="110">
      <c r="A110" s="2" t="inlineStr">
        <is>
          <t>Diamante</t>
        </is>
      </c>
      <c r="B110" s="2" t="inlineStr">
        <is>
          <t>Blanco</t>
        </is>
      </c>
      <c r="C110" s="3" t="n">
        <v>46027</v>
      </c>
      <c r="D110" s="2" t="inlineStr">
        <is>
          <t>B71207632</t>
        </is>
      </c>
      <c r="E110" s="2" t="inlineStr">
        <is>
          <t>Geles Livianos S.L.</t>
        </is>
      </c>
      <c r="F110" s="2" t="n">
        <v>3258365</v>
      </c>
      <c r="G110" s="4" t="n">
        <v>901.54</v>
      </c>
      <c r="H110" s="3" t="n">
        <v>46017</v>
      </c>
      <c r="I110" s="3" t="n">
        <v>46048</v>
      </c>
      <c r="J110" s="2" t="n">
        <v>31</v>
      </c>
      <c r="K110" s="2" t="n">
        <v>4.35</v>
      </c>
      <c r="L110" s="2" t="n">
        <v>1.4</v>
      </c>
      <c r="M110" s="4" t="n">
        <v>12.62</v>
      </c>
      <c r="N110" s="4" t="n">
        <v>3.38</v>
      </c>
      <c r="O110" s="2" t="n">
        <v>30</v>
      </c>
      <c r="P110" s="4" t="n">
        <v>3.57</v>
      </c>
      <c r="Q110" s="4" t="n">
        <v>0.83</v>
      </c>
      <c r="R110" s="4">
        <f>G110*(L110/100)*(O110/100)</f>
        <v/>
      </c>
      <c r="S110" s="4">
        <f>G110*(K110/360/100)*J110*(O110/100)</f>
        <v/>
      </c>
      <c r="T110" s="4">
        <f>P110-R110+Q110-S110</f>
        <v/>
      </c>
    </row>
    <row r="111">
      <c r="A111" s="2" t="inlineStr">
        <is>
          <t>Diamante</t>
        </is>
      </c>
      <c r="B111" s="2" t="inlineStr">
        <is>
          <t>Blanco</t>
        </is>
      </c>
      <c r="C111" s="3" t="n">
        <v>46027</v>
      </c>
      <c r="D111" s="2" t="inlineStr">
        <is>
          <t>B71207632</t>
        </is>
      </c>
      <c r="E111" s="2" t="inlineStr">
        <is>
          <t>Geles Livianos S.L.</t>
        </is>
      </c>
      <c r="F111" s="2" t="n">
        <v>4619810</v>
      </c>
      <c r="G111" s="4" t="n">
        <v>369.08</v>
      </c>
      <c r="H111" s="3" t="n">
        <v>46004</v>
      </c>
      <c r="I111" s="3" t="n">
        <v>46062</v>
      </c>
      <c r="J111" s="2" t="n">
        <v>58</v>
      </c>
      <c r="K111" s="2" t="n">
        <v>3.75</v>
      </c>
      <c r="L111" s="2" t="n">
        <v>1.75</v>
      </c>
      <c r="M111" s="4" t="n">
        <v>6.46</v>
      </c>
      <c r="N111" s="4" t="n">
        <v>2.23</v>
      </c>
      <c r="O111" s="2" t="n">
        <v>40</v>
      </c>
      <c r="P111" s="4" t="n">
        <v>2.28</v>
      </c>
      <c r="Q111" s="4" t="n">
        <v>0.99</v>
      </c>
      <c r="R111" s="4">
        <f>G111*(L111/100)*(O111/100)</f>
        <v/>
      </c>
      <c r="S111" s="4">
        <f>G111*(K111/360/100)*J111*(O111/100)</f>
        <v/>
      </c>
      <c r="T111" s="4">
        <f>P111-R111+Q111-S111</f>
        <v/>
      </c>
    </row>
    <row r="112">
      <c r="A112" s="2" t="inlineStr">
        <is>
          <t>Diamante</t>
        </is>
      </c>
      <c r="B112" s="2" t="inlineStr">
        <is>
          <t>Blanco</t>
        </is>
      </c>
      <c r="C112" s="3" t="n">
        <v>46027</v>
      </c>
      <c r="D112" s="2" t="inlineStr">
        <is>
          <t>B18651928</t>
        </is>
      </c>
      <c r="E112" s="2" t="inlineStr">
        <is>
          <t>Cables Nitrurados S.L.</t>
        </is>
      </c>
      <c r="F112" s="2" t="n">
        <v>2696382</v>
      </c>
      <c r="G112" s="4" t="n">
        <v>832.74</v>
      </c>
      <c r="H112" s="3" t="n">
        <v>45993</v>
      </c>
      <c r="I112" s="3" t="n">
        <v>46081</v>
      </c>
      <c r="J112" s="2" t="n">
        <v>88</v>
      </c>
      <c r="K112" s="2" t="n">
        <v>5.07</v>
      </c>
      <c r="L112" s="2" t="n">
        <v>0.92</v>
      </c>
      <c r="M112" s="4" t="n">
        <v>7.66</v>
      </c>
      <c r="N112" s="4" t="n">
        <v>10.32</v>
      </c>
      <c r="O112" s="2" t="n">
        <v>40</v>
      </c>
      <c r="P112" s="4" t="n">
        <v>2.79</v>
      </c>
      <c r="Q112" s="4" t="n">
        <v>3.96</v>
      </c>
      <c r="R112" s="4">
        <f>G112*(L112/100)*(O112/100)</f>
        <v/>
      </c>
      <c r="S112" s="4">
        <f>G112*(K112/360/100)*J112*(O112/100)</f>
        <v/>
      </c>
      <c r="T112" s="4">
        <f>P112-R112+Q112-S112</f>
        <v/>
      </c>
    </row>
    <row r="113">
      <c r="A113" s="2" t="inlineStr">
        <is>
          <t>Diamante</t>
        </is>
      </c>
      <c r="B113" s="2" t="inlineStr">
        <is>
          <t>Blanco</t>
        </is>
      </c>
      <c r="C113" s="3" t="n">
        <v>46027</v>
      </c>
      <c r="D113" s="2" t="inlineStr">
        <is>
          <t>B18651928</t>
        </is>
      </c>
      <c r="E113" s="2" t="inlineStr">
        <is>
          <t>Cables Nitrurados S.L.</t>
        </is>
      </c>
      <c r="F113" s="2" t="n">
        <v>3471738</v>
      </c>
      <c r="G113" s="4" t="n">
        <v>195.79</v>
      </c>
      <c r="H113" s="3" t="n">
        <v>45996</v>
      </c>
      <c r="I113" s="3" t="n">
        <v>46058</v>
      </c>
      <c r="J113" s="2" t="n">
        <v>62</v>
      </c>
      <c r="K113" s="2" t="n">
        <v>4.92</v>
      </c>
      <c r="L113" s="2" t="n">
        <v>1.49</v>
      </c>
      <c r="M113" s="4" t="n">
        <v>2.92</v>
      </c>
      <c r="N113" s="4" t="n">
        <v>1.66</v>
      </c>
      <c r="O113" s="2" t="n">
        <v>20</v>
      </c>
      <c r="P113" s="4" t="n">
        <v>0.84</v>
      </c>
      <c r="Q113" s="4" t="n">
        <v>0.44</v>
      </c>
      <c r="R113" s="4">
        <f>G113*(L113/100)*(O113/100)</f>
        <v/>
      </c>
      <c r="S113" s="4">
        <f>G113*(K113/360/100)*J113*(O113/100)</f>
        <v/>
      </c>
      <c r="T113" s="4">
        <f>P113-R113+Q113-S113</f>
        <v/>
      </c>
    </row>
    <row r="114">
      <c r="A114" s="2" t="inlineStr">
        <is>
          <t>Diamante</t>
        </is>
      </c>
      <c r="B114" s="2" t="inlineStr">
        <is>
          <t>Blanco</t>
        </is>
      </c>
      <c r="C114" s="3" t="n">
        <v>46027</v>
      </c>
      <c r="D114" s="2" t="inlineStr">
        <is>
          <t>B30554060</t>
        </is>
      </c>
      <c r="E114" s="2" t="inlineStr">
        <is>
          <t>Hidrógenos Extremeños S.L.</t>
        </is>
      </c>
      <c r="F114" s="2" t="n">
        <v>4457707</v>
      </c>
      <c r="G114" s="4" t="n">
        <v>211.03</v>
      </c>
      <c r="H114" s="3" t="n">
        <v>46011</v>
      </c>
      <c r="I114" s="3" t="n">
        <v>46086</v>
      </c>
      <c r="J114" s="2" t="n">
        <v>75</v>
      </c>
      <c r="K114" s="2" t="n">
        <v>5.48</v>
      </c>
      <c r="L114" s="2" t="n">
        <v>1.62</v>
      </c>
      <c r="M114" s="4" t="n">
        <v>3.42</v>
      </c>
      <c r="N114" s="4" t="n">
        <v>2.41</v>
      </c>
      <c r="O114" s="2" t="n">
        <v>20</v>
      </c>
      <c r="P114" s="4" t="n">
        <v>0.67</v>
      </c>
      <c r="Q114" s="4" t="n">
        <v>0.54</v>
      </c>
      <c r="R114" s="4">
        <f>G114*(L114/100)*(O114/100)</f>
        <v/>
      </c>
      <c r="S114" s="4">
        <f>G114*(K114/360/100)*J114*(O114/100)</f>
        <v/>
      </c>
      <c r="T114" s="4">
        <f>P114-R114+Q114-S114</f>
        <v/>
      </c>
    </row>
    <row r="115">
      <c r="A115" s="2" t="inlineStr">
        <is>
          <t>Diamante</t>
        </is>
      </c>
      <c r="B115" s="2" t="inlineStr">
        <is>
          <t>Blanco</t>
        </is>
      </c>
      <c r="C115" s="3" t="n">
        <v>46027</v>
      </c>
      <c r="D115" s="2" t="inlineStr">
        <is>
          <t>B30554060</t>
        </is>
      </c>
      <c r="E115" s="2" t="inlineStr">
        <is>
          <t>Hidrógenos Extremeños S.L.</t>
        </is>
      </c>
      <c r="F115" s="2" t="n">
        <v>3237472</v>
      </c>
      <c r="G115" s="4" t="n">
        <v>455.23</v>
      </c>
      <c r="H115" s="3" t="n">
        <v>46012</v>
      </c>
      <c r="I115" s="3" t="n">
        <v>46095</v>
      </c>
      <c r="J115" s="2" t="n">
        <v>83</v>
      </c>
      <c r="K115" s="2" t="n">
        <v>4.68</v>
      </c>
      <c r="L115" s="2" t="n">
        <v>0.8</v>
      </c>
      <c r="M115" s="4" t="n">
        <v>3.64</v>
      </c>
      <c r="N115" s="4" t="n">
        <v>4.91</v>
      </c>
      <c r="O115" s="2" t="n">
        <v>50</v>
      </c>
      <c r="P115" s="4" t="n">
        <v>1.59</v>
      </c>
      <c r="Q115" s="4" t="n">
        <v>2.56</v>
      </c>
      <c r="R115" s="4">
        <f>G115*(L115/100)*(O115/100)</f>
        <v/>
      </c>
      <c r="S115" s="4">
        <f>G115*(K115/360/100)*J115*(O115/100)</f>
        <v/>
      </c>
      <c r="T115" s="4">
        <f>P115-R115+Q115-S115</f>
        <v/>
      </c>
    </row>
    <row r="116">
      <c r="A116" s="2" t="inlineStr">
        <is>
          <t>Diamante</t>
        </is>
      </c>
      <c r="B116" s="2" t="inlineStr">
        <is>
          <t>Blanco</t>
        </is>
      </c>
      <c r="C116" s="3" t="n">
        <v>46027</v>
      </c>
      <c r="D116" s="2" t="inlineStr">
        <is>
          <t>B30554060</t>
        </is>
      </c>
      <c r="E116" s="2" t="inlineStr">
        <is>
          <t>Hidrógenos Extremeños S.L.</t>
        </is>
      </c>
      <c r="F116" s="2" t="n">
        <v>4950776</v>
      </c>
      <c r="G116" s="4" t="n">
        <v>998.97</v>
      </c>
      <c r="H116" s="3" t="n">
        <v>46003</v>
      </c>
      <c r="I116" s="3" t="n">
        <v>46086</v>
      </c>
      <c r="J116" s="2" t="n">
        <v>83</v>
      </c>
      <c r="K116" s="2" t="n">
        <v>4.39</v>
      </c>
      <c r="L116" s="2" t="n">
        <v>1.14</v>
      </c>
      <c r="M116" s="4" t="n">
        <v>11.39</v>
      </c>
      <c r="N116" s="4" t="n">
        <v>10.11</v>
      </c>
      <c r="O116" s="2" t="n">
        <v>20</v>
      </c>
      <c r="P116" s="4" t="n">
        <v>2.39</v>
      </c>
      <c r="Q116" s="4" t="n">
        <v>1.88</v>
      </c>
      <c r="R116" s="4">
        <f>G116*(L116/100)*(O116/100)</f>
        <v/>
      </c>
      <c r="S116" s="4">
        <f>G116*(K116/360/100)*J116*(O116/100)</f>
        <v/>
      </c>
      <c r="T116" s="4">
        <f>P116-R116+Q116-S116</f>
        <v/>
      </c>
    </row>
    <row r="117">
      <c r="A117" s="2" t="inlineStr">
        <is>
          <t>Diamante</t>
        </is>
      </c>
      <c r="B117" s="2" t="inlineStr">
        <is>
          <t>Blanco</t>
        </is>
      </c>
      <c r="C117" s="3" t="n">
        <v>46027</v>
      </c>
      <c r="D117" s="2" t="inlineStr">
        <is>
          <t>A51524032</t>
        </is>
      </c>
      <c r="E117" s="2" t="inlineStr">
        <is>
          <t>Conservas Acelerados S.A.</t>
        </is>
      </c>
      <c r="F117" s="2" t="n">
        <v>2839052</v>
      </c>
      <c r="G117" s="4" t="n">
        <v>192.8</v>
      </c>
      <c r="H117" s="3" t="n">
        <v>46012</v>
      </c>
      <c r="I117" s="3" t="n">
        <v>46066</v>
      </c>
      <c r="J117" s="2" t="n">
        <v>54</v>
      </c>
      <c r="K117" s="2" t="n">
        <v>6.11</v>
      </c>
      <c r="L117" s="2" t="n">
        <v>1.4</v>
      </c>
      <c r="M117" s="4" t="n">
        <v>2.7</v>
      </c>
      <c r="N117" s="4" t="n">
        <v>1.77</v>
      </c>
      <c r="O117" s="2" t="n">
        <v>70</v>
      </c>
      <c r="P117" s="4" t="n">
        <v>2.12</v>
      </c>
      <c r="Q117" s="4" t="n">
        <v>1.35</v>
      </c>
      <c r="R117" s="4">
        <f>G117*(L117/100)*(O117/100)</f>
        <v/>
      </c>
      <c r="S117" s="4">
        <f>G117*(K117/360/100)*J117*(O117/100)</f>
        <v/>
      </c>
      <c r="T117" s="4">
        <f>P117-R117+Q117-S117</f>
        <v/>
      </c>
    </row>
    <row r="118">
      <c r="A118" s="2" t="inlineStr">
        <is>
          <t>Diamante</t>
        </is>
      </c>
      <c r="B118" s="2" t="inlineStr">
        <is>
          <t>Blanco</t>
        </is>
      </c>
      <c r="C118" s="3" t="n">
        <v>46027</v>
      </c>
      <c r="D118" s="2" t="inlineStr">
        <is>
          <t>A51524032</t>
        </is>
      </c>
      <c r="E118" s="2" t="inlineStr">
        <is>
          <t>Conservas Acelerados S.A.</t>
        </is>
      </c>
      <c r="F118" s="2" t="n">
        <v>2395371</v>
      </c>
      <c r="G118" s="4" t="n">
        <v>930.02</v>
      </c>
      <c r="H118" s="3" t="n">
        <v>46017</v>
      </c>
      <c r="I118" s="3" t="n">
        <v>46107</v>
      </c>
      <c r="J118" s="2" t="n">
        <v>90</v>
      </c>
      <c r="K118" s="2" t="n">
        <v>4.35</v>
      </c>
      <c r="L118" s="2" t="n">
        <v>1.58</v>
      </c>
      <c r="M118" s="4" t="n">
        <v>14.69</v>
      </c>
      <c r="N118" s="4" t="n">
        <v>10.11</v>
      </c>
      <c r="O118" s="2" t="n">
        <v>60</v>
      </c>
      <c r="P118" s="4" t="n">
        <v>8.73</v>
      </c>
      <c r="Q118" s="4" t="n">
        <v>5.92</v>
      </c>
      <c r="R118" s="4">
        <f>G118*(L118/100)*(O118/100)</f>
        <v/>
      </c>
      <c r="S118" s="4">
        <f>G118*(K118/360/100)*J118*(O118/100)</f>
        <v/>
      </c>
      <c r="T118" s="4">
        <f>P118-R118+Q118-S118</f>
        <v/>
      </c>
    </row>
    <row r="119">
      <c r="A119" s="2" t="inlineStr">
        <is>
          <t>Diamante</t>
        </is>
      </c>
      <c r="B119" s="2" t="inlineStr">
        <is>
          <t>Blanco</t>
        </is>
      </c>
      <c r="C119" s="3" t="n">
        <v>46027</v>
      </c>
      <c r="D119" s="2" t="inlineStr">
        <is>
          <t>B36924857</t>
        </is>
      </c>
      <c r="E119" s="2" t="inlineStr">
        <is>
          <t>Hilos Consorciados S.L.</t>
        </is>
      </c>
      <c r="F119" s="2" t="n">
        <v>4573244</v>
      </c>
      <c r="G119" s="4" t="n">
        <v>235.29</v>
      </c>
      <c r="H119" s="3" t="n">
        <v>46008</v>
      </c>
      <c r="I119" s="3" t="n">
        <v>46044</v>
      </c>
      <c r="J119" s="2" t="n">
        <v>36</v>
      </c>
      <c r="K119" s="2" t="n">
        <v>3.84</v>
      </c>
      <c r="L119" s="2" t="n">
        <v>1.78</v>
      </c>
      <c r="M119" s="4" t="n">
        <v>4.19</v>
      </c>
      <c r="N119" s="4" t="n">
        <v>0.9</v>
      </c>
      <c r="O119" s="2" t="n">
        <v>50</v>
      </c>
      <c r="P119" s="4" t="n">
        <v>2.27</v>
      </c>
      <c r="Q119" s="4" t="n">
        <v>0.58</v>
      </c>
      <c r="R119" s="4">
        <f>G119*(L119/100)*(O119/100)</f>
        <v/>
      </c>
      <c r="S119" s="4">
        <f>G119*(K119/360/100)*J119*(O119/100)</f>
        <v/>
      </c>
      <c r="T119" s="4">
        <f>P119-R119+Q119-S119</f>
        <v/>
      </c>
    </row>
    <row r="120">
      <c r="A120" s="2" t="inlineStr">
        <is>
          <t>Diamante</t>
        </is>
      </c>
      <c r="B120" s="2" t="inlineStr">
        <is>
          <t>Blanco</t>
        </is>
      </c>
      <c r="C120" s="3" t="n">
        <v>46027</v>
      </c>
      <c r="D120" s="2" t="inlineStr">
        <is>
          <t>B36924857</t>
        </is>
      </c>
      <c r="E120" s="2" t="inlineStr">
        <is>
          <t>Hilos Consorciados S.L.</t>
        </is>
      </c>
      <c r="F120" s="2" t="n">
        <v>2292219</v>
      </c>
      <c r="G120" s="4" t="n">
        <v>341.59</v>
      </c>
      <c r="H120" s="3" t="n">
        <v>45995</v>
      </c>
      <c r="I120" s="3" t="n">
        <v>46064</v>
      </c>
      <c r="J120" s="2" t="n">
        <v>69</v>
      </c>
      <c r="K120" s="2" t="n">
        <v>4.34</v>
      </c>
      <c r="L120" s="2" t="n">
        <v>1.91</v>
      </c>
      <c r="M120" s="4" t="n">
        <v>6.52</v>
      </c>
      <c r="N120" s="4" t="n">
        <v>2.84</v>
      </c>
      <c r="O120" s="2" t="n">
        <v>60</v>
      </c>
      <c r="P120" s="4" t="n">
        <v>3.78</v>
      </c>
      <c r="Q120" s="4" t="n">
        <v>1.51</v>
      </c>
      <c r="R120" s="4">
        <f>G120*(L120/100)*(O120/100)</f>
        <v/>
      </c>
      <c r="S120" s="4">
        <f>G120*(K120/360/100)*J120*(O120/100)</f>
        <v/>
      </c>
      <c r="T120" s="4">
        <f>P120-R120+Q120-S120</f>
        <v/>
      </c>
    </row>
    <row r="121">
      <c r="A121" s="2" t="inlineStr">
        <is>
          <t>Diamante</t>
        </is>
      </c>
      <c r="B121" s="2" t="inlineStr">
        <is>
          <t>Blanco</t>
        </is>
      </c>
      <c r="C121" s="3" t="n">
        <v>46027</v>
      </c>
      <c r="D121" s="2" t="inlineStr">
        <is>
          <t>A07188920</t>
        </is>
      </c>
      <c r="E121" s="2" t="inlineStr">
        <is>
          <t>Vinos Biodegradables S.A.</t>
        </is>
      </c>
      <c r="F121" s="2" t="n">
        <v>1915363</v>
      </c>
      <c r="G121" s="4" t="n">
        <v>2171.94</v>
      </c>
      <c r="H121" s="3" t="n">
        <v>46006</v>
      </c>
      <c r="I121" s="3" t="n">
        <v>46047</v>
      </c>
      <c r="J121" s="2" t="n">
        <v>41</v>
      </c>
      <c r="K121" s="2" t="n">
        <v>3.9</v>
      </c>
      <c r="L121" s="2" t="n">
        <v>0.57</v>
      </c>
      <c r="M121" s="4" t="n">
        <v>12.38</v>
      </c>
      <c r="N121" s="4" t="n">
        <v>9.65</v>
      </c>
      <c r="O121" s="2" t="n">
        <v>40</v>
      </c>
      <c r="P121" s="4" t="n">
        <v>4.72</v>
      </c>
      <c r="Q121" s="4" t="n">
        <v>3.91</v>
      </c>
      <c r="R121" s="4">
        <f>G121*(L121/100)*(O121/100)</f>
        <v/>
      </c>
      <c r="S121" s="4">
        <f>G121*(K121/360/100)*J121*(O121/100)</f>
        <v/>
      </c>
      <c r="T121" s="4">
        <f>P121-R121+Q121-S121</f>
        <v/>
      </c>
    </row>
    <row r="122">
      <c r="A122" s="2" t="inlineStr">
        <is>
          <t>Diamante</t>
        </is>
      </c>
      <c r="B122" s="2" t="inlineStr">
        <is>
          <t>Blanco</t>
        </is>
      </c>
      <c r="C122" s="3" t="n">
        <v>46027</v>
      </c>
      <c r="D122" s="2" t="inlineStr">
        <is>
          <t>A07188920</t>
        </is>
      </c>
      <c r="E122" s="2" t="inlineStr">
        <is>
          <t>Vinos Biodegradables S.A.</t>
        </is>
      </c>
      <c r="F122" s="2" t="n">
        <v>2765054</v>
      </c>
      <c r="G122" s="4" t="n">
        <v>5357.03</v>
      </c>
      <c r="H122" s="3" t="n">
        <v>46017</v>
      </c>
      <c r="I122" s="3" t="n">
        <v>46101</v>
      </c>
      <c r="J122" s="2" t="n">
        <v>84</v>
      </c>
      <c r="K122" s="2" t="n">
        <v>6.25</v>
      </c>
      <c r="L122" s="2" t="n">
        <v>1.52</v>
      </c>
      <c r="M122" s="4" t="n">
        <v>81.43000000000001</v>
      </c>
      <c r="N122" s="4" t="n">
        <v>78.12</v>
      </c>
      <c r="O122" s="2" t="n">
        <v>40</v>
      </c>
      <c r="P122" s="4" t="n">
        <v>32.38</v>
      </c>
      <c r="Q122" s="4" t="n">
        <v>31.54</v>
      </c>
      <c r="R122" s="4">
        <f>G122*(L122/100)*(O122/100)</f>
        <v/>
      </c>
      <c r="S122" s="4">
        <f>G122*(K122/360/100)*J122*(O122/100)</f>
        <v/>
      </c>
      <c r="T122" s="4">
        <f>P122-R122+Q122-S122</f>
        <v/>
      </c>
    </row>
    <row r="123">
      <c r="A123" s="2" t="inlineStr">
        <is>
          <t>Diamante</t>
        </is>
      </c>
      <c r="B123" s="2" t="inlineStr">
        <is>
          <t>Blanco</t>
        </is>
      </c>
      <c r="C123" s="3" t="n">
        <v>46027</v>
      </c>
      <c r="D123" s="2" t="inlineStr">
        <is>
          <t>A87245777</t>
        </is>
      </c>
      <c r="E123" s="2" t="inlineStr">
        <is>
          <t>Contrachapados Lacados S.A.</t>
        </is>
      </c>
      <c r="F123" s="2" t="n">
        <v>3144745</v>
      </c>
      <c r="G123" s="4" t="n">
        <v>620.3200000000001</v>
      </c>
      <c r="H123" s="3" t="n">
        <v>45997</v>
      </c>
      <c r="I123" s="3" t="n">
        <v>46048</v>
      </c>
      <c r="J123" s="2" t="n">
        <v>51</v>
      </c>
      <c r="K123" s="2" t="n">
        <v>4.3</v>
      </c>
      <c r="L123" s="2" t="n">
        <v>1.82</v>
      </c>
      <c r="M123" s="4" t="n">
        <v>11.29</v>
      </c>
      <c r="N123" s="4" t="n">
        <v>3.78</v>
      </c>
      <c r="O123" s="2" t="n">
        <v>70</v>
      </c>
      <c r="P123" s="4" t="n">
        <v>8.08</v>
      </c>
      <c r="Q123" s="4" t="n">
        <v>2.8</v>
      </c>
      <c r="R123" s="4">
        <f>G123*(L123/100)*(O123/100)</f>
        <v/>
      </c>
      <c r="S123" s="4">
        <f>G123*(K123/360/100)*J123*(O123/100)</f>
        <v/>
      </c>
      <c r="T123" s="4">
        <f>P123-R123+Q123-S123</f>
        <v/>
      </c>
    </row>
    <row r="124">
      <c r="A124" s="2" t="inlineStr">
        <is>
          <t>Diamante</t>
        </is>
      </c>
      <c r="B124" s="2" t="inlineStr">
        <is>
          <t>Blanco</t>
        </is>
      </c>
      <c r="C124" s="3" t="n">
        <v>46027</v>
      </c>
      <c r="D124" s="2" t="inlineStr">
        <is>
          <t>A87245777</t>
        </is>
      </c>
      <c r="E124" s="2" t="inlineStr">
        <is>
          <t>Contrachapados Lacados S.A.</t>
        </is>
      </c>
      <c r="F124" s="2" t="n">
        <v>2110093</v>
      </c>
      <c r="G124" s="4" t="n">
        <v>9438.459999999999</v>
      </c>
      <c r="H124" s="3" t="n">
        <v>45992</v>
      </c>
      <c r="I124" s="3" t="n">
        <v>46049</v>
      </c>
      <c r="J124" s="2" t="n">
        <v>57</v>
      </c>
      <c r="K124" s="2" t="n">
        <v>5.39</v>
      </c>
      <c r="L124" s="2" t="n">
        <v>0.63</v>
      </c>
      <c r="M124" s="4" t="n">
        <v>59.46</v>
      </c>
      <c r="N124" s="4" t="n">
        <v>80.55</v>
      </c>
      <c r="O124" s="2" t="n">
        <v>50</v>
      </c>
      <c r="P124" s="4" t="n">
        <v>29.49</v>
      </c>
      <c r="Q124" s="4" t="n">
        <v>40.57</v>
      </c>
      <c r="R124" s="4">
        <f>G124*(L124/100)*(O124/100)</f>
        <v/>
      </c>
      <c r="S124" s="4">
        <f>G124*(K124/360/100)*J124*(O124/100)</f>
        <v/>
      </c>
      <c r="T124" s="4">
        <f>P124-R124+Q124-S124</f>
        <v/>
      </c>
    </row>
    <row r="125">
      <c r="A125" s="2" t="inlineStr">
        <is>
          <t>Diamante</t>
        </is>
      </c>
      <c r="B125" s="2" t="inlineStr">
        <is>
          <t>Blanco</t>
        </is>
      </c>
      <c r="C125" s="3" t="n">
        <v>46027</v>
      </c>
      <c r="D125" s="2" t="inlineStr">
        <is>
          <t>A97710527</t>
        </is>
      </c>
      <c r="E125" s="2" t="inlineStr">
        <is>
          <t>Alcalis Gaditanos S.A.</t>
        </is>
      </c>
      <c r="F125" s="2" t="n">
        <v>1420106</v>
      </c>
      <c r="G125" s="4" t="n">
        <v>2980.36</v>
      </c>
      <c r="H125" s="3" t="n">
        <v>46009</v>
      </c>
      <c r="I125" s="3" t="n">
        <v>46079</v>
      </c>
      <c r="J125" s="2" t="n">
        <v>70</v>
      </c>
      <c r="K125" s="2" t="n">
        <v>5.16</v>
      </c>
      <c r="L125" s="2" t="n">
        <v>1.04</v>
      </c>
      <c r="M125" s="4" t="n">
        <v>31</v>
      </c>
      <c r="N125" s="4" t="n">
        <v>29.9</v>
      </c>
      <c r="O125" s="2" t="n">
        <v>70</v>
      </c>
      <c r="P125" s="4" t="n">
        <v>21.8</v>
      </c>
      <c r="Q125" s="4" t="n">
        <v>21.14</v>
      </c>
      <c r="R125" s="4">
        <f>G125*(L125/100)*(O125/100)</f>
        <v/>
      </c>
      <c r="S125" s="4">
        <f>G125*(K125/360/100)*J125*(O125/100)</f>
        <v/>
      </c>
      <c r="T125" s="4">
        <f>P125-R125+Q125-S125</f>
        <v/>
      </c>
    </row>
    <row r="126">
      <c r="A126" s="2" t="inlineStr">
        <is>
          <t>Diamante</t>
        </is>
      </c>
      <c r="B126" s="2" t="inlineStr">
        <is>
          <t>Blanco</t>
        </is>
      </c>
      <c r="C126" s="3" t="n">
        <v>46027</v>
      </c>
      <c r="D126" s="2" t="inlineStr">
        <is>
          <t>A97710527</t>
        </is>
      </c>
      <c r="E126" s="2" t="inlineStr">
        <is>
          <t>Alcalis Gaditanos S.A.</t>
        </is>
      </c>
      <c r="F126" s="2" t="n">
        <v>3030282</v>
      </c>
      <c r="G126" s="4" t="n">
        <v>932.98</v>
      </c>
      <c r="H126" s="3" t="n">
        <v>46003</v>
      </c>
      <c r="I126" s="3" t="n">
        <v>46093</v>
      </c>
      <c r="J126" s="2" t="n">
        <v>90</v>
      </c>
      <c r="K126" s="2" t="n">
        <v>4.99</v>
      </c>
      <c r="L126" s="2" t="n">
        <v>1.08</v>
      </c>
      <c r="M126" s="4" t="n">
        <v>10.08</v>
      </c>
      <c r="N126" s="4" t="n">
        <v>11.64</v>
      </c>
      <c r="O126" s="2" t="n">
        <v>30</v>
      </c>
      <c r="P126" s="4" t="n">
        <v>3.06</v>
      </c>
      <c r="Q126" s="4" t="n">
        <v>3.21</v>
      </c>
      <c r="R126" s="4">
        <f>G126*(L126/100)*(O126/100)</f>
        <v/>
      </c>
      <c r="S126" s="4">
        <f>G126*(K126/360/100)*J126*(O126/100)</f>
        <v/>
      </c>
      <c r="T126" s="4">
        <f>P126-R126+Q126-S126</f>
        <v/>
      </c>
    </row>
    <row r="127">
      <c r="A127" s="2" t="inlineStr">
        <is>
          <t>Diamante</t>
        </is>
      </c>
      <c r="B127" s="2" t="inlineStr">
        <is>
          <t>Blanco</t>
        </is>
      </c>
      <c r="C127" s="3" t="n">
        <v>46027</v>
      </c>
      <c r="D127" s="2" t="inlineStr">
        <is>
          <t>A53206019</t>
        </is>
      </c>
      <c r="E127" s="2" t="inlineStr">
        <is>
          <t>Bandejas Estandarizados S.A.</t>
        </is>
      </c>
      <c r="F127" s="2" t="n">
        <v>2620901</v>
      </c>
      <c r="G127" s="4" t="n">
        <v>399.02</v>
      </c>
      <c r="H127" s="3" t="n">
        <v>46002</v>
      </c>
      <c r="I127" s="3" t="n">
        <v>46068</v>
      </c>
      <c r="J127" s="2" t="n">
        <v>66</v>
      </c>
      <c r="K127" s="2" t="n">
        <v>4.57</v>
      </c>
      <c r="L127" s="2" t="n">
        <v>1.29</v>
      </c>
      <c r="M127" s="4" t="n">
        <v>5.15</v>
      </c>
      <c r="N127" s="4" t="n">
        <v>3.34</v>
      </c>
      <c r="O127" s="2" t="n">
        <v>50</v>
      </c>
      <c r="P127" s="4" t="n">
        <v>2.49</v>
      </c>
      <c r="Q127" s="4" t="n">
        <v>1.86</v>
      </c>
      <c r="R127" s="4">
        <f>G127*(L127/100)*(O127/100)</f>
        <v/>
      </c>
      <c r="S127" s="4">
        <f>G127*(K127/360/100)*J127*(O127/100)</f>
        <v/>
      </c>
      <c r="T127" s="4">
        <f>P127-R127+Q127-S127</f>
        <v/>
      </c>
    </row>
    <row r="128">
      <c r="A128" s="2" t="inlineStr">
        <is>
          <t>Diamante</t>
        </is>
      </c>
      <c r="B128" s="2" t="inlineStr">
        <is>
          <t>Blanco</t>
        </is>
      </c>
      <c r="C128" s="3" t="n">
        <v>46027</v>
      </c>
      <c r="D128" s="2" t="inlineStr">
        <is>
          <t>A53206019</t>
        </is>
      </c>
      <c r="E128" s="2" t="inlineStr">
        <is>
          <t>Bandejas Estandarizados S.A.</t>
        </is>
      </c>
      <c r="F128" s="2" t="n">
        <v>4163884</v>
      </c>
      <c r="G128" s="4" t="n">
        <v>8495.129999999999</v>
      </c>
      <c r="H128" s="3" t="n">
        <v>45998</v>
      </c>
      <c r="I128" s="3" t="n">
        <v>46039</v>
      </c>
      <c r="J128" s="2" t="n">
        <v>41</v>
      </c>
      <c r="K128" s="2" t="n">
        <v>6.67</v>
      </c>
      <c r="L128" s="2" t="n">
        <v>1.7</v>
      </c>
      <c r="M128" s="4" t="n">
        <v>144.42</v>
      </c>
      <c r="N128" s="4" t="n">
        <v>64.53</v>
      </c>
      <c r="O128" s="2" t="n">
        <v>50</v>
      </c>
      <c r="P128" s="4" t="n">
        <v>72.33</v>
      </c>
      <c r="Q128" s="4" t="n">
        <v>32.38</v>
      </c>
      <c r="R128" s="4">
        <f>G128*(L128/100)*(O128/100)</f>
        <v/>
      </c>
      <c r="S128" s="4">
        <f>G128*(K128/360/100)*J128*(O128/100)</f>
        <v/>
      </c>
      <c r="T128" s="4">
        <f>P128-R128+Q128-S128</f>
        <v/>
      </c>
    </row>
    <row r="129">
      <c r="A129" s="2" t="inlineStr">
        <is>
          <t>Diamante</t>
        </is>
      </c>
      <c r="B129" s="2" t="inlineStr">
        <is>
          <t>Blanco</t>
        </is>
      </c>
      <c r="C129" s="3" t="n">
        <v>46027</v>
      </c>
      <c r="D129" s="2" t="inlineStr">
        <is>
          <t>A77084567</t>
        </is>
      </c>
      <c r="E129" s="2" t="inlineStr">
        <is>
          <t>Niquelados Destacados S.A.</t>
        </is>
      </c>
      <c r="F129" s="2" t="n">
        <v>2666199</v>
      </c>
      <c r="G129" s="4" t="n">
        <v>182.12</v>
      </c>
      <c r="H129" s="3" t="n">
        <v>46002</v>
      </c>
      <c r="I129" s="3" t="n">
        <v>46064</v>
      </c>
      <c r="J129" s="2" t="n">
        <v>62</v>
      </c>
      <c r="K129" s="2" t="n">
        <v>4.83</v>
      </c>
      <c r="L129" s="2" t="n">
        <v>0.55</v>
      </c>
      <c r="M129" s="4" t="n">
        <v>1</v>
      </c>
      <c r="N129" s="4" t="n">
        <v>1.51</v>
      </c>
      <c r="O129" s="2" t="n">
        <v>20</v>
      </c>
      <c r="P129" s="4" t="n">
        <v>0.26</v>
      </c>
      <c r="Q129" s="4" t="n">
        <v>0.01</v>
      </c>
      <c r="R129" s="4">
        <f>G129*(L129/100)*(O129/100)</f>
        <v/>
      </c>
      <c r="S129" s="4">
        <f>G129*(K129/360/100)*J129*(O129/100)</f>
        <v/>
      </c>
      <c r="T129" s="4">
        <f>P129-R129+Q129-S129</f>
        <v/>
      </c>
    </row>
    <row r="130">
      <c r="A130" s="2" t="inlineStr">
        <is>
          <t>Diamante</t>
        </is>
      </c>
      <c r="B130" s="2" t="inlineStr">
        <is>
          <t>Blanco</t>
        </is>
      </c>
      <c r="C130" s="3" t="n">
        <v>46027</v>
      </c>
      <c r="D130" s="2" t="inlineStr">
        <is>
          <t>A77084567</t>
        </is>
      </c>
      <c r="E130" s="2" t="inlineStr">
        <is>
          <t>Niquelados Destacados S.A.</t>
        </is>
      </c>
      <c r="F130" s="2" t="n">
        <v>2432898</v>
      </c>
      <c r="G130" s="4" t="n">
        <v>682.88</v>
      </c>
      <c r="H130" s="3" t="n">
        <v>46000</v>
      </c>
      <c r="I130" s="3" t="n">
        <v>46071</v>
      </c>
      <c r="J130" s="2" t="n">
        <v>71</v>
      </c>
      <c r="K130" s="2" t="n">
        <v>6.39</v>
      </c>
      <c r="L130" s="2" t="n">
        <v>0.66</v>
      </c>
      <c r="M130" s="4" t="n">
        <v>4.51</v>
      </c>
      <c r="N130" s="4" t="n">
        <v>8.609999999999999</v>
      </c>
      <c r="O130" s="2" t="n">
        <v>70</v>
      </c>
      <c r="P130" s="4" t="n">
        <v>3.06</v>
      </c>
      <c r="Q130" s="4" t="n">
        <v>5.87</v>
      </c>
      <c r="R130" s="4">
        <f>G130*(L130/100)*(O130/100)</f>
        <v/>
      </c>
      <c r="S130" s="4">
        <f>G130*(K130/360/100)*J130*(O130/100)</f>
        <v/>
      </c>
      <c r="T130" s="4">
        <f>P130-R130+Q130-S130</f>
        <v/>
      </c>
    </row>
    <row r="131">
      <c r="A131" s="2" t="inlineStr">
        <is>
          <t>Diamante</t>
        </is>
      </c>
      <c r="B131" s="2" t="inlineStr">
        <is>
          <t>Blanco</t>
        </is>
      </c>
      <c r="C131" s="3" t="n">
        <v>46027</v>
      </c>
      <c r="D131" s="2" t="inlineStr">
        <is>
          <t>A77084567</t>
        </is>
      </c>
      <c r="E131" s="2" t="inlineStr">
        <is>
          <t>Niquelados Destacados S.A.</t>
        </is>
      </c>
      <c r="F131" s="2" t="n">
        <v>2560349</v>
      </c>
      <c r="G131" s="4" t="n">
        <v>644.6</v>
      </c>
      <c r="H131" s="3" t="n">
        <v>45995</v>
      </c>
      <c r="I131" s="3" t="n">
        <v>46070</v>
      </c>
      <c r="J131" s="2" t="n">
        <v>75</v>
      </c>
      <c r="K131" s="2" t="n">
        <v>3.57</v>
      </c>
      <c r="L131" s="2" t="n">
        <v>0.65</v>
      </c>
      <c r="M131" s="4" t="n">
        <v>4.19</v>
      </c>
      <c r="N131" s="4" t="n">
        <v>4.79</v>
      </c>
      <c r="O131" s="2" t="n">
        <v>20</v>
      </c>
      <c r="P131" s="4" t="n">
        <v>0.82</v>
      </c>
      <c r="Q131" s="4" t="n">
        <v>1.15</v>
      </c>
      <c r="R131" s="4">
        <f>G131*(L131/100)*(O131/100)</f>
        <v/>
      </c>
      <c r="S131" s="4">
        <f>G131*(K131/360/100)*J131*(O131/100)</f>
        <v/>
      </c>
      <c r="T131" s="4">
        <f>P131-R131+Q131-S131</f>
        <v/>
      </c>
    </row>
    <row r="132">
      <c r="A132" s="2" t="inlineStr">
        <is>
          <t>Diamante</t>
        </is>
      </c>
      <c r="B132" s="2" t="inlineStr">
        <is>
          <t>Blanco</t>
        </is>
      </c>
      <c r="C132" s="3" t="n">
        <v>46027</v>
      </c>
      <c r="D132" s="2" t="inlineStr">
        <is>
          <t>A42105204</t>
        </is>
      </c>
      <c r="E132" s="2" t="inlineStr">
        <is>
          <t>Componentes Clorados S.A.</t>
        </is>
      </c>
      <c r="F132" s="2" t="n">
        <v>1809721</v>
      </c>
      <c r="G132" s="4" t="n">
        <v>578.74</v>
      </c>
      <c r="H132" s="3" t="n">
        <v>45992</v>
      </c>
      <c r="I132" s="3" t="n">
        <v>46078</v>
      </c>
      <c r="J132" s="2" t="n">
        <v>86</v>
      </c>
      <c r="K132" s="2" t="n">
        <v>3.86</v>
      </c>
      <c r="L132" s="2" t="n">
        <v>0.91</v>
      </c>
      <c r="M132" s="4" t="n">
        <v>5.27</v>
      </c>
      <c r="N132" s="4" t="n">
        <v>5.34</v>
      </c>
      <c r="O132" s="2" t="n">
        <v>40</v>
      </c>
      <c r="P132" s="4" t="n">
        <v>2.21</v>
      </c>
      <c r="Q132" s="4" t="n">
        <v>2.31</v>
      </c>
      <c r="R132" s="4">
        <f>G132*(L132/100)*(O132/100)</f>
        <v/>
      </c>
      <c r="S132" s="4">
        <f>G132*(K132/360/100)*J132*(O132/100)</f>
        <v/>
      </c>
      <c r="T132" s="4">
        <f>P132-R132+Q132-S132</f>
        <v/>
      </c>
    </row>
    <row r="133">
      <c r="A133" s="2" t="inlineStr">
        <is>
          <t>Diamante</t>
        </is>
      </c>
      <c r="B133" s="2" t="inlineStr">
        <is>
          <t>Blanco</t>
        </is>
      </c>
      <c r="C133" s="3" t="n">
        <v>46027</v>
      </c>
      <c r="D133" s="2" t="inlineStr">
        <is>
          <t>A42105204</t>
        </is>
      </c>
      <c r="E133" s="2" t="inlineStr">
        <is>
          <t>Componentes Clorados S.A.</t>
        </is>
      </c>
      <c r="F133" s="2" t="n">
        <v>4379979</v>
      </c>
      <c r="G133" s="4" t="n">
        <v>5569.18</v>
      </c>
      <c r="H133" s="3" t="n">
        <v>46016</v>
      </c>
      <c r="I133" s="3" t="n">
        <v>46074</v>
      </c>
      <c r="J133" s="2" t="n">
        <v>58</v>
      </c>
      <c r="K133" s="2" t="n">
        <v>5.69</v>
      </c>
      <c r="L133" s="2" t="n">
        <v>1.62</v>
      </c>
      <c r="M133" s="4" t="n">
        <v>90.22</v>
      </c>
      <c r="N133" s="4" t="n">
        <v>51.05</v>
      </c>
      <c r="O133" s="2" t="n">
        <v>60</v>
      </c>
      <c r="P133" s="4" t="n">
        <v>54.07</v>
      </c>
      <c r="Q133" s="4" t="n">
        <v>30.37</v>
      </c>
      <c r="R133" s="4">
        <f>G133*(L133/100)*(O133/100)</f>
        <v/>
      </c>
      <c r="S133" s="4">
        <f>G133*(K133/360/100)*J133*(O133/100)</f>
        <v/>
      </c>
      <c r="T133" s="4">
        <f>P133-R133+Q133-S133</f>
        <v/>
      </c>
    </row>
    <row r="134">
      <c r="A134" s="2" t="inlineStr">
        <is>
          <t>Diamante</t>
        </is>
      </c>
      <c r="B134" s="2" t="inlineStr">
        <is>
          <t>Blanco</t>
        </is>
      </c>
      <c r="C134" s="3" t="n">
        <v>46027</v>
      </c>
      <c r="D134" s="2" t="inlineStr">
        <is>
          <t>A42105204</t>
        </is>
      </c>
      <c r="E134" s="2" t="inlineStr">
        <is>
          <t>Componentes Clorados S.A.</t>
        </is>
      </c>
      <c r="F134" s="2" t="n">
        <v>3038989</v>
      </c>
      <c r="G134" s="4" t="n">
        <v>443.33</v>
      </c>
      <c r="H134" s="3" t="n">
        <v>46005</v>
      </c>
      <c r="I134" s="3" t="n">
        <v>46063</v>
      </c>
      <c r="J134" s="2" t="n">
        <v>58</v>
      </c>
      <c r="K134" s="2" t="n">
        <v>4.27</v>
      </c>
      <c r="L134" s="2" t="n">
        <v>1.8</v>
      </c>
      <c r="M134" s="4" t="n">
        <v>7.98</v>
      </c>
      <c r="N134" s="4" t="n">
        <v>3.05</v>
      </c>
      <c r="O134" s="2" t="n">
        <v>40</v>
      </c>
      <c r="P134" s="4" t="n">
        <v>3.28</v>
      </c>
      <c r="Q134" s="4" t="n">
        <v>1.31</v>
      </c>
      <c r="R134" s="4">
        <f>G134*(L134/100)*(O134/100)</f>
        <v/>
      </c>
      <c r="S134" s="4">
        <f>G134*(K134/360/100)*J134*(O134/100)</f>
        <v/>
      </c>
      <c r="T134" s="4">
        <f>P134-R134+Q134-S134</f>
        <v/>
      </c>
    </row>
    <row r="135">
      <c r="A135" s="2" t="inlineStr">
        <is>
          <t>Diamante</t>
        </is>
      </c>
      <c r="B135" s="2" t="inlineStr">
        <is>
          <t>Blanco</t>
        </is>
      </c>
      <c r="C135" s="3" t="n">
        <v>46027</v>
      </c>
      <c r="D135" s="2" t="inlineStr">
        <is>
          <t>B73231713</t>
        </is>
      </c>
      <c r="E135" s="2" t="inlineStr">
        <is>
          <t>Insecticidas Energéticos S.L.</t>
        </is>
      </c>
      <c r="F135" s="2" t="n">
        <v>2026089</v>
      </c>
      <c r="G135" s="4" t="n">
        <v>7995.14</v>
      </c>
      <c r="H135" s="3" t="n">
        <v>46003</v>
      </c>
      <c r="I135" s="3" t="n">
        <v>46042</v>
      </c>
      <c r="J135" s="2" t="n">
        <v>39</v>
      </c>
      <c r="K135" s="2" t="n">
        <v>6.41</v>
      </c>
      <c r="L135" s="2" t="n">
        <v>0.82</v>
      </c>
      <c r="M135" s="4" t="n">
        <v>65.56</v>
      </c>
      <c r="N135" s="4" t="n">
        <v>55.52</v>
      </c>
      <c r="O135" s="2" t="n">
        <v>40</v>
      </c>
      <c r="P135" s="4" t="n">
        <v>26.27</v>
      </c>
      <c r="Q135" s="4" t="n">
        <v>21.91</v>
      </c>
      <c r="R135" s="4">
        <f>G135*(L135/100)*(O135/100)</f>
        <v/>
      </c>
      <c r="S135" s="4">
        <f>G135*(K135/360/100)*J135*(O135/100)</f>
        <v/>
      </c>
      <c r="T135" s="4">
        <f>P135-R135+Q135-S135</f>
        <v/>
      </c>
    </row>
    <row r="136">
      <c r="A136" s="2" t="inlineStr">
        <is>
          <t>Diamante</t>
        </is>
      </c>
      <c r="B136" s="2" t="inlineStr">
        <is>
          <t>Blanco</t>
        </is>
      </c>
      <c r="C136" s="3" t="n">
        <v>46027</v>
      </c>
      <c r="D136" s="2" t="inlineStr">
        <is>
          <t>B73231713</t>
        </is>
      </c>
      <c r="E136" s="2" t="inlineStr">
        <is>
          <t>Insecticidas Energéticos S.L.</t>
        </is>
      </c>
      <c r="F136" s="2" t="n">
        <v>3308744</v>
      </c>
      <c r="G136" s="4" t="n">
        <v>286.8</v>
      </c>
      <c r="H136" s="3" t="n">
        <v>45992</v>
      </c>
      <c r="I136" s="3" t="n">
        <v>46023</v>
      </c>
      <c r="J136" s="2" t="n">
        <v>31</v>
      </c>
      <c r="K136" s="2" t="n">
        <v>6.53</v>
      </c>
      <c r="L136" s="2" t="n">
        <v>1.01</v>
      </c>
      <c r="M136" s="4" t="n">
        <v>2.9</v>
      </c>
      <c r="N136" s="4" t="n">
        <v>1.61</v>
      </c>
      <c r="O136" s="2" t="n">
        <v>60</v>
      </c>
      <c r="P136" s="4" t="n">
        <v>1.97</v>
      </c>
      <c r="Q136" s="4" t="n">
        <v>1.09</v>
      </c>
      <c r="R136" s="4">
        <f>G136*(L136/100)*(O136/100)</f>
        <v/>
      </c>
      <c r="S136" s="4">
        <f>G136*(K136/360/100)*J136*(O136/100)</f>
        <v/>
      </c>
      <c r="T136" s="4">
        <f>P136-R136+Q136-S136</f>
        <v/>
      </c>
    </row>
    <row r="137">
      <c r="A137" s="2" t="inlineStr">
        <is>
          <t>Diamante</t>
        </is>
      </c>
      <c r="B137" s="2" t="inlineStr">
        <is>
          <t>Blanco</t>
        </is>
      </c>
      <c r="C137" s="3" t="n">
        <v>46027</v>
      </c>
      <c r="D137" s="2" t="inlineStr">
        <is>
          <t>A79689218</t>
        </is>
      </c>
      <c r="E137" s="2" t="inlineStr">
        <is>
          <t>Alcantarillados Saturados S.A.</t>
        </is>
      </c>
      <c r="F137" s="2" t="n">
        <v>1383788</v>
      </c>
      <c r="G137" s="4" t="n">
        <v>942.86</v>
      </c>
      <c r="H137" s="3" t="n">
        <v>46004</v>
      </c>
      <c r="I137" s="3" t="n">
        <v>46092</v>
      </c>
      <c r="J137" s="2" t="n">
        <v>88</v>
      </c>
      <c r="K137" s="2" t="n">
        <v>4.57</v>
      </c>
      <c r="L137" s="2" t="n">
        <v>1.46</v>
      </c>
      <c r="M137" s="4" t="n">
        <v>13.77</v>
      </c>
      <c r="N137" s="4" t="n">
        <v>10.53</v>
      </c>
      <c r="O137" s="2" t="n">
        <v>60</v>
      </c>
      <c r="P137" s="4" t="n">
        <v>8.06</v>
      </c>
      <c r="Q137" s="4" t="n">
        <v>6.38</v>
      </c>
      <c r="R137" s="4">
        <f>G137*(L137/100)*(O137/100)</f>
        <v/>
      </c>
      <c r="S137" s="4">
        <f>G137*(K137/360/100)*J137*(O137/100)</f>
        <v/>
      </c>
      <c r="T137" s="4">
        <f>P137-R137+Q137-S137</f>
        <v/>
      </c>
    </row>
    <row r="138">
      <c r="A138" s="2" t="inlineStr">
        <is>
          <t>Diamante</t>
        </is>
      </c>
      <c r="B138" s="2" t="inlineStr">
        <is>
          <t>Blanco</t>
        </is>
      </c>
      <c r="C138" s="3" t="n">
        <v>46027</v>
      </c>
      <c r="D138" s="2" t="inlineStr">
        <is>
          <t>A79689218</t>
        </is>
      </c>
      <c r="E138" s="2" t="inlineStr">
        <is>
          <t>Alcantarillados Saturados S.A.</t>
        </is>
      </c>
      <c r="F138" s="2" t="n">
        <v>4834633</v>
      </c>
      <c r="G138" s="4" t="n">
        <v>8257.27</v>
      </c>
      <c r="H138" s="3" t="n">
        <v>45996</v>
      </c>
      <c r="I138" s="3" t="n">
        <v>46057</v>
      </c>
      <c r="J138" s="2" t="n">
        <v>61</v>
      </c>
      <c r="K138" s="2" t="n">
        <v>5.62</v>
      </c>
      <c r="L138" s="2" t="n">
        <v>1.68</v>
      </c>
      <c r="M138" s="4" t="n">
        <v>138.72</v>
      </c>
      <c r="N138" s="4" t="n">
        <v>78.63</v>
      </c>
      <c r="O138" s="2" t="n">
        <v>50</v>
      </c>
      <c r="P138" s="4" t="n">
        <v>69.3</v>
      </c>
      <c r="Q138" s="4" t="n">
        <v>39.28</v>
      </c>
      <c r="R138" s="4">
        <f>G138*(L138/100)*(O138/100)</f>
        <v/>
      </c>
      <c r="S138" s="4">
        <f>G138*(K138/360/100)*J138*(O138/100)</f>
        <v/>
      </c>
      <c r="T138" s="4">
        <f>P138-R138+Q138-S138</f>
        <v/>
      </c>
    </row>
    <row r="139">
      <c r="A139" s="2" t="inlineStr">
        <is>
          <t>Diamante</t>
        </is>
      </c>
      <c r="B139" s="2" t="inlineStr">
        <is>
          <t>Blanco</t>
        </is>
      </c>
      <c r="C139" s="3" t="n">
        <v>46027</v>
      </c>
      <c r="D139" s="2" t="inlineStr">
        <is>
          <t>A79689218</t>
        </is>
      </c>
      <c r="E139" s="2" t="inlineStr">
        <is>
          <t>Alcantarillados Saturados S.A.</t>
        </is>
      </c>
      <c r="F139" s="2" t="n">
        <v>3482531</v>
      </c>
      <c r="G139" s="4" t="n">
        <v>580.89</v>
      </c>
      <c r="H139" s="3" t="n">
        <v>46019</v>
      </c>
      <c r="I139" s="3" t="n">
        <v>46062</v>
      </c>
      <c r="J139" s="2" t="n">
        <v>43</v>
      </c>
      <c r="K139" s="2" t="n">
        <v>3.35</v>
      </c>
      <c r="L139" s="2" t="n">
        <v>1.26</v>
      </c>
      <c r="M139" s="4" t="n">
        <v>7.32</v>
      </c>
      <c r="N139" s="4" t="n">
        <v>2.32</v>
      </c>
      <c r="O139" s="2" t="n">
        <v>30</v>
      </c>
      <c r="P139" s="4" t="n">
        <v>2.37</v>
      </c>
      <c r="Q139" s="4" t="n">
        <v>0.43</v>
      </c>
      <c r="R139" s="4">
        <f>G139*(L139/100)*(O139/100)</f>
        <v/>
      </c>
      <c r="S139" s="4">
        <f>G139*(K139/360/100)*J139*(O139/100)</f>
        <v/>
      </c>
      <c r="T139" s="4">
        <f>P139-R139+Q139-S139</f>
        <v/>
      </c>
    </row>
    <row r="140">
      <c r="A140" s="2" t="inlineStr">
        <is>
          <t>Diamante</t>
        </is>
      </c>
      <c r="B140" s="2" t="inlineStr">
        <is>
          <t>Blanco</t>
        </is>
      </c>
      <c r="C140" s="3" t="n">
        <v>46027</v>
      </c>
      <c r="D140" s="2" t="inlineStr">
        <is>
          <t>A92050707</t>
        </is>
      </c>
      <c r="E140" s="2" t="inlineStr">
        <is>
          <t>Alcantarillados Descentralizados S.A.</t>
        </is>
      </c>
      <c r="F140" s="2" t="n">
        <v>2634862</v>
      </c>
      <c r="G140" s="4" t="n">
        <v>286.55</v>
      </c>
      <c r="H140" s="3" t="n">
        <v>46019</v>
      </c>
      <c r="I140" s="3" t="n">
        <v>46093</v>
      </c>
      <c r="J140" s="2" t="n">
        <v>74</v>
      </c>
      <c r="K140" s="2" t="n">
        <v>4.71</v>
      </c>
      <c r="L140" s="2" t="n">
        <v>0.98</v>
      </c>
      <c r="M140" s="4" t="n">
        <v>2.81</v>
      </c>
      <c r="N140" s="4" t="n">
        <v>2.77</v>
      </c>
      <c r="O140" s="2" t="n">
        <v>70</v>
      </c>
      <c r="P140" s="4" t="n">
        <v>1.71</v>
      </c>
      <c r="Q140" s="4" t="n">
        <v>1.95</v>
      </c>
      <c r="R140" s="4">
        <f>G140*(L140/100)*(O140/100)</f>
        <v/>
      </c>
      <c r="S140" s="4">
        <f>G140*(K140/360/100)*J140*(O140/100)</f>
        <v/>
      </c>
      <c r="T140" s="4">
        <f>P140-R140+Q140-S140</f>
        <v/>
      </c>
    </row>
    <row r="141">
      <c r="A141" s="2" t="inlineStr">
        <is>
          <t>Diamante</t>
        </is>
      </c>
      <c r="B141" s="2" t="inlineStr">
        <is>
          <t>Blanco</t>
        </is>
      </c>
      <c r="C141" s="3" t="n">
        <v>46027</v>
      </c>
      <c r="D141" s="2" t="inlineStr">
        <is>
          <t>A92050707</t>
        </is>
      </c>
      <c r="E141" s="2" t="inlineStr">
        <is>
          <t>Alcantarillados Descentralizados S.A.</t>
        </is>
      </c>
      <c r="F141" s="2" t="n">
        <v>4276344</v>
      </c>
      <c r="G141" s="4" t="n">
        <v>519.8099999999999</v>
      </c>
      <c r="H141" s="3" t="n">
        <v>46007</v>
      </c>
      <c r="I141" s="3" t="n">
        <v>46061</v>
      </c>
      <c r="J141" s="2" t="n">
        <v>54</v>
      </c>
      <c r="K141" s="2" t="n">
        <v>3.98</v>
      </c>
      <c r="L141" s="2" t="n">
        <v>0.84</v>
      </c>
      <c r="M141" s="4" t="n">
        <v>4.37</v>
      </c>
      <c r="N141" s="4" t="n">
        <v>3.1</v>
      </c>
      <c r="O141" s="2" t="n">
        <v>30</v>
      </c>
      <c r="P141" s="4" t="n">
        <v>1.55</v>
      </c>
      <c r="Q141" s="4" t="n">
        <v>0.65</v>
      </c>
      <c r="R141" s="4">
        <f>G141*(L141/100)*(O141/100)</f>
        <v/>
      </c>
      <c r="S141" s="4">
        <f>G141*(K141/360/100)*J141*(O141/100)</f>
        <v/>
      </c>
      <c r="T141" s="4">
        <f>P141-R141+Q141-S141</f>
        <v/>
      </c>
    </row>
    <row r="142">
      <c r="A142" s="2" t="inlineStr">
        <is>
          <t>Diamante</t>
        </is>
      </c>
      <c r="B142" s="2" t="inlineStr">
        <is>
          <t>Blanco</t>
        </is>
      </c>
      <c r="C142" s="3" t="n">
        <v>46027</v>
      </c>
      <c r="D142" s="2" t="inlineStr">
        <is>
          <t>B76475692</t>
        </is>
      </c>
      <c r="E142" s="2" t="inlineStr">
        <is>
          <t>Contrachapados Creativos S.L.</t>
        </is>
      </c>
      <c r="F142" s="2" t="n">
        <v>2051786</v>
      </c>
      <c r="G142" s="4" t="n">
        <v>6531.79</v>
      </c>
      <c r="H142" s="3" t="n">
        <v>46016</v>
      </c>
      <c r="I142" s="3" t="n">
        <v>46061</v>
      </c>
      <c r="J142" s="2" t="n">
        <v>45</v>
      </c>
      <c r="K142" s="2" t="n">
        <v>4.97</v>
      </c>
      <c r="L142" s="2" t="n">
        <v>1.62</v>
      </c>
      <c r="M142" s="4" t="n">
        <v>105.81</v>
      </c>
      <c r="N142" s="4" t="n">
        <v>40.58</v>
      </c>
      <c r="O142" s="2" t="n">
        <v>70</v>
      </c>
      <c r="P142" s="4" t="n">
        <v>73.95999999999999</v>
      </c>
      <c r="Q142" s="4" t="n">
        <v>28.22</v>
      </c>
      <c r="R142" s="4">
        <f>G142*(L142/100)*(O142/100)</f>
        <v/>
      </c>
      <c r="S142" s="4">
        <f>G142*(K142/360/100)*J142*(O142/100)</f>
        <v/>
      </c>
      <c r="T142" s="4">
        <f>P142-R142+Q142-S142</f>
        <v/>
      </c>
    </row>
    <row r="143">
      <c r="A143" s="2" t="inlineStr">
        <is>
          <t>Diamante</t>
        </is>
      </c>
      <c r="B143" s="2" t="inlineStr">
        <is>
          <t>Blanco</t>
        </is>
      </c>
      <c r="C143" s="3" t="n">
        <v>46027</v>
      </c>
      <c r="D143" s="2" t="inlineStr">
        <is>
          <t>B76475692</t>
        </is>
      </c>
      <c r="E143" s="2" t="inlineStr">
        <is>
          <t>Contrachapados Creativos S.L.</t>
        </is>
      </c>
      <c r="F143" s="2" t="n">
        <v>4621786</v>
      </c>
      <c r="G143" s="4" t="n">
        <v>6669.37</v>
      </c>
      <c r="H143" s="3" t="n">
        <v>46002</v>
      </c>
      <c r="I143" s="3" t="n">
        <v>46048</v>
      </c>
      <c r="J143" s="2" t="n">
        <v>46</v>
      </c>
      <c r="K143" s="2" t="n">
        <v>5.42</v>
      </c>
      <c r="L143" s="2" t="n">
        <v>1.87</v>
      </c>
      <c r="M143" s="4" t="n">
        <v>124.72</v>
      </c>
      <c r="N143" s="4" t="n">
        <v>46.19</v>
      </c>
      <c r="O143" s="2" t="n">
        <v>60</v>
      </c>
      <c r="P143" s="4" t="n">
        <v>74.69</v>
      </c>
      <c r="Q143" s="4" t="n">
        <v>27.77</v>
      </c>
      <c r="R143" s="4">
        <f>G143*(L143/100)*(O143/100)</f>
        <v/>
      </c>
      <c r="S143" s="4">
        <f>G143*(K143/360/100)*J143*(O143/100)</f>
        <v/>
      </c>
      <c r="T143" s="4">
        <f>P143-R143+Q143-S143</f>
        <v/>
      </c>
    </row>
    <row r="144">
      <c r="A144" s="2" t="inlineStr">
        <is>
          <t>Diamante</t>
        </is>
      </c>
      <c r="B144" s="2" t="inlineStr">
        <is>
          <t>Blanco</t>
        </is>
      </c>
      <c r="C144" s="3" t="n">
        <v>46027</v>
      </c>
      <c r="D144" s="2" t="inlineStr">
        <is>
          <t>A34113981</t>
        </is>
      </c>
      <c r="E144" s="2" t="inlineStr">
        <is>
          <t>Termoplásticos Pirenaicos S.A.</t>
        </is>
      </c>
      <c r="F144" s="2" t="n">
        <v>3637727</v>
      </c>
      <c r="G144" s="4" t="n">
        <v>958.51</v>
      </c>
      <c r="H144" s="3" t="n">
        <v>46004</v>
      </c>
      <c r="I144" s="3" t="n">
        <v>46067</v>
      </c>
      <c r="J144" s="2" t="n">
        <v>63</v>
      </c>
      <c r="K144" s="2" t="n">
        <v>4.19</v>
      </c>
      <c r="L144" s="2" t="n">
        <v>0.68</v>
      </c>
      <c r="M144" s="4" t="n">
        <v>6.52</v>
      </c>
      <c r="N144" s="4" t="n">
        <v>7.03</v>
      </c>
      <c r="O144" s="2" t="n">
        <v>40</v>
      </c>
      <c r="P144" s="4" t="n">
        <v>2.78</v>
      </c>
      <c r="Q144" s="4" t="n">
        <v>2.61</v>
      </c>
      <c r="R144" s="4">
        <f>G144*(L144/100)*(O144/100)</f>
        <v/>
      </c>
      <c r="S144" s="4">
        <f>G144*(K144/360/100)*J144*(O144/100)</f>
        <v/>
      </c>
      <c r="T144" s="4">
        <f>P144-R144+Q144-S144</f>
        <v/>
      </c>
    </row>
    <row r="145">
      <c r="A145" s="2" t="inlineStr">
        <is>
          <t>Diamante</t>
        </is>
      </c>
      <c r="B145" s="2" t="inlineStr">
        <is>
          <t>Blanco</t>
        </is>
      </c>
      <c r="C145" s="3" t="n">
        <v>46027</v>
      </c>
      <c r="D145" s="2" t="inlineStr">
        <is>
          <t>A34113981</t>
        </is>
      </c>
      <c r="E145" s="2" t="inlineStr">
        <is>
          <t>Termoplásticos Pirenaicos S.A.</t>
        </is>
      </c>
      <c r="F145" s="2" t="n">
        <v>4569692</v>
      </c>
      <c r="G145" s="4" t="n">
        <v>948.58</v>
      </c>
      <c r="H145" s="3" t="n">
        <v>46014</v>
      </c>
      <c r="I145" s="3" t="n">
        <v>46070</v>
      </c>
      <c r="J145" s="2" t="n">
        <v>56</v>
      </c>
      <c r="K145" s="2" t="n">
        <v>4.03</v>
      </c>
      <c r="L145" s="2" t="n">
        <v>1.5</v>
      </c>
      <c r="M145" s="4" t="n">
        <v>14.23</v>
      </c>
      <c r="N145" s="4" t="n">
        <v>5.95</v>
      </c>
      <c r="O145" s="2" t="n">
        <v>40</v>
      </c>
      <c r="P145" s="4" t="n">
        <v>5.78</v>
      </c>
      <c r="Q145" s="4" t="n">
        <v>2.57</v>
      </c>
      <c r="R145" s="4">
        <f>G145*(L145/100)*(O145/100)</f>
        <v/>
      </c>
      <c r="S145" s="4">
        <f>G145*(K145/360/100)*J145*(O145/100)</f>
        <v/>
      </c>
      <c r="T145" s="4">
        <f>P145-R145+Q145-S145</f>
        <v/>
      </c>
    </row>
    <row r="146">
      <c r="A146" s="2" t="inlineStr">
        <is>
          <t>Diamante</t>
        </is>
      </c>
      <c r="B146" s="2" t="inlineStr">
        <is>
          <t>Blanco</t>
        </is>
      </c>
      <c r="C146" s="3" t="n">
        <v>46027</v>
      </c>
      <c r="D146" s="2" t="inlineStr">
        <is>
          <t>A34113981</t>
        </is>
      </c>
      <c r="E146" s="2" t="inlineStr">
        <is>
          <t>Termoplásticos Pirenaicos S.A.</t>
        </is>
      </c>
      <c r="F146" s="2" t="n">
        <v>4627006</v>
      </c>
      <c r="G146" s="4" t="n">
        <v>9075.530000000001</v>
      </c>
      <c r="H146" s="3" t="n">
        <v>45993</v>
      </c>
      <c r="I146" s="3" t="n">
        <v>46063</v>
      </c>
      <c r="J146" s="2" t="n">
        <v>70</v>
      </c>
      <c r="K146" s="2" t="n">
        <v>4.55</v>
      </c>
      <c r="L146" s="2" t="n">
        <v>0.75</v>
      </c>
      <c r="M146" s="4" t="n">
        <v>68.06999999999999</v>
      </c>
      <c r="N146" s="4" t="n">
        <v>80.29000000000001</v>
      </c>
      <c r="O146" s="2" t="n">
        <v>70</v>
      </c>
      <c r="P146" s="4" t="n">
        <v>47.82</v>
      </c>
      <c r="Q146" s="4" t="n">
        <v>56</v>
      </c>
      <c r="R146" s="4">
        <f>G146*(L146/100)*(O146/100)</f>
        <v/>
      </c>
      <c r="S146" s="4">
        <f>G146*(K146/360/100)*J146*(O146/100)</f>
        <v/>
      </c>
      <c r="T146" s="4">
        <f>P146-R146+Q146-S146</f>
        <v/>
      </c>
    </row>
    <row r="147">
      <c r="A147" s="2" t="inlineStr">
        <is>
          <t>Diamante</t>
        </is>
      </c>
      <c r="B147" s="2" t="inlineStr">
        <is>
          <t>Blanco</t>
        </is>
      </c>
      <c r="C147" s="3" t="n">
        <v>46027</v>
      </c>
      <c r="D147" s="2" t="inlineStr">
        <is>
          <t>A28635458</t>
        </is>
      </c>
      <c r="E147" s="2" t="inlineStr">
        <is>
          <t>Datos Cantábricos S.A.</t>
        </is>
      </c>
      <c r="F147" s="2" t="n">
        <v>3299833</v>
      </c>
      <c r="G147" s="4" t="n">
        <v>910.97</v>
      </c>
      <c r="H147" s="3" t="n">
        <v>46019</v>
      </c>
      <c r="I147" s="3" t="n">
        <v>46065</v>
      </c>
      <c r="J147" s="2" t="n">
        <v>46</v>
      </c>
      <c r="K147" s="2" t="n">
        <v>6.44</v>
      </c>
      <c r="L147" s="2" t="n">
        <v>0.85</v>
      </c>
      <c r="M147" s="4" t="n">
        <v>7.74</v>
      </c>
      <c r="N147" s="4" t="n">
        <v>7.5</v>
      </c>
      <c r="O147" s="2" t="n">
        <v>40</v>
      </c>
      <c r="P147" s="4" t="n">
        <v>2.98</v>
      </c>
      <c r="Q147" s="4" t="n">
        <v>3.18</v>
      </c>
      <c r="R147" s="4">
        <f>G147*(L147/100)*(O147/100)</f>
        <v/>
      </c>
      <c r="S147" s="4">
        <f>G147*(K147/360/100)*J147*(O147/100)</f>
        <v/>
      </c>
      <c r="T147" s="4">
        <f>P147-R147+Q147-S147</f>
        <v/>
      </c>
    </row>
    <row r="148">
      <c r="A148" s="2" t="inlineStr">
        <is>
          <t>Diamante</t>
        </is>
      </c>
      <c r="B148" s="2" t="inlineStr">
        <is>
          <t>Blanco</t>
        </is>
      </c>
      <c r="C148" s="3" t="n">
        <v>46027</v>
      </c>
      <c r="D148" s="2" t="inlineStr">
        <is>
          <t>A28635458</t>
        </is>
      </c>
      <c r="E148" s="2" t="inlineStr">
        <is>
          <t>Datos Cantábricos S.A.</t>
        </is>
      </c>
      <c r="F148" s="2" t="n">
        <v>4834034</v>
      </c>
      <c r="G148" s="4" t="n">
        <v>645.72</v>
      </c>
      <c r="H148" s="3" t="n">
        <v>46018</v>
      </c>
      <c r="I148" s="3" t="n">
        <v>46071</v>
      </c>
      <c r="J148" s="2" t="n">
        <v>53</v>
      </c>
      <c r="K148" s="2" t="n">
        <v>4.84</v>
      </c>
      <c r="L148" s="2" t="n">
        <v>1.67</v>
      </c>
      <c r="M148" s="4" t="n">
        <v>10.78</v>
      </c>
      <c r="N148" s="4" t="n">
        <v>4.6</v>
      </c>
      <c r="O148" s="2" t="n">
        <v>70</v>
      </c>
      <c r="P148" s="4" t="n">
        <v>7.4</v>
      </c>
      <c r="Q148" s="4" t="n">
        <v>2.99</v>
      </c>
      <c r="R148" s="4">
        <f>G148*(L148/100)*(O148/100)</f>
        <v/>
      </c>
      <c r="S148" s="4">
        <f>G148*(K148/360/100)*J148*(O148/100)</f>
        <v/>
      </c>
      <c r="T148" s="4">
        <f>P148-R148+Q148-S148</f>
        <v/>
      </c>
    </row>
    <row r="149">
      <c r="A149" s="2" t="inlineStr">
        <is>
          <t>Diamante</t>
        </is>
      </c>
      <c r="B149" s="2" t="inlineStr">
        <is>
          <t>Blanco</t>
        </is>
      </c>
      <c r="C149" s="3" t="n">
        <v>46027</v>
      </c>
      <c r="D149" s="2" t="inlineStr">
        <is>
          <t>A28635458</t>
        </is>
      </c>
      <c r="E149" s="2" t="inlineStr">
        <is>
          <t>Datos Cantábricos S.A.</t>
        </is>
      </c>
      <c r="F149" s="2" t="n">
        <v>2279878</v>
      </c>
      <c r="G149" s="4" t="n">
        <v>831.86</v>
      </c>
      <c r="H149" s="3" t="n">
        <v>46007</v>
      </c>
      <c r="I149" s="3" t="n">
        <v>46075</v>
      </c>
      <c r="J149" s="2" t="n">
        <v>68</v>
      </c>
      <c r="K149" s="2" t="n">
        <v>5.65</v>
      </c>
      <c r="L149" s="2" t="n">
        <v>1.91</v>
      </c>
      <c r="M149" s="4" t="n">
        <v>15.89</v>
      </c>
      <c r="N149" s="4" t="n">
        <v>8.880000000000001</v>
      </c>
      <c r="O149" s="2" t="n">
        <v>40</v>
      </c>
      <c r="P149" s="4" t="n">
        <v>6.63</v>
      </c>
      <c r="Q149" s="4" t="n">
        <v>3.33</v>
      </c>
      <c r="R149" s="4">
        <f>G149*(L149/100)*(O149/100)</f>
        <v/>
      </c>
      <c r="S149" s="4">
        <f>G149*(K149/360/100)*J149*(O149/100)</f>
        <v/>
      </c>
      <c r="T149" s="4">
        <f>P149-R149+Q149-S149</f>
        <v/>
      </c>
    </row>
    <row r="150">
      <c r="A150" s="2" t="inlineStr">
        <is>
          <t>Diamante</t>
        </is>
      </c>
      <c r="B150" s="2" t="inlineStr">
        <is>
          <t>Blanco</t>
        </is>
      </c>
      <c r="C150" s="3" t="n">
        <v>46027</v>
      </c>
      <c r="D150" s="2" t="inlineStr">
        <is>
          <t>B22209928</t>
        </is>
      </c>
      <c r="E150" s="2" t="inlineStr">
        <is>
          <t>Tintes Gigantes S.L.</t>
        </is>
      </c>
      <c r="F150" s="2" t="n">
        <v>3585607</v>
      </c>
      <c r="G150" s="4" t="n">
        <v>226.05</v>
      </c>
      <c r="H150" s="3" t="n">
        <v>46012</v>
      </c>
      <c r="I150" s="3" t="n">
        <v>46071</v>
      </c>
      <c r="J150" s="2" t="n">
        <v>59</v>
      </c>
      <c r="K150" s="2" t="n">
        <v>5.85</v>
      </c>
      <c r="L150" s="2" t="n">
        <v>1.43</v>
      </c>
      <c r="M150" s="4" t="n">
        <v>3.23</v>
      </c>
      <c r="N150" s="4" t="n">
        <v>2.17</v>
      </c>
      <c r="O150" s="2" t="n">
        <v>50</v>
      </c>
      <c r="P150" s="4" t="n">
        <v>1.84</v>
      </c>
      <c r="Q150" s="4" t="n">
        <v>0.97</v>
      </c>
      <c r="R150" s="4">
        <f>G150*(L150/100)*(O150/100)</f>
        <v/>
      </c>
      <c r="S150" s="4">
        <f>G150*(K150/360/100)*J150*(O150/100)</f>
        <v/>
      </c>
      <c r="T150" s="4">
        <f>P150-R150+Q150-S150</f>
        <v/>
      </c>
    </row>
    <row r="151">
      <c r="A151" s="2" t="inlineStr">
        <is>
          <t>Diamante</t>
        </is>
      </c>
      <c r="B151" s="2" t="inlineStr">
        <is>
          <t>Blanco</t>
        </is>
      </c>
      <c r="C151" s="3" t="n">
        <v>46027</v>
      </c>
      <c r="D151" s="2" t="inlineStr">
        <is>
          <t>B22209928</t>
        </is>
      </c>
      <c r="E151" s="2" t="inlineStr">
        <is>
          <t>Tintes Gigantes S.L.</t>
        </is>
      </c>
      <c r="F151" s="2" t="n">
        <v>3446342</v>
      </c>
      <c r="G151" s="4" t="n">
        <v>548.95</v>
      </c>
      <c r="H151" s="3" t="n">
        <v>45999</v>
      </c>
      <c r="I151" s="3" t="n">
        <v>46056</v>
      </c>
      <c r="J151" s="2" t="n">
        <v>57</v>
      </c>
      <c r="K151" s="2" t="n">
        <v>5.97</v>
      </c>
      <c r="L151" s="2" t="n">
        <v>1.98</v>
      </c>
      <c r="M151" s="4" t="n">
        <v>10.87</v>
      </c>
      <c r="N151" s="4" t="n">
        <v>5.19</v>
      </c>
      <c r="O151" s="2" t="n">
        <v>30</v>
      </c>
      <c r="P151" s="4" t="n">
        <v>3.49</v>
      </c>
      <c r="Q151" s="4" t="n">
        <v>1.68</v>
      </c>
      <c r="R151" s="4">
        <f>G151*(L151/100)*(O151/100)</f>
        <v/>
      </c>
      <c r="S151" s="4">
        <f>G151*(K151/360/100)*J151*(O151/100)</f>
        <v/>
      </c>
      <c r="T151" s="4">
        <f>P151-R151+Q151-S151</f>
        <v/>
      </c>
    </row>
    <row r="152">
      <c r="A152" s="2" t="inlineStr">
        <is>
          <t>Diamante</t>
        </is>
      </c>
      <c r="B152" s="2" t="inlineStr">
        <is>
          <t>Blanco</t>
        </is>
      </c>
      <c r="C152" s="3" t="n">
        <v>46027</v>
      </c>
      <c r="D152" s="2" t="inlineStr">
        <is>
          <t>B22209928</t>
        </is>
      </c>
      <c r="E152" s="2" t="inlineStr">
        <is>
          <t>Tintes Gigantes S.L.</t>
        </is>
      </c>
      <c r="F152" s="2" t="n">
        <v>3580332</v>
      </c>
      <c r="G152" s="4" t="n">
        <v>6266.82</v>
      </c>
      <c r="H152" s="3" t="n">
        <v>45993</v>
      </c>
      <c r="I152" s="3" t="n">
        <v>46041</v>
      </c>
      <c r="J152" s="2" t="n">
        <v>48</v>
      </c>
      <c r="K152" s="2" t="n">
        <v>5.37</v>
      </c>
      <c r="L152" s="2" t="n">
        <v>1.55</v>
      </c>
      <c r="M152" s="4" t="n">
        <v>97.14</v>
      </c>
      <c r="N152" s="4" t="n">
        <v>44.87</v>
      </c>
      <c r="O152" s="2" t="n">
        <v>60</v>
      </c>
      <c r="P152" s="4" t="n">
        <v>58.36</v>
      </c>
      <c r="Q152" s="4" t="n">
        <v>26.66</v>
      </c>
      <c r="R152" s="4">
        <f>G152*(L152/100)*(O152/100)</f>
        <v/>
      </c>
      <c r="S152" s="4">
        <f>G152*(K152/360/100)*J152*(O152/100)</f>
        <v/>
      </c>
      <c r="T152" s="4">
        <f>P152-R152+Q152-S152</f>
        <v/>
      </c>
    </row>
    <row r="153">
      <c r="A153" s="2" t="inlineStr">
        <is>
          <t>Diamante</t>
        </is>
      </c>
      <c r="B153" s="2" t="inlineStr">
        <is>
          <t>Blanco</t>
        </is>
      </c>
      <c r="C153" s="3" t="n">
        <v>46027</v>
      </c>
      <c r="D153" s="2" t="inlineStr">
        <is>
          <t>B99439940</t>
        </is>
      </c>
      <c r="E153" s="2" t="inlineStr">
        <is>
          <t>Fondeos Diferenciados S.L.</t>
        </is>
      </c>
      <c r="F153" s="2" t="n">
        <v>1312024</v>
      </c>
      <c r="G153" s="4" t="n">
        <v>9541.84</v>
      </c>
      <c r="H153" s="3" t="n">
        <v>45999</v>
      </c>
      <c r="I153" s="3" t="n">
        <v>46045</v>
      </c>
      <c r="J153" s="2" t="n">
        <v>46</v>
      </c>
      <c r="K153" s="2" t="n">
        <v>5.55</v>
      </c>
      <c r="L153" s="2" t="n">
        <v>1.6</v>
      </c>
      <c r="M153" s="4" t="n">
        <v>152.67</v>
      </c>
      <c r="N153" s="4" t="n">
        <v>67.67</v>
      </c>
      <c r="O153" s="2" t="n">
        <v>50</v>
      </c>
      <c r="P153" s="4" t="n">
        <v>76.19</v>
      </c>
      <c r="Q153" s="4" t="n">
        <v>33.9</v>
      </c>
      <c r="R153" s="4">
        <f>G153*(L153/100)*(O153/100)</f>
        <v/>
      </c>
      <c r="S153" s="4">
        <f>G153*(K153/360/100)*J153*(O153/100)</f>
        <v/>
      </c>
      <c r="T153" s="4">
        <f>P153-R153+Q153-S153</f>
        <v/>
      </c>
    </row>
    <row r="154">
      <c r="A154" s="2" t="inlineStr">
        <is>
          <t>Diamante</t>
        </is>
      </c>
      <c r="B154" s="2" t="inlineStr">
        <is>
          <t>Blanco</t>
        </is>
      </c>
      <c r="C154" s="3" t="n">
        <v>46027</v>
      </c>
      <c r="D154" s="2" t="inlineStr">
        <is>
          <t>B99439940</t>
        </is>
      </c>
      <c r="E154" s="2" t="inlineStr">
        <is>
          <t>Fondeos Diferenciados S.L.</t>
        </is>
      </c>
      <c r="F154" s="2" t="n">
        <v>2609040</v>
      </c>
      <c r="G154" s="4" t="n">
        <v>811.54</v>
      </c>
      <c r="H154" s="3" t="n">
        <v>46015</v>
      </c>
      <c r="I154" s="3" t="n">
        <v>46103</v>
      </c>
      <c r="J154" s="2" t="n">
        <v>88</v>
      </c>
      <c r="K154" s="2" t="n">
        <v>4.6</v>
      </c>
      <c r="L154" s="2" t="n">
        <v>1.59</v>
      </c>
      <c r="M154" s="4" t="n">
        <v>12.9</v>
      </c>
      <c r="N154" s="4" t="n">
        <v>9.130000000000001</v>
      </c>
      <c r="O154" s="2" t="n">
        <v>40</v>
      </c>
      <c r="P154" s="4" t="n">
        <v>5.44</v>
      </c>
      <c r="Q154" s="4" t="n">
        <v>3.57</v>
      </c>
      <c r="R154" s="4">
        <f>G154*(L154/100)*(O154/100)</f>
        <v/>
      </c>
      <c r="S154" s="4">
        <f>G154*(K154/360/100)*J154*(O154/100)</f>
        <v/>
      </c>
      <c r="T154" s="4">
        <f>P154-R154+Q154-S154</f>
        <v/>
      </c>
    </row>
    <row r="155">
      <c r="A155" s="2" t="inlineStr">
        <is>
          <t>Diamante</t>
        </is>
      </c>
      <c r="B155" s="2" t="inlineStr">
        <is>
          <t>Blanco</t>
        </is>
      </c>
      <c r="C155" s="3" t="n">
        <v>46027</v>
      </c>
      <c r="D155" s="2" t="inlineStr">
        <is>
          <t>B99439940</t>
        </is>
      </c>
      <c r="E155" s="2" t="inlineStr">
        <is>
          <t>Fondeos Diferenciados S.L.</t>
        </is>
      </c>
      <c r="F155" s="2" t="n">
        <v>1650178</v>
      </c>
      <c r="G155" s="4" t="n">
        <v>6444.95</v>
      </c>
      <c r="H155" s="3" t="n">
        <v>45992</v>
      </c>
      <c r="I155" s="3" t="n">
        <v>46075</v>
      </c>
      <c r="J155" s="2" t="n">
        <v>83</v>
      </c>
      <c r="K155" s="2" t="n">
        <v>4.97</v>
      </c>
      <c r="L155" s="2" t="n">
        <v>0.86</v>
      </c>
      <c r="M155" s="4" t="n">
        <v>55.43</v>
      </c>
      <c r="N155" s="4" t="n">
        <v>73.84999999999999</v>
      </c>
      <c r="O155" s="2" t="n">
        <v>20</v>
      </c>
      <c r="P155" s="4" t="n">
        <v>10.87</v>
      </c>
      <c r="Q155" s="4" t="n">
        <v>14.99</v>
      </c>
      <c r="R155" s="4">
        <f>G155*(L155/100)*(O155/100)</f>
        <v/>
      </c>
      <c r="S155" s="4">
        <f>G155*(K155/360/100)*J155*(O155/100)</f>
        <v/>
      </c>
      <c r="T155" s="4">
        <f>P155-R155+Q155-S155</f>
        <v/>
      </c>
    </row>
    <row r="156">
      <c r="A156" s="2" t="inlineStr">
        <is>
          <t>Diamante</t>
        </is>
      </c>
      <c r="B156" s="2" t="inlineStr">
        <is>
          <t>Blanco</t>
        </is>
      </c>
      <c r="C156" s="3" t="n">
        <v>46027</v>
      </c>
      <c r="D156" s="2" t="inlineStr">
        <is>
          <t>B70553437</t>
        </is>
      </c>
      <c r="E156" s="2" t="inlineStr">
        <is>
          <t>Tejidos Independientes S.L.</t>
        </is>
      </c>
      <c r="F156" s="2" t="n">
        <v>2134235</v>
      </c>
      <c r="G156" s="4" t="n">
        <v>3446.39</v>
      </c>
      <c r="H156" s="3" t="n">
        <v>45998</v>
      </c>
      <c r="I156" s="3" t="n">
        <v>46058</v>
      </c>
      <c r="J156" s="2" t="n">
        <v>60</v>
      </c>
      <c r="K156" s="2" t="n">
        <v>3.35</v>
      </c>
      <c r="L156" s="2" t="n">
        <v>1.3</v>
      </c>
      <c r="M156" s="4" t="n">
        <v>44.8</v>
      </c>
      <c r="N156" s="4" t="n">
        <v>19.24</v>
      </c>
      <c r="O156" s="2" t="n">
        <v>20</v>
      </c>
      <c r="P156" s="4" t="n">
        <v>8.85</v>
      </c>
      <c r="Q156" s="4" t="n">
        <v>3.72</v>
      </c>
      <c r="R156" s="4">
        <f>G156*(L156/100)*(O156/100)</f>
        <v/>
      </c>
      <c r="S156" s="4">
        <f>G156*(K156/360/100)*J156*(O156/100)</f>
        <v/>
      </c>
      <c r="T156" s="4">
        <f>P156-R156+Q156-S156</f>
        <v/>
      </c>
    </row>
    <row r="157">
      <c r="A157" s="2" t="inlineStr">
        <is>
          <t>Diamante</t>
        </is>
      </c>
      <c r="B157" s="2" t="inlineStr">
        <is>
          <t>Blanco</t>
        </is>
      </c>
      <c r="C157" s="3" t="n">
        <v>46027</v>
      </c>
      <c r="D157" s="2" t="inlineStr">
        <is>
          <t>B70553437</t>
        </is>
      </c>
      <c r="E157" s="2" t="inlineStr">
        <is>
          <t>Tejidos Independientes S.L.</t>
        </is>
      </c>
      <c r="F157" s="2" t="n">
        <v>1317761</v>
      </c>
      <c r="G157" s="4" t="n">
        <v>583.25</v>
      </c>
      <c r="H157" s="3" t="n">
        <v>46003</v>
      </c>
      <c r="I157" s="3" t="n">
        <v>46079</v>
      </c>
      <c r="J157" s="2" t="n">
        <v>76</v>
      </c>
      <c r="K157" s="2" t="n">
        <v>4.68</v>
      </c>
      <c r="L157" s="2" t="n">
        <v>0.64</v>
      </c>
      <c r="M157" s="4" t="n">
        <v>3.73</v>
      </c>
      <c r="N157" s="4" t="n">
        <v>5.76</v>
      </c>
      <c r="O157" s="2" t="n">
        <v>60</v>
      </c>
      <c r="P157" s="4" t="n">
        <v>2.02</v>
      </c>
      <c r="Q157" s="4" t="n">
        <v>3.42</v>
      </c>
      <c r="R157" s="4">
        <f>G157*(L157/100)*(O157/100)</f>
        <v/>
      </c>
      <c r="S157" s="4">
        <f>G157*(K157/360/100)*J157*(O157/100)</f>
        <v/>
      </c>
      <c r="T157" s="4">
        <f>P157-R157+Q157-S157</f>
        <v/>
      </c>
    </row>
    <row r="158">
      <c r="A158" s="2" t="inlineStr">
        <is>
          <t>Diamante</t>
        </is>
      </c>
      <c r="B158" s="2" t="inlineStr">
        <is>
          <t>Blanco</t>
        </is>
      </c>
      <c r="C158" s="3" t="n">
        <v>46027</v>
      </c>
      <c r="D158" s="2" t="inlineStr">
        <is>
          <t>B70553437</t>
        </is>
      </c>
      <c r="E158" s="2" t="inlineStr">
        <is>
          <t>Tejidos Independientes S.L.</t>
        </is>
      </c>
      <c r="F158" s="2" t="n">
        <v>4727720</v>
      </c>
      <c r="G158" s="4" t="n">
        <v>752</v>
      </c>
      <c r="H158" s="3" t="n">
        <v>45997</v>
      </c>
      <c r="I158" s="3" t="n">
        <v>46086</v>
      </c>
      <c r="J158" s="2" t="n">
        <v>89</v>
      </c>
      <c r="K158" s="2" t="n">
        <v>6.39</v>
      </c>
      <c r="L158" s="2" t="n">
        <v>1.81</v>
      </c>
      <c r="M158" s="4" t="n">
        <v>13.61</v>
      </c>
      <c r="N158" s="4" t="n">
        <v>11.88</v>
      </c>
      <c r="O158" s="2" t="n">
        <v>40</v>
      </c>
      <c r="P158" s="4" t="n">
        <v>5.49</v>
      </c>
      <c r="Q158" s="4" t="n">
        <v>4.5</v>
      </c>
      <c r="R158" s="4">
        <f>G158*(L158/100)*(O158/100)</f>
        <v/>
      </c>
      <c r="S158" s="4">
        <f>G158*(K158/360/100)*J158*(O158/100)</f>
        <v/>
      </c>
      <c r="T158" s="4">
        <f>P158-R158+Q158-S158</f>
        <v/>
      </c>
    </row>
    <row r="159">
      <c r="A159" s="2" t="inlineStr">
        <is>
          <t>Diamante</t>
        </is>
      </c>
      <c r="B159" s="2" t="inlineStr">
        <is>
          <t>Blanco</t>
        </is>
      </c>
      <c r="C159" s="3" t="n">
        <v>46027</v>
      </c>
      <c r="D159" s="2" t="inlineStr">
        <is>
          <t>B56677060</t>
        </is>
      </c>
      <c r="E159" s="2" t="inlineStr">
        <is>
          <t>Manipulaciones Distinguidos S.L.</t>
        </is>
      </c>
      <c r="F159" s="2" t="n">
        <v>4265347</v>
      </c>
      <c r="G159" s="4" t="n">
        <v>269.01</v>
      </c>
      <c r="H159" s="3" t="n">
        <v>46005</v>
      </c>
      <c r="I159" s="3" t="n">
        <v>46038</v>
      </c>
      <c r="J159" s="2" t="n">
        <v>33</v>
      </c>
      <c r="K159" s="2" t="n">
        <v>3.75</v>
      </c>
      <c r="L159" s="2" t="n">
        <v>1.2</v>
      </c>
      <c r="M159" s="4" t="n">
        <v>3.23</v>
      </c>
      <c r="N159" s="4" t="n">
        <v>0.92</v>
      </c>
      <c r="O159" s="2" t="n">
        <v>50</v>
      </c>
      <c r="P159" s="4" t="n">
        <v>1.74</v>
      </c>
      <c r="Q159" s="4" t="n">
        <v>0.22</v>
      </c>
      <c r="R159" s="4">
        <f>G159*(L159/100)*(O159/100)</f>
        <v/>
      </c>
      <c r="S159" s="4">
        <f>G159*(K159/360/100)*J159*(O159/100)</f>
        <v/>
      </c>
      <c r="T159" s="4">
        <f>P159-R159+Q159-S159</f>
        <v/>
      </c>
    </row>
    <row r="160">
      <c r="A160" s="2" t="inlineStr">
        <is>
          <t>Diamante</t>
        </is>
      </c>
      <c r="B160" s="2" t="inlineStr">
        <is>
          <t>Blanco</t>
        </is>
      </c>
      <c r="C160" s="3" t="n">
        <v>46027</v>
      </c>
      <c r="D160" s="2" t="inlineStr">
        <is>
          <t>B56677060</t>
        </is>
      </c>
      <c r="E160" s="2" t="inlineStr">
        <is>
          <t>Manipulaciones Distinguidos S.L.</t>
        </is>
      </c>
      <c r="F160" s="2" t="n">
        <v>1937987</v>
      </c>
      <c r="G160" s="4" t="n">
        <v>6783.14</v>
      </c>
      <c r="H160" s="3" t="n">
        <v>45995</v>
      </c>
      <c r="I160" s="3" t="n">
        <v>46065</v>
      </c>
      <c r="J160" s="2" t="n">
        <v>70</v>
      </c>
      <c r="K160" s="2" t="n">
        <v>5.08</v>
      </c>
      <c r="L160" s="2" t="n">
        <v>1.13</v>
      </c>
      <c r="M160" s="4" t="n">
        <v>76.65000000000001</v>
      </c>
      <c r="N160" s="4" t="n">
        <v>67</v>
      </c>
      <c r="O160" s="2" t="n">
        <v>40</v>
      </c>
      <c r="P160" s="4" t="n">
        <v>30.44</v>
      </c>
      <c r="Q160" s="4" t="n">
        <v>26.93</v>
      </c>
      <c r="R160" s="4">
        <f>G160*(L160/100)*(O160/100)</f>
        <v/>
      </c>
      <c r="S160" s="4">
        <f>G160*(K160/360/100)*J160*(O160/100)</f>
        <v/>
      </c>
      <c r="T160" s="4">
        <f>P160-R160+Q160-S160</f>
        <v/>
      </c>
    </row>
    <row r="161">
      <c r="A161" s="2" t="inlineStr">
        <is>
          <t>Diamante</t>
        </is>
      </c>
      <c r="B161" s="2" t="inlineStr">
        <is>
          <t>Blanco</t>
        </is>
      </c>
      <c r="C161" s="3" t="n">
        <v>46027</v>
      </c>
      <c r="D161" s="2" t="inlineStr">
        <is>
          <t>B56677060</t>
        </is>
      </c>
      <c r="E161" s="2" t="inlineStr">
        <is>
          <t>Manipulaciones Distinguidos S.L.</t>
        </is>
      </c>
      <c r="F161" s="2" t="n">
        <v>2132752</v>
      </c>
      <c r="G161" s="4" t="n">
        <v>6576.42</v>
      </c>
      <c r="H161" s="3" t="n">
        <v>46018</v>
      </c>
      <c r="I161" s="3" t="n">
        <v>46096</v>
      </c>
      <c r="J161" s="2" t="n">
        <v>78</v>
      </c>
      <c r="K161" s="2" t="n">
        <v>3.56</v>
      </c>
      <c r="L161" s="2" t="n">
        <v>1.72</v>
      </c>
      <c r="M161" s="4" t="n">
        <v>113.11</v>
      </c>
      <c r="N161" s="4" t="n">
        <v>50.73</v>
      </c>
      <c r="O161" s="2" t="n">
        <v>50</v>
      </c>
      <c r="P161" s="4" t="n">
        <v>56.34</v>
      </c>
      <c r="Q161" s="4" t="n">
        <v>25.58</v>
      </c>
      <c r="R161" s="4">
        <f>G161*(L161/100)*(O161/100)</f>
        <v/>
      </c>
      <c r="S161" s="4">
        <f>G161*(K161/360/100)*J161*(O161/100)</f>
        <v/>
      </c>
      <c r="T161" s="4">
        <f>P161-R161+Q161-S161</f>
        <v/>
      </c>
    </row>
    <row r="162">
      <c r="A162" s="2" t="inlineStr">
        <is>
          <t>Diamante</t>
        </is>
      </c>
      <c r="B162" s="2" t="inlineStr">
        <is>
          <t>Blanco</t>
        </is>
      </c>
      <c r="C162" s="3" t="n">
        <v>46027</v>
      </c>
      <c r="D162" s="2" t="inlineStr">
        <is>
          <t>A21430616</t>
        </is>
      </c>
      <c r="E162" s="2" t="inlineStr">
        <is>
          <t>Cables Estandarizados S.A.</t>
        </is>
      </c>
      <c r="F162" s="2" t="n">
        <v>4340085</v>
      </c>
      <c r="G162" s="4" t="n">
        <v>367.17</v>
      </c>
      <c r="H162" s="3" t="n">
        <v>46010</v>
      </c>
      <c r="I162" s="3" t="n">
        <v>46063</v>
      </c>
      <c r="J162" s="2" t="n">
        <v>53</v>
      </c>
      <c r="K162" s="2" t="n">
        <v>4.99</v>
      </c>
      <c r="L162" s="2" t="n">
        <v>1.69</v>
      </c>
      <c r="M162" s="4" t="n">
        <v>6.21</v>
      </c>
      <c r="N162" s="4" t="n">
        <v>2.7</v>
      </c>
      <c r="O162" s="2" t="n">
        <v>30</v>
      </c>
      <c r="P162" s="4" t="n">
        <v>1.91</v>
      </c>
      <c r="Q162" s="4" t="n">
        <v>0.6899999999999999</v>
      </c>
      <c r="R162" s="4">
        <f>G162*(L162/100)*(O162/100)</f>
        <v/>
      </c>
      <c r="S162" s="4">
        <f>G162*(K162/360/100)*J162*(O162/100)</f>
        <v/>
      </c>
      <c r="T162" s="4">
        <f>P162-R162+Q162-S162</f>
        <v/>
      </c>
    </row>
    <row r="163">
      <c r="A163" s="2" t="inlineStr">
        <is>
          <t>Diamante</t>
        </is>
      </c>
      <c r="B163" s="2" t="inlineStr">
        <is>
          <t>Blanco</t>
        </is>
      </c>
      <c r="C163" s="3" t="n">
        <v>46027</v>
      </c>
      <c r="D163" s="2" t="inlineStr">
        <is>
          <t>A21430616</t>
        </is>
      </c>
      <c r="E163" s="2" t="inlineStr">
        <is>
          <t>Cables Estandarizados S.A.</t>
        </is>
      </c>
      <c r="F163" s="2" t="n">
        <v>4268716</v>
      </c>
      <c r="G163" s="4" t="n">
        <v>900.7</v>
      </c>
      <c r="H163" s="3" t="n">
        <v>46019</v>
      </c>
      <c r="I163" s="3" t="n">
        <v>46100</v>
      </c>
      <c r="J163" s="2" t="n">
        <v>81</v>
      </c>
      <c r="K163" s="2" t="n">
        <v>5.2</v>
      </c>
      <c r="L163" s="2" t="n">
        <v>0.77</v>
      </c>
      <c r="M163" s="4" t="n">
        <v>6.94</v>
      </c>
      <c r="N163" s="4" t="n">
        <v>10.54</v>
      </c>
      <c r="O163" s="2" t="n">
        <v>70</v>
      </c>
      <c r="P163" s="4" t="n">
        <v>4.95</v>
      </c>
      <c r="Q163" s="4" t="n">
        <v>7.63</v>
      </c>
      <c r="R163" s="4">
        <f>G163*(L163/100)*(O163/100)</f>
        <v/>
      </c>
      <c r="S163" s="4">
        <f>G163*(K163/360/100)*J163*(O163/100)</f>
        <v/>
      </c>
      <c r="T163" s="4">
        <f>P163-R163+Q163-S163</f>
        <v/>
      </c>
    </row>
    <row r="164">
      <c r="A164" s="2" t="inlineStr">
        <is>
          <t>Diamante</t>
        </is>
      </c>
      <c r="B164" s="2" t="inlineStr">
        <is>
          <t>Blanco</t>
        </is>
      </c>
      <c r="C164" s="3" t="n">
        <v>46027</v>
      </c>
      <c r="D164" s="2" t="inlineStr">
        <is>
          <t>B98792677</t>
        </is>
      </c>
      <c r="E164" s="2" t="inlineStr">
        <is>
          <t>Cartones Bálticos S.L.</t>
        </is>
      </c>
      <c r="F164" s="2" t="n">
        <v>2896563</v>
      </c>
      <c r="G164" s="4" t="n">
        <v>2223.7</v>
      </c>
      <c r="H164" s="3" t="n">
        <v>46001</v>
      </c>
      <c r="I164" s="3" t="n">
        <v>46080</v>
      </c>
      <c r="J164" s="2" t="n">
        <v>79</v>
      </c>
      <c r="K164" s="2" t="n">
        <v>5.65</v>
      </c>
      <c r="L164" s="2" t="n">
        <v>1.83</v>
      </c>
      <c r="M164" s="4" t="n">
        <v>40.69</v>
      </c>
      <c r="N164" s="4" t="n">
        <v>27.57</v>
      </c>
      <c r="O164" s="2" t="n">
        <v>20</v>
      </c>
      <c r="P164" s="4" t="n">
        <v>8.390000000000001</v>
      </c>
      <c r="Q164" s="4" t="n">
        <v>5.26</v>
      </c>
      <c r="R164" s="4">
        <f>G164*(L164/100)*(O164/100)</f>
        <v/>
      </c>
      <c r="S164" s="4">
        <f>G164*(K164/360/100)*J164*(O164/100)</f>
        <v/>
      </c>
      <c r="T164" s="4">
        <f>P164-R164+Q164-S164</f>
        <v/>
      </c>
    </row>
    <row r="165">
      <c r="A165" s="2" t="inlineStr">
        <is>
          <t>Diamante</t>
        </is>
      </c>
      <c r="B165" s="2" t="inlineStr">
        <is>
          <t>Blanco</t>
        </is>
      </c>
      <c r="C165" s="3" t="n">
        <v>46027</v>
      </c>
      <c r="D165" s="2" t="inlineStr">
        <is>
          <t>B98792677</t>
        </is>
      </c>
      <c r="E165" s="2" t="inlineStr">
        <is>
          <t>Cartones Bálticos S.L.</t>
        </is>
      </c>
      <c r="F165" s="2" t="n">
        <v>3166341</v>
      </c>
      <c r="G165" s="4" t="n">
        <v>218.68</v>
      </c>
      <c r="H165" s="3" t="n">
        <v>46010</v>
      </c>
      <c r="I165" s="3" t="n">
        <v>46045</v>
      </c>
      <c r="J165" s="2" t="n">
        <v>35</v>
      </c>
      <c r="K165" s="2" t="n">
        <v>4.23</v>
      </c>
      <c r="L165" s="2" t="n">
        <v>1.24</v>
      </c>
      <c r="M165" s="4" t="n">
        <v>2.71</v>
      </c>
      <c r="N165" s="4" t="n">
        <v>0.9</v>
      </c>
      <c r="O165" s="2" t="n">
        <v>40</v>
      </c>
      <c r="P165" s="4" t="n">
        <v>1.05</v>
      </c>
      <c r="Q165" s="4" t="n">
        <v>0.61</v>
      </c>
      <c r="R165" s="4">
        <f>G165*(L165/100)*(O165/100)</f>
        <v/>
      </c>
      <c r="S165" s="4">
        <f>G165*(K165/360/100)*J165*(O165/100)</f>
        <v/>
      </c>
      <c r="T165" s="4">
        <f>P165-R165+Q165-S165</f>
        <v/>
      </c>
    </row>
    <row r="166">
      <c r="A166" s="2" t="inlineStr">
        <is>
          <t>Diamante</t>
        </is>
      </c>
      <c r="B166" s="2" t="inlineStr">
        <is>
          <t>Blanco</t>
        </is>
      </c>
      <c r="C166" s="3" t="n">
        <v>46027</v>
      </c>
      <c r="D166" s="2" t="inlineStr">
        <is>
          <t>B98792677</t>
        </is>
      </c>
      <c r="E166" s="2" t="inlineStr">
        <is>
          <t>Cartones Bálticos S.L.</t>
        </is>
      </c>
      <c r="F166" s="2" t="n">
        <v>3569349</v>
      </c>
      <c r="G166" s="4" t="n">
        <v>5358.27</v>
      </c>
      <c r="H166" s="3" t="n">
        <v>46001</v>
      </c>
      <c r="I166" s="3" t="n">
        <v>46055</v>
      </c>
      <c r="J166" s="2" t="n">
        <v>54</v>
      </c>
      <c r="K166" s="2" t="n">
        <v>5.34</v>
      </c>
      <c r="L166" s="2" t="n">
        <v>1.8</v>
      </c>
      <c r="M166" s="4" t="n">
        <v>96.45</v>
      </c>
      <c r="N166" s="4" t="n">
        <v>42.92</v>
      </c>
      <c r="O166" s="2" t="n">
        <v>70</v>
      </c>
      <c r="P166" s="4" t="n">
        <v>67.8</v>
      </c>
      <c r="Q166" s="4" t="n">
        <v>29.95</v>
      </c>
      <c r="R166" s="4">
        <f>G166*(L166/100)*(O166/100)</f>
        <v/>
      </c>
      <c r="S166" s="4">
        <f>G166*(K166/360/100)*J166*(O166/100)</f>
        <v/>
      </c>
      <c r="T166" s="4">
        <f>P166-R166+Q166-S166</f>
        <v/>
      </c>
    </row>
    <row r="167">
      <c r="A167" s="2" t="inlineStr">
        <is>
          <t>Diamante</t>
        </is>
      </c>
      <c r="B167" s="2" t="inlineStr">
        <is>
          <t>Blanco</t>
        </is>
      </c>
      <c r="C167" s="3" t="n">
        <v>46027</v>
      </c>
      <c r="D167" s="2" t="inlineStr">
        <is>
          <t>A04874614</t>
        </is>
      </c>
      <c r="E167" s="2" t="inlineStr">
        <is>
          <t>Aguas Refractarios S.A.</t>
        </is>
      </c>
      <c r="F167" s="2" t="n">
        <v>3060221</v>
      </c>
      <c r="G167" s="4" t="n">
        <v>697.5700000000001</v>
      </c>
      <c r="H167" s="3" t="n">
        <v>46008</v>
      </c>
      <c r="I167" s="3" t="n">
        <v>46039</v>
      </c>
      <c r="J167" s="2" t="n">
        <v>31</v>
      </c>
      <c r="K167" s="2" t="n">
        <v>3.93</v>
      </c>
      <c r="L167" s="2" t="n">
        <v>1.72</v>
      </c>
      <c r="M167" s="4" t="n">
        <v>12</v>
      </c>
      <c r="N167" s="4" t="n">
        <v>2.36</v>
      </c>
      <c r="O167" s="2" t="n">
        <v>30</v>
      </c>
      <c r="P167" s="4" t="n">
        <v>3.84</v>
      </c>
      <c r="Q167" s="4" t="n">
        <v>0.64</v>
      </c>
      <c r="R167" s="4">
        <f>G167*(L167/100)*(O167/100)</f>
        <v/>
      </c>
      <c r="S167" s="4">
        <f>G167*(K167/360/100)*J167*(O167/100)</f>
        <v/>
      </c>
      <c r="T167" s="4">
        <f>P167-R167+Q167-S167</f>
        <v/>
      </c>
    </row>
    <row r="168">
      <c r="A168" s="2" t="inlineStr">
        <is>
          <t>Diamante</t>
        </is>
      </c>
      <c r="B168" s="2" t="inlineStr">
        <is>
          <t>Blanco</t>
        </is>
      </c>
      <c r="C168" s="3" t="n">
        <v>46027</v>
      </c>
      <c r="D168" s="2" t="inlineStr">
        <is>
          <t>A04874614</t>
        </is>
      </c>
      <c r="E168" s="2" t="inlineStr">
        <is>
          <t>Aguas Refractarios S.A.</t>
        </is>
      </c>
      <c r="F168" s="2" t="n">
        <v>2348338</v>
      </c>
      <c r="G168" s="4" t="n">
        <v>6126.66</v>
      </c>
      <c r="H168" s="3" t="n">
        <v>46019</v>
      </c>
      <c r="I168" s="3" t="n">
        <v>46077</v>
      </c>
      <c r="J168" s="2" t="n">
        <v>58</v>
      </c>
      <c r="K168" s="2" t="n">
        <v>3.96</v>
      </c>
      <c r="L168" s="2" t="n">
        <v>1.14</v>
      </c>
      <c r="M168" s="4" t="n">
        <v>69.84</v>
      </c>
      <c r="N168" s="4" t="n">
        <v>39.09</v>
      </c>
      <c r="O168" s="2" t="n">
        <v>70</v>
      </c>
      <c r="P168" s="4" t="n">
        <v>49.14</v>
      </c>
      <c r="Q168" s="4" t="n">
        <v>27.32</v>
      </c>
      <c r="R168" s="4">
        <f>G168*(L168/100)*(O168/100)</f>
        <v/>
      </c>
      <c r="S168" s="4">
        <f>G168*(K168/360/100)*J168*(O168/100)</f>
        <v/>
      </c>
      <c r="T168" s="4">
        <f>P168-R168+Q168-S168</f>
        <v/>
      </c>
    </row>
    <row r="169">
      <c r="A169" s="2" t="inlineStr">
        <is>
          <t>Diamante</t>
        </is>
      </c>
      <c r="B169" s="2" t="inlineStr">
        <is>
          <t>Blanco</t>
        </is>
      </c>
      <c r="C169" s="3" t="n">
        <v>46027</v>
      </c>
      <c r="D169" s="2" t="inlineStr">
        <is>
          <t>B75393804</t>
        </is>
      </c>
      <c r="E169" s="2" t="inlineStr">
        <is>
          <t>Canalizaciones Energéticos S.L.</t>
        </is>
      </c>
      <c r="F169" s="2" t="n">
        <v>2357173</v>
      </c>
      <c r="G169" s="4" t="n">
        <v>107.05</v>
      </c>
      <c r="H169" s="3" t="n">
        <v>45998</v>
      </c>
      <c r="I169" s="3" t="n">
        <v>46037</v>
      </c>
      <c r="J169" s="2" t="n">
        <v>39</v>
      </c>
      <c r="K169" s="2" t="n">
        <v>5.32</v>
      </c>
      <c r="L169" s="2" t="n">
        <v>0.67</v>
      </c>
      <c r="M169" s="4" t="n">
        <v>0.72</v>
      </c>
      <c r="N169" s="4" t="n">
        <v>0.62</v>
      </c>
      <c r="O169" s="2" t="n">
        <v>30</v>
      </c>
      <c r="P169" s="4" t="n">
        <v>0.04</v>
      </c>
      <c r="Q169" s="4" t="n">
        <v>0.08</v>
      </c>
      <c r="R169" s="4">
        <f>G169*(L169/100)*(O169/100)</f>
        <v/>
      </c>
      <c r="S169" s="4">
        <f>G169*(K169/360/100)*J169*(O169/100)</f>
        <v/>
      </c>
      <c r="T169" s="4">
        <f>P169-R169+Q169-S169</f>
        <v/>
      </c>
    </row>
    <row r="170">
      <c r="A170" s="2" t="inlineStr">
        <is>
          <t>Diamante</t>
        </is>
      </c>
      <c r="B170" s="2" t="inlineStr">
        <is>
          <t>Blanco</t>
        </is>
      </c>
      <c r="C170" s="3" t="n">
        <v>46027</v>
      </c>
      <c r="D170" s="2" t="inlineStr">
        <is>
          <t>B75393804</t>
        </is>
      </c>
      <c r="E170" s="2" t="inlineStr">
        <is>
          <t>Canalizaciones Energéticos S.L.</t>
        </is>
      </c>
      <c r="F170" s="2" t="n">
        <v>4730871</v>
      </c>
      <c r="G170" s="4" t="n">
        <v>2227.28</v>
      </c>
      <c r="H170" s="3" t="n">
        <v>45998</v>
      </c>
      <c r="I170" s="3" t="n">
        <v>46041</v>
      </c>
      <c r="J170" s="2" t="n">
        <v>43</v>
      </c>
      <c r="K170" s="2" t="n">
        <v>5.39</v>
      </c>
      <c r="L170" s="2" t="n">
        <v>1.58</v>
      </c>
      <c r="M170" s="4" t="n">
        <v>35.19</v>
      </c>
      <c r="N170" s="4" t="n">
        <v>14.34</v>
      </c>
      <c r="O170" s="2" t="n">
        <v>40</v>
      </c>
      <c r="P170" s="4" t="n">
        <v>14.18</v>
      </c>
      <c r="Q170" s="4" t="n">
        <v>5.92</v>
      </c>
      <c r="R170" s="4">
        <f>G170*(L170/100)*(O170/100)</f>
        <v/>
      </c>
      <c r="S170" s="4">
        <f>G170*(K170/360/100)*J170*(O170/100)</f>
        <v/>
      </c>
      <c r="T170" s="4">
        <f>P170-R170+Q170-S170</f>
        <v/>
      </c>
    </row>
    <row r="171">
      <c r="A171" s="2" t="inlineStr">
        <is>
          <t>Diamante</t>
        </is>
      </c>
      <c r="B171" s="2" t="inlineStr">
        <is>
          <t>Blanco</t>
        </is>
      </c>
      <c r="C171" s="3" t="n">
        <v>46027</v>
      </c>
      <c r="D171" s="2" t="inlineStr">
        <is>
          <t>B75393804</t>
        </is>
      </c>
      <c r="E171" s="2" t="inlineStr">
        <is>
          <t>Canalizaciones Energéticos S.L.</t>
        </is>
      </c>
      <c r="F171" s="2" t="n">
        <v>2125625</v>
      </c>
      <c r="G171" s="4" t="n">
        <v>9116.58</v>
      </c>
      <c r="H171" s="3" t="n">
        <v>46006</v>
      </c>
      <c r="I171" s="3" t="n">
        <v>46077</v>
      </c>
      <c r="J171" s="2" t="n">
        <v>71</v>
      </c>
      <c r="K171" s="2" t="n">
        <v>6.49</v>
      </c>
      <c r="L171" s="2" t="n">
        <v>0.63</v>
      </c>
      <c r="M171" s="4" t="n">
        <v>57.43</v>
      </c>
      <c r="N171" s="4" t="n">
        <v>116.69</v>
      </c>
      <c r="O171" s="2" t="n">
        <v>50</v>
      </c>
      <c r="P171" s="4" t="n">
        <v>28.99</v>
      </c>
      <c r="Q171" s="4" t="n">
        <v>58.08</v>
      </c>
      <c r="R171" s="4">
        <f>G171*(L171/100)*(O171/100)</f>
        <v/>
      </c>
      <c r="S171" s="4">
        <f>G171*(K171/360/100)*J171*(O171/100)</f>
        <v/>
      </c>
      <c r="T171" s="4">
        <f>P171-R171+Q171-S171</f>
        <v/>
      </c>
    </row>
    <row r="172">
      <c r="A172" s="2" t="inlineStr">
        <is>
          <t>Diamante</t>
        </is>
      </c>
      <c r="B172" s="2" t="inlineStr">
        <is>
          <t>Blanco</t>
        </is>
      </c>
      <c r="C172" s="3" t="n">
        <v>46027</v>
      </c>
      <c r="D172" s="2" t="inlineStr">
        <is>
          <t>B09636380</t>
        </is>
      </c>
      <c r="E172" s="2" t="inlineStr">
        <is>
          <t>Aerogeneradores Versátiles S.L.</t>
        </is>
      </c>
      <c r="F172" s="2" t="n">
        <v>3753678</v>
      </c>
      <c r="G172" s="4" t="n">
        <v>865.98</v>
      </c>
      <c r="H172" s="3" t="n">
        <v>45996</v>
      </c>
      <c r="I172" s="3" t="n">
        <v>46056</v>
      </c>
      <c r="J172" s="2" t="n">
        <v>60</v>
      </c>
      <c r="K172" s="2" t="n">
        <v>3.85</v>
      </c>
      <c r="L172" s="2" t="n">
        <v>0.75</v>
      </c>
      <c r="M172" s="4" t="n">
        <v>6.49</v>
      </c>
      <c r="N172" s="4" t="n">
        <v>5.56</v>
      </c>
      <c r="O172" s="2" t="n">
        <v>40</v>
      </c>
      <c r="P172" s="4" t="n">
        <v>2.88</v>
      </c>
      <c r="Q172" s="4" t="n">
        <v>1.97</v>
      </c>
      <c r="R172" s="4">
        <f>G172*(L172/100)*(O172/100)</f>
        <v/>
      </c>
      <c r="S172" s="4">
        <f>G172*(K172/360/100)*J172*(O172/100)</f>
        <v/>
      </c>
      <c r="T172" s="4">
        <f>P172-R172+Q172-S172</f>
        <v/>
      </c>
    </row>
    <row r="173">
      <c r="A173" s="2" t="inlineStr">
        <is>
          <t>Diamante</t>
        </is>
      </c>
      <c r="B173" s="2" t="inlineStr">
        <is>
          <t>Blanco</t>
        </is>
      </c>
      <c r="C173" s="3" t="n">
        <v>46027</v>
      </c>
      <c r="D173" s="2" t="inlineStr">
        <is>
          <t>B09636380</t>
        </is>
      </c>
      <c r="E173" s="2" t="inlineStr">
        <is>
          <t>Aerogeneradores Versátiles S.L.</t>
        </is>
      </c>
      <c r="F173" s="2" t="n">
        <v>1874742</v>
      </c>
      <c r="G173" s="4" t="n">
        <v>728.38</v>
      </c>
      <c r="H173" s="3" t="n">
        <v>46017</v>
      </c>
      <c r="I173" s="3" t="n">
        <v>46085</v>
      </c>
      <c r="J173" s="2" t="n">
        <v>68</v>
      </c>
      <c r="K173" s="2" t="n">
        <v>6.44</v>
      </c>
      <c r="L173" s="2" t="n">
        <v>1.01</v>
      </c>
      <c r="M173" s="4" t="n">
        <v>7.36</v>
      </c>
      <c r="N173" s="4" t="n">
        <v>8.859999999999999</v>
      </c>
      <c r="O173" s="2" t="n">
        <v>20</v>
      </c>
      <c r="P173" s="4" t="n">
        <v>1.53</v>
      </c>
      <c r="Q173" s="4" t="n">
        <v>1.9</v>
      </c>
      <c r="R173" s="4">
        <f>G173*(L173/100)*(O173/100)</f>
        <v/>
      </c>
      <c r="S173" s="4">
        <f>G173*(K173/360/100)*J173*(O173/100)</f>
        <v/>
      </c>
      <c r="T173" s="4">
        <f>P173-R173+Q173-S173</f>
        <v/>
      </c>
    </row>
    <row r="174">
      <c r="A174" s="2" t="inlineStr">
        <is>
          <t>Diamante</t>
        </is>
      </c>
      <c r="B174" s="2" t="inlineStr">
        <is>
          <t>Blanco</t>
        </is>
      </c>
      <c r="C174" s="3" t="n">
        <v>46027</v>
      </c>
      <c r="D174" s="2" t="inlineStr">
        <is>
          <t>B09636380</t>
        </is>
      </c>
      <c r="E174" s="2" t="inlineStr">
        <is>
          <t>Aerogeneradores Versátiles S.L.</t>
        </is>
      </c>
      <c r="F174" s="2" t="n">
        <v>2927695</v>
      </c>
      <c r="G174" s="4" t="n">
        <v>1154.6</v>
      </c>
      <c r="H174" s="3" t="n">
        <v>46011</v>
      </c>
      <c r="I174" s="3" t="n">
        <v>46069</v>
      </c>
      <c r="J174" s="2" t="n">
        <v>58</v>
      </c>
      <c r="K174" s="2" t="n">
        <v>4.88</v>
      </c>
      <c r="L174" s="2" t="n">
        <v>1.66</v>
      </c>
      <c r="M174" s="4" t="n">
        <v>19.17</v>
      </c>
      <c r="N174" s="4" t="n">
        <v>9.08</v>
      </c>
      <c r="O174" s="2" t="n">
        <v>60</v>
      </c>
      <c r="P174" s="4" t="n">
        <v>11.54</v>
      </c>
      <c r="Q174" s="4" t="n">
        <v>5.19</v>
      </c>
      <c r="R174" s="4">
        <f>G174*(L174/100)*(O174/100)</f>
        <v/>
      </c>
      <c r="S174" s="4">
        <f>G174*(K174/360/100)*J174*(O174/100)</f>
        <v/>
      </c>
      <c r="T174" s="4">
        <f>P174-R174+Q174-S174</f>
        <v/>
      </c>
    </row>
    <row r="175">
      <c r="A175" s="2" t="inlineStr">
        <is>
          <t>Diamante</t>
        </is>
      </c>
      <c r="B175" s="2" t="inlineStr">
        <is>
          <t>Blanco</t>
        </is>
      </c>
      <c r="C175" s="3" t="n">
        <v>46027</v>
      </c>
      <c r="D175" s="2" t="inlineStr">
        <is>
          <t>B20204624</t>
        </is>
      </c>
      <c r="E175" s="2" t="inlineStr">
        <is>
          <t>Insecticidas Ferruginosos S.L.</t>
        </is>
      </c>
      <c r="F175" s="2" t="n">
        <v>2929342</v>
      </c>
      <c r="G175" s="4" t="n">
        <v>143.39</v>
      </c>
      <c r="H175" s="3" t="n">
        <v>46014</v>
      </c>
      <c r="I175" s="3" t="n">
        <v>46052</v>
      </c>
      <c r="J175" s="2" t="n">
        <v>38</v>
      </c>
      <c r="K175" s="2" t="n">
        <v>5.26</v>
      </c>
      <c r="L175" s="2" t="n">
        <v>1.98</v>
      </c>
      <c r="M175" s="4" t="n">
        <v>2.84</v>
      </c>
      <c r="N175" s="4" t="n">
        <v>0.8</v>
      </c>
      <c r="O175" s="2" t="n">
        <v>70</v>
      </c>
      <c r="P175" s="4" t="n">
        <v>1.82</v>
      </c>
      <c r="Q175" s="4" t="n">
        <v>0.58</v>
      </c>
      <c r="R175" s="4">
        <f>G175*(L175/100)*(O175/100)</f>
        <v/>
      </c>
      <c r="S175" s="4">
        <f>G175*(K175/360/100)*J175*(O175/100)</f>
        <v/>
      </c>
      <c r="T175" s="4">
        <f>P175-R175+Q175-S175</f>
        <v/>
      </c>
    </row>
    <row r="176">
      <c r="A176" s="2" t="inlineStr">
        <is>
          <t>Diamante</t>
        </is>
      </c>
      <c r="B176" s="2" t="inlineStr">
        <is>
          <t>Blanco</t>
        </is>
      </c>
      <c r="C176" s="3" t="n">
        <v>46027</v>
      </c>
      <c r="D176" s="2" t="inlineStr">
        <is>
          <t>B20204624</t>
        </is>
      </c>
      <c r="E176" s="2" t="inlineStr">
        <is>
          <t>Insecticidas Ferruginosos S.L.</t>
        </is>
      </c>
      <c r="F176" s="2" t="n">
        <v>1799323</v>
      </c>
      <c r="G176" s="4" t="n">
        <v>124.99</v>
      </c>
      <c r="H176" s="3" t="n">
        <v>46008</v>
      </c>
      <c r="I176" s="3" t="n">
        <v>46080</v>
      </c>
      <c r="J176" s="2" t="n">
        <v>72</v>
      </c>
      <c r="K176" s="2" t="n">
        <v>5.49</v>
      </c>
      <c r="L176" s="2" t="n">
        <v>1.43</v>
      </c>
      <c r="M176" s="4" t="n">
        <v>1.79</v>
      </c>
      <c r="N176" s="4" t="n">
        <v>1.37</v>
      </c>
      <c r="O176" s="2" t="n">
        <v>70</v>
      </c>
      <c r="P176" s="4" t="n">
        <v>1.45</v>
      </c>
      <c r="Q176" s="4" t="n">
        <v>0.8</v>
      </c>
      <c r="R176" s="4">
        <f>G176*(L176/100)*(O176/100)</f>
        <v/>
      </c>
      <c r="S176" s="4">
        <f>G176*(K176/360/100)*J176*(O176/100)</f>
        <v/>
      </c>
      <c r="T176" s="4">
        <f>P176-R176+Q176-S176</f>
        <v/>
      </c>
    </row>
    <row r="177">
      <c r="A177" s="2" t="inlineStr">
        <is>
          <t>Diamante</t>
        </is>
      </c>
      <c r="B177" s="2" t="inlineStr">
        <is>
          <t>Blanco</t>
        </is>
      </c>
      <c r="C177" s="3" t="n">
        <v>46027</v>
      </c>
      <c r="D177" s="2" t="inlineStr">
        <is>
          <t>A79905621</t>
        </is>
      </c>
      <c r="E177" s="2" t="inlineStr">
        <is>
          <t>Mieles Magnéticos S.A.</t>
        </is>
      </c>
      <c r="F177" s="2" t="n">
        <v>4852247</v>
      </c>
      <c r="G177" s="4" t="n">
        <v>9050.030000000001</v>
      </c>
      <c r="H177" s="3" t="n">
        <v>46015</v>
      </c>
      <c r="I177" s="3" t="n">
        <v>46090</v>
      </c>
      <c r="J177" s="2" t="n">
        <v>75</v>
      </c>
      <c r="K177" s="2" t="n">
        <v>5.58</v>
      </c>
      <c r="L177" s="2" t="n">
        <v>0.64</v>
      </c>
      <c r="M177" s="4" t="n">
        <v>57.92</v>
      </c>
      <c r="N177" s="4" t="n">
        <v>105.21</v>
      </c>
      <c r="O177" s="2" t="n">
        <v>70</v>
      </c>
      <c r="P177" s="4" t="n">
        <v>40.46</v>
      </c>
      <c r="Q177" s="4" t="n">
        <v>73.94</v>
      </c>
      <c r="R177" s="4">
        <f>G177*(L177/100)*(O177/100)</f>
        <v/>
      </c>
      <c r="S177" s="4">
        <f>G177*(K177/360/100)*J177*(O177/100)</f>
        <v/>
      </c>
      <c r="T177" s="4">
        <f>P177-R177+Q177-S177</f>
        <v/>
      </c>
    </row>
    <row r="178">
      <c r="A178" s="2" t="inlineStr">
        <is>
          <t>Diamante</t>
        </is>
      </c>
      <c r="B178" s="2" t="inlineStr">
        <is>
          <t>Blanco</t>
        </is>
      </c>
      <c r="C178" s="3" t="n">
        <v>46027</v>
      </c>
      <c r="D178" s="2" t="inlineStr">
        <is>
          <t>A79905621</t>
        </is>
      </c>
      <c r="E178" s="2" t="inlineStr">
        <is>
          <t>Mieles Magnéticos S.A.</t>
        </is>
      </c>
      <c r="F178" s="2" t="n">
        <v>4076208</v>
      </c>
      <c r="G178" s="4" t="n">
        <v>4185.52</v>
      </c>
      <c r="H178" s="3" t="n">
        <v>46008</v>
      </c>
      <c r="I178" s="3" t="n">
        <v>46065</v>
      </c>
      <c r="J178" s="2" t="n">
        <v>57</v>
      </c>
      <c r="K178" s="2" t="n">
        <v>6.34</v>
      </c>
      <c r="L178" s="2" t="n">
        <v>0.99</v>
      </c>
      <c r="M178" s="4" t="n">
        <v>41.44</v>
      </c>
      <c r="N178" s="4" t="n">
        <v>42.02</v>
      </c>
      <c r="O178" s="2" t="n">
        <v>50</v>
      </c>
      <c r="P178" s="4" t="n">
        <v>20.98</v>
      </c>
      <c r="Q178" s="4" t="n">
        <v>21.13</v>
      </c>
      <c r="R178" s="4">
        <f>G178*(L178/100)*(O178/100)</f>
        <v/>
      </c>
      <c r="S178" s="4">
        <f>G178*(K178/360/100)*J178*(O178/100)</f>
        <v/>
      </c>
      <c r="T178" s="4">
        <f>P178-R178+Q178-S178</f>
        <v/>
      </c>
    </row>
    <row r="179">
      <c r="A179" s="2" t="inlineStr">
        <is>
          <t>Diamante</t>
        </is>
      </c>
      <c r="B179" s="2" t="inlineStr">
        <is>
          <t>Blanco</t>
        </is>
      </c>
      <c r="C179" s="3" t="n">
        <v>46027</v>
      </c>
      <c r="D179" s="2" t="inlineStr">
        <is>
          <t>A79905621</t>
        </is>
      </c>
      <c r="E179" s="2" t="inlineStr">
        <is>
          <t>Mieles Magnéticos S.A.</t>
        </is>
      </c>
      <c r="F179" s="2" t="n">
        <v>2402883</v>
      </c>
      <c r="G179" s="4" t="n">
        <v>571.95</v>
      </c>
      <c r="H179" s="3" t="n">
        <v>46001</v>
      </c>
      <c r="I179" s="3" t="n">
        <v>46083</v>
      </c>
      <c r="J179" s="2" t="n">
        <v>82</v>
      </c>
      <c r="K179" s="2" t="n">
        <v>6.37</v>
      </c>
      <c r="L179" s="2" t="n">
        <v>0.55</v>
      </c>
      <c r="M179" s="4" t="n">
        <v>3.15</v>
      </c>
      <c r="N179" s="4" t="n">
        <v>8.300000000000001</v>
      </c>
      <c r="O179" s="2" t="n">
        <v>60</v>
      </c>
      <c r="P179" s="4" t="n">
        <v>2.17</v>
      </c>
      <c r="Q179" s="4" t="n">
        <v>4.69</v>
      </c>
      <c r="R179" s="4">
        <f>G179*(L179/100)*(O179/100)</f>
        <v/>
      </c>
      <c r="S179" s="4">
        <f>G179*(K179/360/100)*J179*(O179/100)</f>
        <v/>
      </c>
      <c r="T179" s="4">
        <f>P179-R179+Q179-S179</f>
        <v/>
      </c>
    </row>
    <row r="180">
      <c r="A180" s="2" t="inlineStr">
        <is>
          <t>Diamante</t>
        </is>
      </c>
      <c r="B180" s="2" t="inlineStr">
        <is>
          <t>Blanco</t>
        </is>
      </c>
      <c r="C180" s="3" t="n">
        <v>46027</v>
      </c>
      <c r="D180" s="2" t="inlineStr">
        <is>
          <t>B82511950</t>
        </is>
      </c>
      <c r="E180" s="2" t="inlineStr">
        <is>
          <t>Compostajes Orgánicos S.L.</t>
        </is>
      </c>
      <c r="F180" s="2" t="n">
        <v>3369250</v>
      </c>
      <c r="G180" s="4" t="n">
        <v>907.6799999999999</v>
      </c>
      <c r="H180" s="3" t="n">
        <v>46002</v>
      </c>
      <c r="I180" s="3" t="n">
        <v>46069</v>
      </c>
      <c r="J180" s="2" t="n">
        <v>67</v>
      </c>
      <c r="K180" s="2" t="n">
        <v>5.12</v>
      </c>
      <c r="L180" s="2" t="n">
        <v>1.81</v>
      </c>
      <c r="M180" s="4" t="n">
        <v>16.43</v>
      </c>
      <c r="N180" s="4" t="n">
        <v>8.65</v>
      </c>
      <c r="O180" s="2" t="n">
        <v>70</v>
      </c>
      <c r="P180" s="4" t="n">
        <v>11.39</v>
      </c>
      <c r="Q180" s="4" t="n">
        <v>5.77</v>
      </c>
      <c r="R180" s="4">
        <f>G180*(L180/100)*(O180/100)</f>
        <v/>
      </c>
      <c r="S180" s="4">
        <f>G180*(K180/360/100)*J180*(O180/100)</f>
        <v/>
      </c>
      <c r="T180" s="4">
        <f>P180-R180+Q180-S180</f>
        <v/>
      </c>
    </row>
    <row r="181">
      <c r="A181" s="2" t="inlineStr">
        <is>
          <t>Diamante</t>
        </is>
      </c>
      <c r="B181" s="2" t="inlineStr">
        <is>
          <t>Blanco</t>
        </is>
      </c>
      <c r="C181" s="3" t="n">
        <v>46027</v>
      </c>
      <c r="D181" s="2" t="inlineStr">
        <is>
          <t>B82511950</t>
        </is>
      </c>
      <c r="E181" s="2" t="inlineStr">
        <is>
          <t>Compostajes Orgánicos S.L.</t>
        </is>
      </c>
      <c r="F181" s="2" t="n">
        <v>1800360</v>
      </c>
      <c r="G181" s="4" t="n">
        <v>8973.549999999999</v>
      </c>
      <c r="H181" s="3" t="n">
        <v>46017</v>
      </c>
      <c r="I181" s="3" t="n">
        <v>46057</v>
      </c>
      <c r="J181" s="2" t="n">
        <v>40</v>
      </c>
      <c r="K181" s="2" t="n">
        <v>3.87</v>
      </c>
      <c r="L181" s="2" t="n">
        <v>1.29</v>
      </c>
      <c r="M181" s="4" t="n">
        <v>115.76</v>
      </c>
      <c r="N181" s="4" t="n">
        <v>38.59</v>
      </c>
      <c r="O181" s="2" t="n">
        <v>40</v>
      </c>
      <c r="P181" s="4" t="n">
        <v>46.42</v>
      </c>
      <c r="Q181" s="4" t="n">
        <v>15.71</v>
      </c>
      <c r="R181" s="4">
        <f>G181*(L181/100)*(O181/100)</f>
        <v/>
      </c>
      <c r="S181" s="4">
        <f>G181*(K181/360/100)*J181*(O181/100)</f>
        <v/>
      </c>
      <c r="T181" s="4">
        <f>P181-R181+Q181-S181</f>
        <v/>
      </c>
    </row>
    <row r="182">
      <c r="A182" s="2" t="inlineStr">
        <is>
          <t>Diamante</t>
        </is>
      </c>
      <c r="B182" s="2" t="inlineStr">
        <is>
          <t>Blanco</t>
        </is>
      </c>
      <c r="C182" s="3" t="n">
        <v>46027</v>
      </c>
      <c r="D182" s="2" t="inlineStr">
        <is>
          <t>B82511950</t>
        </is>
      </c>
      <c r="E182" s="2" t="inlineStr">
        <is>
          <t>Compostajes Orgánicos S.L.</t>
        </is>
      </c>
      <c r="F182" s="2" t="n">
        <v>2389594</v>
      </c>
      <c r="G182" s="4" t="n">
        <v>8548.34</v>
      </c>
      <c r="H182" s="3" t="n">
        <v>45997</v>
      </c>
      <c r="I182" s="3" t="n">
        <v>46032</v>
      </c>
      <c r="J182" s="2" t="n">
        <v>35</v>
      </c>
      <c r="K182" s="2" t="n">
        <v>5.42</v>
      </c>
      <c r="L182" s="2" t="n">
        <v>1.99</v>
      </c>
      <c r="M182" s="4" t="n">
        <v>170.11</v>
      </c>
      <c r="N182" s="4" t="n">
        <v>45.05</v>
      </c>
      <c r="O182" s="2" t="n">
        <v>40</v>
      </c>
      <c r="P182" s="4" t="n">
        <v>67.87</v>
      </c>
      <c r="Q182" s="4" t="n">
        <v>18.24</v>
      </c>
      <c r="R182" s="4">
        <f>G182*(L182/100)*(O182/100)</f>
        <v/>
      </c>
      <c r="S182" s="4">
        <f>G182*(K182/360/100)*J182*(O182/100)</f>
        <v/>
      </c>
      <c r="T182" s="4">
        <f>P182-R182+Q182-S182</f>
        <v/>
      </c>
    </row>
    <row r="183">
      <c r="A183" s="2" t="inlineStr">
        <is>
          <t>Diamante</t>
        </is>
      </c>
      <c r="B183" s="2" t="inlineStr">
        <is>
          <t>Blanco</t>
        </is>
      </c>
      <c r="C183" s="3" t="n">
        <v>46027</v>
      </c>
      <c r="D183" s="2" t="inlineStr">
        <is>
          <t>A27535634</t>
        </is>
      </c>
      <c r="E183" s="2" t="inlineStr">
        <is>
          <t>Compresores Naturales S.A.</t>
        </is>
      </c>
      <c r="F183" s="2" t="n">
        <v>3733215</v>
      </c>
      <c r="G183" s="4" t="n">
        <v>427.81</v>
      </c>
      <c r="H183" s="3" t="n">
        <v>46006</v>
      </c>
      <c r="I183" s="3" t="n">
        <v>46069</v>
      </c>
      <c r="J183" s="2" t="n">
        <v>63</v>
      </c>
      <c r="K183" s="2" t="n">
        <v>5.93</v>
      </c>
      <c r="L183" s="2" t="n">
        <v>0.55</v>
      </c>
      <c r="M183" s="4" t="n">
        <v>2.35</v>
      </c>
      <c r="N183" s="4" t="n">
        <v>4.44</v>
      </c>
      <c r="O183" s="2" t="n">
        <v>70</v>
      </c>
      <c r="P183" s="4" t="n">
        <v>1.46</v>
      </c>
      <c r="Q183" s="4" t="n">
        <v>2.88</v>
      </c>
      <c r="R183" s="4">
        <f>G183*(L183/100)*(O183/100)</f>
        <v/>
      </c>
      <c r="S183" s="4">
        <f>G183*(K183/360/100)*J183*(O183/100)</f>
        <v/>
      </c>
      <c r="T183" s="4">
        <f>P183-R183+Q183-S183</f>
        <v/>
      </c>
    </row>
    <row r="184">
      <c r="A184" s="2" t="inlineStr">
        <is>
          <t>Diamante</t>
        </is>
      </c>
      <c r="B184" s="2" t="inlineStr">
        <is>
          <t>Blanco</t>
        </is>
      </c>
      <c r="C184" s="3" t="n">
        <v>46027</v>
      </c>
      <c r="D184" s="2" t="inlineStr">
        <is>
          <t>A27535634</t>
        </is>
      </c>
      <c r="E184" s="2" t="inlineStr">
        <is>
          <t>Compresores Naturales S.A.</t>
        </is>
      </c>
      <c r="F184" s="2" t="n">
        <v>4541482</v>
      </c>
      <c r="G184" s="4" t="n">
        <v>368.78</v>
      </c>
      <c r="H184" s="3" t="n">
        <v>45993</v>
      </c>
      <c r="I184" s="3" t="n">
        <v>46031</v>
      </c>
      <c r="J184" s="2" t="n">
        <v>38</v>
      </c>
      <c r="K184" s="2" t="n">
        <v>4.62</v>
      </c>
      <c r="L184" s="2" t="n">
        <v>1.22</v>
      </c>
      <c r="M184" s="4" t="n">
        <v>4.5</v>
      </c>
      <c r="N184" s="4" t="n">
        <v>1.8</v>
      </c>
      <c r="O184" s="2" t="n">
        <v>60</v>
      </c>
      <c r="P184" s="4" t="n">
        <v>2.53</v>
      </c>
      <c r="Q184" s="4" t="n">
        <v>0.82</v>
      </c>
      <c r="R184" s="4">
        <f>G184*(L184/100)*(O184/100)</f>
        <v/>
      </c>
      <c r="S184" s="4">
        <f>G184*(K184/360/100)*J184*(O184/100)</f>
        <v/>
      </c>
      <c r="T184" s="4">
        <f>P184-R184+Q184-S184</f>
        <v/>
      </c>
    </row>
    <row r="185">
      <c r="A185" s="2" t="inlineStr">
        <is>
          <t>Diamante</t>
        </is>
      </c>
      <c r="B185" s="2" t="inlineStr">
        <is>
          <t>Blanco</t>
        </is>
      </c>
      <c r="C185" s="3" t="n">
        <v>46027</v>
      </c>
      <c r="D185" s="2" t="inlineStr">
        <is>
          <t>A73225557</t>
        </is>
      </c>
      <c r="E185" s="2" t="inlineStr">
        <is>
          <t>Selladores Virtuales S.A.</t>
        </is>
      </c>
      <c r="F185" s="2" t="n">
        <v>3258336</v>
      </c>
      <c r="G185" s="4" t="n">
        <v>244.2</v>
      </c>
      <c r="H185" s="3" t="n">
        <v>46019</v>
      </c>
      <c r="I185" s="3" t="n">
        <v>46064</v>
      </c>
      <c r="J185" s="2" t="n">
        <v>45</v>
      </c>
      <c r="K185" s="2" t="n">
        <v>5.86</v>
      </c>
      <c r="L185" s="2" t="n">
        <v>1.97</v>
      </c>
      <c r="M185" s="4" t="n">
        <v>4.81</v>
      </c>
      <c r="N185" s="4" t="n">
        <v>1.79</v>
      </c>
      <c r="O185" s="2" t="n">
        <v>30</v>
      </c>
      <c r="P185" s="4" t="n">
        <v>1.56</v>
      </c>
      <c r="Q185" s="4" t="n">
        <v>0.82</v>
      </c>
      <c r="R185" s="4">
        <f>G185*(L185/100)*(O185/100)</f>
        <v/>
      </c>
      <c r="S185" s="4">
        <f>G185*(K185/360/100)*J185*(O185/100)</f>
        <v/>
      </c>
      <c r="T185" s="4">
        <f>P185-R185+Q185-S185</f>
        <v/>
      </c>
    </row>
    <row r="186">
      <c r="A186" s="2" t="inlineStr">
        <is>
          <t>Diamante</t>
        </is>
      </c>
      <c r="B186" s="2" t="inlineStr">
        <is>
          <t>Blanco</t>
        </is>
      </c>
      <c r="C186" s="3" t="n">
        <v>46027</v>
      </c>
      <c r="D186" s="2" t="inlineStr">
        <is>
          <t>A73225557</t>
        </is>
      </c>
      <c r="E186" s="2" t="inlineStr">
        <is>
          <t>Selladores Virtuales S.A.</t>
        </is>
      </c>
      <c r="F186" s="2" t="n">
        <v>3569825</v>
      </c>
      <c r="G186" s="4" t="n">
        <v>188.67</v>
      </c>
      <c r="H186" s="3" t="n">
        <v>46013</v>
      </c>
      <c r="I186" s="3" t="n">
        <v>46064</v>
      </c>
      <c r="J186" s="2" t="n">
        <v>51</v>
      </c>
      <c r="K186" s="2" t="n">
        <v>4.42</v>
      </c>
      <c r="L186" s="2" t="n">
        <v>1.72</v>
      </c>
      <c r="M186" s="4" t="n">
        <v>3.25</v>
      </c>
      <c r="N186" s="4" t="n">
        <v>1.18</v>
      </c>
      <c r="O186" s="2" t="n">
        <v>40</v>
      </c>
      <c r="P186" s="4" t="n">
        <v>1.49</v>
      </c>
      <c r="Q186" s="4" t="n">
        <v>0.51</v>
      </c>
      <c r="R186" s="4">
        <f>G186*(L186/100)*(O186/100)</f>
        <v/>
      </c>
      <c r="S186" s="4">
        <f>G186*(K186/360/100)*J186*(O186/100)</f>
        <v/>
      </c>
      <c r="T186" s="4">
        <f>P186-R186+Q186-S186</f>
        <v/>
      </c>
    </row>
    <row r="187">
      <c r="A187" s="2" t="inlineStr">
        <is>
          <t>Diamante</t>
        </is>
      </c>
      <c r="B187" s="2" t="inlineStr">
        <is>
          <t>Blanco</t>
        </is>
      </c>
      <c r="C187" s="3" t="n">
        <v>46027</v>
      </c>
      <c r="D187" s="2" t="inlineStr">
        <is>
          <t>A73225557</t>
        </is>
      </c>
      <c r="E187" s="2" t="inlineStr">
        <is>
          <t>Selladores Virtuales S.A.</t>
        </is>
      </c>
      <c r="F187" s="2" t="n">
        <v>1801159</v>
      </c>
      <c r="G187" s="4" t="n">
        <v>885.99</v>
      </c>
      <c r="H187" s="3" t="n">
        <v>46016</v>
      </c>
      <c r="I187" s="3" t="n">
        <v>46068</v>
      </c>
      <c r="J187" s="2" t="n">
        <v>52</v>
      </c>
      <c r="K187" s="2" t="n">
        <v>4.24</v>
      </c>
      <c r="L187" s="2" t="n">
        <v>1.94</v>
      </c>
      <c r="M187" s="4" t="n">
        <v>17.19</v>
      </c>
      <c r="N187" s="4" t="n">
        <v>5.43</v>
      </c>
      <c r="O187" s="2" t="n">
        <v>60</v>
      </c>
      <c r="P187" s="4" t="n">
        <v>10.38</v>
      </c>
      <c r="Q187" s="4" t="n">
        <v>3.31</v>
      </c>
      <c r="R187" s="4">
        <f>G187*(L187/100)*(O187/100)</f>
        <v/>
      </c>
      <c r="S187" s="4">
        <f>G187*(K187/360/100)*J187*(O187/100)</f>
        <v/>
      </c>
      <c r="T187" s="4">
        <f>P187-R187+Q187-S187</f>
        <v/>
      </c>
    </row>
    <row r="188">
      <c r="A188" s="2" t="inlineStr">
        <is>
          <t>Diamante</t>
        </is>
      </c>
      <c r="B188" s="2" t="inlineStr">
        <is>
          <t>Blanco</t>
        </is>
      </c>
      <c r="C188" s="3" t="n">
        <v>46027</v>
      </c>
      <c r="D188" s="2" t="inlineStr">
        <is>
          <t>B04195747</t>
        </is>
      </c>
      <c r="E188" s="2" t="inlineStr">
        <is>
          <t>Aromas Sulfúricos S.L.</t>
        </is>
      </c>
      <c r="F188" s="2" t="n">
        <v>2508253</v>
      </c>
      <c r="G188" s="4" t="n">
        <v>570.74</v>
      </c>
      <c r="H188" s="3" t="n">
        <v>46002</v>
      </c>
      <c r="I188" s="3" t="n">
        <v>46039</v>
      </c>
      <c r="J188" s="2" t="n">
        <v>37</v>
      </c>
      <c r="K188" s="2" t="n">
        <v>3.51</v>
      </c>
      <c r="L188" s="2" t="n">
        <v>1.59</v>
      </c>
      <c r="M188" s="4" t="n">
        <v>9.07</v>
      </c>
      <c r="N188" s="4" t="n">
        <v>2.06</v>
      </c>
      <c r="O188" s="2" t="n">
        <v>70</v>
      </c>
      <c r="P188" s="4" t="n">
        <v>6.26</v>
      </c>
      <c r="Q188" s="4" t="n">
        <v>1.31</v>
      </c>
      <c r="R188" s="4">
        <f>G188*(L188/100)*(O188/100)</f>
        <v/>
      </c>
      <c r="S188" s="4">
        <f>G188*(K188/360/100)*J188*(O188/100)</f>
        <v/>
      </c>
      <c r="T188" s="4">
        <f>P188-R188+Q188-S188</f>
        <v/>
      </c>
    </row>
    <row r="189">
      <c r="A189" s="2" t="inlineStr">
        <is>
          <t>Diamante</t>
        </is>
      </c>
      <c r="B189" s="2" t="inlineStr">
        <is>
          <t>Blanco</t>
        </is>
      </c>
      <c r="C189" s="3" t="n">
        <v>46027</v>
      </c>
      <c r="D189" s="2" t="inlineStr">
        <is>
          <t>B04195747</t>
        </is>
      </c>
      <c r="E189" s="2" t="inlineStr">
        <is>
          <t>Aromas Sulfúricos S.L.</t>
        </is>
      </c>
      <c r="F189" s="2" t="n">
        <v>1334512</v>
      </c>
      <c r="G189" s="4" t="n">
        <v>194.88</v>
      </c>
      <c r="H189" s="3" t="n">
        <v>46017</v>
      </c>
      <c r="I189" s="3" t="n">
        <v>46092</v>
      </c>
      <c r="J189" s="2" t="n">
        <v>75</v>
      </c>
      <c r="K189" s="2" t="n">
        <v>4.46</v>
      </c>
      <c r="L189" s="2" t="n">
        <v>1.94</v>
      </c>
      <c r="M189" s="4" t="n">
        <v>3.78</v>
      </c>
      <c r="N189" s="4" t="n">
        <v>1.81</v>
      </c>
      <c r="O189" s="2" t="n">
        <v>70</v>
      </c>
      <c r="P189" s="4" t="n">
        <v>2.82</v>
      </c>
      <c r="Q189" s="4" t="n">
        <v>0.98</v>
      </c>
      <c r="R189" s="4">
        <f>G189*(L189/100)*(O189/100)</f>
        <v/>
      </c>
      <c r="S189" s="4">
        <f>G189*(K189/360/100)*J189*(O189/100)</f>
        <v/>
      </c>
      <c r="T189" s="4">
        <f>P189-R189+Q189-S189</f>
        <v/>
      </c>
    </row>
    <row r="190">
      <c r="A190" s="2" t="inlineStr">
        <is>
          <t>Diamante</t>
        </is>
      </c>
      <c r="B190" s="2" t="inlineStr">
        <is>
          <t>Blanco</t>
        </is>
      </c>
      <c r="C190" s="3" t="n">
        <v>46027</v>
      </c>
      <c r="D190" s="2" t="inlineStr">
        <is>
          <t>B04195747</t>
        </is>
      </c>
      <c r="E190" s="2" t="inlineStr">
        <is>
          <t>Aromas Sulfúricos S.L.</t>
        </is>
      </c>
      <c r="F190" s="2" t="n">
        <v>4080427</v>
      </c>
      <c r="G190" s="4" t="n">
        <v>575.28</v>
      </c>
      <c r="H190" s="3" t="n">
        <v>46015</v>
      </c>
      <c r="I190" s="3" t="n">
        <v>46055</v>
      </c>
      <c r="J190" s="2" t="n">
        <v>40</v>
      </c>
      <c r="K190" s="2" t="n">
        <v>4.89</v>
      </c>
      <c r="L190" s="2" t="n">
        <v>1.59</v>
      </c>
      <c r="M190" s="4" t="n">
        <v>9.15</v>
      </c>
      <c r="N190" s="4" t="n">
        <v>3.13</v>
      </c>
      <c r="O190" s="2" t="n">
        <v>40</v>
      </c>
      <c r="P190" s="4" t="n">
        <v>3.79</v>
      </c>
      <c r="Q190" s="4" t="n">
        <v>1.23</v>
      </c>
      <c r="R190" s="4">
        <f>G190*(L190/100)*(O190/100)</f>
        <v/>
      </c>
      <c r="S190" s="4">
        <f>G190*(K190/360/100)*J190*(O190/100)</f>
        <v/>
      </c>
      <c r="T190" s="4">
        <f>P190-R190+Q190-S190</f>
        <v/>
      </c>
    </row>
    <row r="191">
      <c r="A191" s="2" t="inlineStr">
        <is>
          <t>Diamante</t>
        </is>
      </c>
      <c r="B191" s="2" t="inlineStr">
        <is>
          <t>Blanco</t>
        </is>
      </c>
      <c r="C191" s="3" t="n">
        <v>46027</v>
      </c>
      <c r="D191" s="2" t="inlineStr">
        <is>
          <t>B43551609</t>
        </is>
      </c>
      <c r="E191" s="2" t="inlineStr">
        <is>
          <t>Alcantarillados Pequeños S.L.</t>
        </is>
      </c>
      <c r="F191" s="2" t="n">
        <v>2937509</v>
      </c>
      <c r="G191" s="4" t="n">
        <v>867.16</v>
      </c>
      <c r="H191" s="3" t="n">
        <v>45993</v>
      </c>
      <c r="I191" s="3" t="n">
        <v>46063</v>
      </c>
      <c r="J191" s="2" t="n">
        <v>70</v>
      </c>
      <c r="K191" s="2" t="n">
        <v>4.6</v>
      </c>
      <c r="L191" s="2" t="n">
        <v>1.83</v>
      </c>
      <c r="M191" s="4" t="n">
        <v>15.87</v>
      </c>
      <c r="N191" s="4" t="n">
        <v>7.76</v>
      </c>
      <c r="O191" s="2" t="n">
        <v>70</v>
      </c>
      <c r="P191" s="4" t="n">
        <v>11.4</v>
      </c>
      <c r="Q191" s="4" t="n">
        <v>5.67</v>
      </c>
      <c r="R191" s="4">
        <f>G191*(L191/100)*(O191/100)</f>
        <v/>
      </c>
      <c r="S191" s="4">
        <f>G191*(K191/360/100)*J191*(O191/100)</f>
        <v/>
      </c>
      <c r="T191" s="4">
        <f>P191-R191+Q191-S191</f>
        <v/>
      </c>
    </row>
    <row r="192">
      <c r="A192" s="2" t="inlineStr">
        <is>
          <t>Diamante</t>
        </is>
      </c>
      <c r="B192" s="2" t="inlineStr">
        <is>
          <t>Blanco</t>
        </is>
      </c>
      <c r="C192" s="3" t="n">
        <v>46027</v>
      </c>
      <c r="D192" s="2" t="inlineStr">
        <is>
          <t>B43551609</t>
        </is>
      </c>
      <c r="E192" s="2" t="inlineStr">
        <is>
          <t>Alcantarillados Pequeños S.L.</t>
        </is>
      </c>
      <c r="F192" s="2" t="n">
        <v>4993206</v>
      </c>
      <c r="G192" s="4" t="n">
        <v>3598.04</v>
      </c>
      <c r="H192" s="3" t="n">
        <v>46018</v>
      </c>
      <c r="I192" s="3" t="n">
        <v>46104</v>
      </c>
      <c r="J192" s="2" t="n">
        <v>86</v>
      </c>
      <c r="K192" s="2" t="n">
        <v>4.94</v>
      </c>
      <c r="L192" s="2" t="n">
        <v>1.81</v>
      </c>
      <c r="M192" s="4" t="n">
        <v>65.12</v>
      </c>
      <c r="N192" s="4" t="n">
        <v>42.46</v>
      </c>
      <c r="O192" s="2" t="n">
        <v>30</v>
      </c>
      <c r="P192" s="4" t="n">
        <v>19.65</v>
      </c>
      <c r="Q192" s="4" t="n">
        <v>12.95</v>
      </c>
      <c r="R192" s="4">
        <f>G192*(L192/100)*(O192/100)</f>
        <v/>
      </c>
      <c r="S192" s="4">
        <f>G192*(K192/360/100)*J192*(O192/100)</f>
        <v/>
      </c>
      <c r="T192" s="4">
        <f>P192-R192+Q192-S192</f>
        <v/>
      </c>
    </row>
    <row r="193">
      <c r="A193" s="2" t="inlineStr">
        <is>
          <t>Diamante</t>
        </is>
      </c>
      <c r="B193" s="2" t="inlineStr">
        <is>
          <t>Blanco</t>
        </is>
      </c>
      <c r="C193" s="3" t="n">
        <v>46027</v>
      </c>
      <c r="D193" s="2" t="inlineStr">
        <is>
          <t>A14545317</t>
        </is>
      </c>
      <c r="E193" s="2" t="inlineStr">
        <is>
          <t>Fermentos Contemporáneos S.A.</t>
        </is>
      </c>
      <c r="F193" s="2" t="n">
        <v>4558489</v>
      </c>
      <c r="G193" s="4" t="n">
        <v>610.62</v>
      </c>
      <c r="H193" s="3" t="n">
        <v>46017</v>
      </c>
      <c r="I193" s="3" t="n">
        <v>46083</v>
      </c>
      <c r="J193" s="2" t="n">
        <v>66</v>
      </c>
      <c r="K193" s="2" t="n">
        <v>6.03</v>
      </c>
      <c r="L193" s="2" t="n">
        <v>0.63</v>
      </c>
      <c r="M193" s="4" t="n">
        <v>3.85</v>
      </c>
      <c r="N193" s="4" t="n">
        <v>6.75</v>
      </c>
      <c r="O193" s="2" t="n">
        <v>40</v>
      </c>
      <c r="P193" s="4" t="n">
        <v>1.29</v>
      </c>
      <c r="Q193" s="4" t="n">
        <v>2.51</v>
      </c>
      <c r="R193" s="4">
        <f>G193*(L193/100)*(O193/100)</f>
        <v/>
      </c>
      <c r="S193" s="4">
        <f>G193*(K193/360/100)*J193*(O193/100)</f>
        <v/>
      </c>
      <c r="T193" s="4">
        <f>P193-R193+Q193-S193</f>
        <v/>
      </c>
    </row>
    <row r="194">
      <c r="A194" s="2" t="inlineStr">
        <is>
          <t>Diamante</t>
        </is>
      </c>
      <c r="B194" s="2" t="inlineStr">
        <is>
          <t>Blanco</t>
        </is>
      </c>
      <c r="C194" s="3" t="n">
        <v>46027</v>
      </c>
      <c r="D194" s="2" t="inlineStr">
        <is>
          <t>A14545317</t>
        </is>
      </c>
      <c r="E194" s="2" t="inlineStr">
        <is>
          <t>Fermentos Contemporáneos S.A.</t>
        </is>
      </c>
      <c r="F194" s="2" t="n">
        <v>4773381</v>
      </c>
      <c r="G194" s="4" t="n">
        <v>7943.7</v>
      </c>
      <c r="H194" s="3" t="n">
        <v>45994</v>
      </c>
      <c r="I194" s="3" t="n">
        <v>46041</v>
      </c>
      <c r="J194" s="2" t="n">
        <v>47</v>
      </c>
      <c r="K194" s="2" t="n">
        <v>3.57</v>
      </c>
      <c r="L194" s="2" t="n">
        <v>1.48</v>
      </c>
      <c r="M194" s="4" t="n">
        <v>117.57</v>
      </c>
      <c r="N194" s="4" t="n">
        <v>37.02</v>
      </c>
      <c r="O194" s="2" t="n">
        <v>30</v>
      </c>
      <c r="P194" s="4" t="n">
        <v>35.08</v>
      </c>
      <c r="Q194" s="4" t="n">
        <v>10.88</v>
      </c>
      <c r="R194" s="4">
        <f>G194*(L194/100)*(O194/100)</f>
        <v/>
      </c>
      <c r="S194" s="4">
        <f>G194*(K194/360/100)*J194*(O194/100)</f>
        <v/>
      </c>
      <c r="T194" s="4">
        <f>P194-R194+Q194-S194</f>
        <v/>
      </c>
    </row>
    <row r="195">
      <c r="A195" s="2" t="inlineStr">
        <is>
          <t>Diamante</t>
        </is>
      </c>
      <c r="B195" s="2" t="inlineStr">
        <is>
          <t>Blanco</t>
        </is>
      </c>
      <c r="C195" s="3" t="n">
        <v>46027</v>
      </c>
      <c r="D195" s="2" t="inlineStr">
        <is>
          <t>A33058693</t>
        </is>
      </c>
      <c r="E195" s="2" t="inlineStr">
        <is>
          <t>Juntas Antiestáticos S.A.</t>
        </is>
      </c>
      <c r="F195" s="2" t="n">
        <v>3018919</v>
      </c>
      <c r="G195" s="4" t="n">
        <v>4814.46</v>
      </c>
      <c r="H195" s="3" t="n">
        <v>45993</v>
      </c>
      <c r="I195" s="3" t="n">
        <v>46057</v>
      </c>
      <c r="J195" s="2" t="n">
        <v>64</v>
      </c>
      <c r="K195" s="2" t="n">
        <v>4.03</v>
      </c>
      <c r="L195" s="2" t="n">
        <v>1.75</v>
      </c>
      <c r="M195" s="4" t="n">
        <v>84.25</v>
      </c>
      <c r="N195" s="4" t="n">
        <v>34.49</v>
      </c>
      <c r="O195" s="2" t="n">
        <v>50</v>
      </c>
      <c r="P195" s="4" t="n">
        <v>42.32</v>
      </c>
      <c r="Q195" s="4" t="n">
        <v>17.23</v>
      </c>
      <c r="R195" s="4">
        <f>G195*(L195/100)*(O195/100)</f>
        <v/>
      </c>
      <c r="S195" s="4">
        <f>G195*(K195/360/100)*J195*(O195/100)</f>
        <v/>
      </c>
      <c r="T195" s="4">
        <f>P195-R195+Q195-S195</f>
        <v/>
      </c>
    </row>
    <row r="196">
      <c r="A196" s="2" t="inlineStr">
        <is>
          <t>Diamante</t>
        </is>
      </c>
      <c r="B196" s="2" t="inlineStr">
        <is>
          <t>Blanco</t>
        </is>
      </c>
      <c r="C196" s="3" t="n">
        <v>46027</v>
      </c>
      <c r="D196" s="2" t="inlineStr">
        <is>
          <t>A33058693</t>
        </is>
      </c>
      <c r="E196" s="2" t="inlineStr">
        <is>
          <t>Juntas Antiestáticos S.A.</t>
        </is>
      </c>
      <c r="F196" s="2" t="n">
        <v>4160819</v>
      </c>
      <c r="G196" s="4" t="n">
        <v>5599.21</v>
      </c>
      <c r="H196" s="3" t="n">
        <v>46005</v>
      </c>
      <c r="I196" s="3" t="n">
        <v>46078</v>
      </c>
      <c r="J196" s="2" t="n">
        <v>73</v>
      </c>
      <c r="K196" s="2" t="n">
        <v>3.7</v>
      </c>
      <c r="L196" s="2" t="n">
        <v>0.62</v>
      </c>
      <c r="M196" s="4" t="n">
        <v>34.72</v>
      </c>
      <c r="N196" s="4" t="n">
        <v>42.01</v>
      </c>
      <c r="O196" s="2" t="n">
        <v>60</v>
      </c>
      <c r="P196" s="4" t="n">
        <v>20.78</v>
      </c>
      <c r="Q196" s="4" t="n">
        <v>25.18</v>
      </c>
      <c r="R196" s="4">
        <f>G196*(L196/100)*(O196/100)</f>
        <v/>
      </c>
      <c r="S196" s="4">
        <f>G196*(K196/360/100)*J196*(O196/100)</f>
        <v/>
      </c>
      <c r="T196" s="4">
        <f>P196-R196+Q196-S196</f>
        <v/>
      </c>
    </row>
    <row r="197">
      <c r="A197" s="2" t="inlineStr">
        <is>
          <t>Diamante</t>
        </is>
      </c>
      <c r="B197" s="2" t="inlineStr">
        <is>
          <t>Blanco</t>
        </is>
      </c>
      <c r="C197" s="3" t="n">
        <v>46027</v>
      </c>
      <c r="D197" s="2" t="inlineStr">
        <is>
          <t>A33058693</t>
        </is>
      </c>
      <c r="E197" s="2" t="inlineStr">
        <is>
          <t>Juntas Antiestáticos S.A.</t>
        </is>
      </c>
      <c r="F197" s="2" t="n">
        <v>4506445</v>
      </c>
      <c r="G197" s="4" t="n">
        <v>4554.48</v>
      </c>
      <c r="H197" s="3" t="n">
        <v>45995</v>
      </c>
      <c r="I197" s="3" t="n">
        <v>46084</v>
      </c>
      <c r="J197" s="2" t="n">
        <v>89</v>
      </c>
      <c r="K197" s="2" t="n">
        <v>3.86</v>
      </c>
      <c r="L197" s="2" t="n">
        <v>1.57</v>
      </c>
      <c r="M197" s="4" t="n">
        <v>71.51000000000001</v>
      </c>
      <c r="N197" s="4" t="n">
        <v>43.46</v>
      </c>
      <c r="O197" s="2" t="n">
        <v>50</v>
      </c>
      <c r="P197" s="4" t="n">
        <v>35.55</v>
      </c>
      <c r="Q197" s="4" t="n">
        <v>21.58</v>
      </c>
      <c r="R197" s="4">
        <f>G197*(L197/100)*(O197/100)</f>
        <v/>
      </c>
      <c r="S197" s="4">
        <f>G197*(K197/360/100)*J197*(O197/100)</f>
        <v/>
      </c>
      <c r="T197" s="4">
        <f>P197-R197+Q197-S197</f>
        <v/>
      </c>
    </row>
    <row r="198">
      <c r="A198" s="2" t="inlineStr">
        <is>
          <t>Diamante</t>
        </is>
      </c>
      <c r="B198" s="2" t="inlineStr">
        <is>
          <t>Blanco</t>
        </is>
      </c>
      <c r="C198" s="3" t="n">
        <v>46027</v>
      </c>
      <c r="D198" s="2" t="inlineStr">
        <is>
          <t>A34745644</t>
        </is>
      </c>
      <c r="E198" s="2" t="inlineStr">
        <is>
          <t>Residuos Porosos S.A.</t>
        </is>
      </c>
      <c r="F198" s="2" t="n">
        <v>3914618</v>
      </c>
      <c r="G198" s="4" t="n">
        <v>536.63</v>
      </c>
      <c r="H198" s="3" t="n">
        <v>46003</v>
      </c>
      <c r="I198" s="3" t="n">
        <v>46071</v>
      </c>
      <c r="J198" s="2" t="n">
        <v>68</v>
      </c>
      <c r="K198" s="2" t="n">
        <v>3.58</v>
      </c>
      <c r="L198" s="2" t="n">
        <v>1.2</v>
      </c>
      <c r="M198" s="4" t="n">
        <v>6.44</v>
      </c>
      <c r="N198" s="4" t="n">
        <v>3.63</v>
      </c>
      <c r="O198" s="2" t="n">
        <v>50</v>
      </c>
      <c r="P198" s="4" t="n">
        <v>3.49</v>
      </c>
      <c r="Q198" s="4" t="n">
        <v>1.78</v>
      </c>
      <c r="R198" s="4">
        <f>G198*(L198/100)*(O198/100)</f>
        <v/>
      </c>
      <c r="S198" s="4">
        <f>G198*(K198/360/100)*J198*(O198/100)</f>
        <v/>
      </c>
      <c r="T198" s="4">
        <f>P198-R198+Q198-S198</f>
        <v/>
      </c>
    </row>
    <row r="199">
      <c r="A199" s="2" t="inlineStr">
        <is>
          <t>Diamante</t>
        </is>
      </c>
      <c r="B199" s="2" t="inlineStr">
        <is>
          <t>Blanco</t>
        </is>
      </c>
      <c r="C199" s="3" t="n">
        <v>46027</v>
      </c>
      <c r="D199" s="2" t="inlineStr">
        <is>
          <t>A34745644</t>
        </is>
      </c>
      <c r="E199" s="2" t="inlineStr">
        <is>
          <t>Residuos Porosos S.A.</t>
        </is>
      </c>
      <c r="F199" s="2" t="n">
        <v>1401941</v>
      </c>
      <c r="G199" s="4" t="n">
        <v>206.23</v>
      </c>
      <c r="H199" s="3" t="n">
        <v>45997</v>
      </c>
      <c r="I199" s="3" t="n">
        <v>46029</v>
      </c>
      <c r="J199" s="2" t="n">
        <v>32</v>
      </c>
      <c r="K199" s="2" t="n">
        <v>5.44</v>
      </c>
      <c r="L199" s="2" t="n">
        <v>0.97</v>
      </c>
      <c r="M199" s="4" t="n">
        <v>2</v>
      </c>
      <c r="N199" s="4" t="n">
        <v>1</v>
      </c>
      <c r="O199" s="2" t="n">
        <v>70</v>
      </c>
      <c r="P199" s="4" t="n">
        <v>1.43</v>
      </c>
      <c r="Q199" s="4" t="n">
        <v>0.84</v>
      </c>
      <c r="R199" s="4">
        <f>G199*(L199/100)*(O199/100)</f>
        <v/>
      </c>
      <c r="S199" s="4">
        <f>G199*(K199/360/100)*J199*(O199/100)</f>
        <v/>
      </c>
      <c r="T199" s="4">
        <f>P199-R199+Q199-S199</f>
        <v/>
      </c>
    </row>
    <row r="200">
      <c r="A200" s="2" t="inlineStr">
        <is>
          <t>Diamante</t>
        </is>
      </c>
      <c r="B200" s="2" t="inlineStr">
        <is>
          <t>Blanco</t>
        </is>
      </c>
      <c r="C200" s="3" t="n">
        <v>46027</v>
      </c>
      <c r="D200" s="2" t="inlineStr">
        <is>
          <t>A34745644</t>
        </is>
      </c>
      <c r="E200" s="2" t="inlineStr">
        <is>
          <t>Residuos Porosos S.A.</t>
        </is>
      </c>
      <c r="F200" s="2" t="n">
        <v>2300595</v>
      </c>
      <c r="G200" s="4" t="n">
        <v>853.46</v>
      </c>
      <c r="H200" s="3" t="n">
        <v>46006</v>
      </c>
      <c r="I200" s="3" t="n">
        <v>46085</v>
      </c>
      <c r="J200" s="2" t="n">
        <v>79</v>
      </c>
      <c r="K200" s="2" t="n">
        <v>4.8</v>
      </c>
      <c r="L200" s="2" t="n">
        <v>1.46</v>
      </c>
      <c r="M200" s="4" t="n">
        <v>12.46</v>
      </c>
      <c r="N200" s="4" t="n">
        <v>8.99</v>
      </c>
      <c r="O200" s="2" t="n">
        <v>20</v>
      </c>
      <c r="P200" s="4" t="n">
        <v>2.23</v>
      </c>
      <c r="Q200" s="4" t="n">
        <v>2.09</v>
      </c>
      <c r="R200" s="4">
        <f>G200*(L200/100)*(O200/100)</f>
        <v/>
      </c>
      <c r="S200" s="4">
        <f>G200*(K200/360/100)*J200*(O200/100)</f>
        <v/>
      </c>
      <c r="T200" s="4">
        <f>P200-R200+Q200-S200</f>
        <v/>
      </c>
    </row>
    <row r="201">
      <c r="A201" s="2" t="inlineStr">
        <is>
          <t>Diamante</t>
        </is>
      </c>
      <c r="B201" s="2" t="inlineStr">
        <is>
          <t>Blanco</t>
        </is>
      </c>
      <c r="C201" s="3" t="n">
        <v>46027</v>
      </c>
      <c r="D201" s="2" t="inlineStr">
        <is>
          <t>B66756052</t>
        </is>
      </c>
      <c r="E201" s="2" t="inlineStr">
        <is>
          <t>Perfiles Aprobados S.L.</t>
        </is>
      </c>
      <c r="F201" s="2" t="n">
        <v>3846225</v>
      </c>
      <c r="G201" s="4" t="n">
        <v>985.85</v>
      </c>
      <c r="H201" s="3" t="n">
        <v>45994</v>
      </c>
      <c r="I201" s="3" t="n">
        <v>46025</v>
      </c>
      <c r="J201" s="2" t="n">
        <v>31</v>
      </c>
      <c r="K201" s="2" t="n">
        <v>4.14</v>
      </c>
      <c r="L201" s="2" t="n">
        <v>1.34</v>
      </c>
      <c r="M201" s="4" t="n">
        <v>13.21</v>
      </c>
      <c r="N201" s="4" t="n">
        <v>3.51</v>
      </c>
      <c r="O201" s="2" t="n">
        <v>50</v>
      </c>
      <c r="P201" s="4" t="n">
        <v>6.59</v>
      </c>
      <c r="Q201" s="4" t="n">
        <v>1.72</v>
      </c>
      <c r="R201" s="4">
        <f>G201*(L201/100)*(O201/100)</f>
        <v/>
      </c>
      <c r="S201" s="4">
        <f>G201*(K201/360/100)*J201*(O201/100)</f>
        <v/>
      </c>
      <c r="T201" s="4">
        <f>P201-R201+Q201-S201</f>
        <v/>
      </c>
    </row>
    <row r="202">
      <c r="A202" s="2" t="inlineStr">
        <is>
          <t>Diamante</t>
        </is>
      </c>
      <c r="B202" s="2" t="inlineStr">
        <is>
          <t>Blanco</t>
        </is>
      </c>
      <c r="C202" s="3" t="n">
        <v>46027</v>
      </c>
      <c r="D202" s="2" t="inlineStr">
        <is>
          <t>B66756052</t>
        </is>
      </c>
      <c r="E202" s="2" t="inlineStr">
        <is>
          <t>Perfiles Aprobados S.L.</t>
        </is>
      </c>
      <c r="F202" s="2" t="n">
        <v>4368281</v>
      </c>
      <c r="G202" s="4" t="n">
        <v>3142.02</v>
      </c>
      <c r="H202" s="3" t="n">
        <v>46014</v>
      </c>
      <c r="I202" s="3" t="n">
        <v>46055</v>
      </c>
      <c r="J202" s="2" t="n">
        <v>41</v>
      </c>
      <c r="K202" s="2" t="n">
        <v>4.27</v>
      </c>
      <c r="L202" s="2" t="n">
        <v>0.82</v>
      </c>
      <c r="M202" s="4" t="n">
        <v>25.76</v>
      </c>
      <c r="N202" s="4" t="n">
        <v>15.28</v>
      </c>
      <c r="O202" s="2" t="n">
        <v>70</v>
      </c>
      <c r="P202" s="4" t="n">
        <v>18.25</v>
      </c>
      <c r="Q202" s="4" t="n">
        <v>10.95</v>
      </c>
      <c r="R202" s="4">
        <f>G202*(L202/100)*(O202/100)</f>
        <v/>
      </c>
      <c r="S202" s="4">
        <f>G202*(K202/360/100)*J202*(O202/100)</f>
        <v/>
      </c>
      <c r="T202" s="4">
        <f>P202-R202+Q202-S202</f>
        <v/>
      </c>
    </row>
    <row r="203">
      <c r="A203" s="2" t="inlineStr">
        <is>
          <t>Diamante</t>
        </is>
      </c>
      <c r="B203" s="2" t="inlineStr">
        <is>
          <t>Blanco</t>
        </is>
      </c>
      <c r="C203" s="3" t="n">
        <v>46027</v>
      </c>
      <c r="D203" s="2" t="inlineStr">
        <is>
          <t>B64207507</t>
        </is>
      </c>
      <c r="E203" s="2" t="inlineStr">
        <is>
          <t>Etilenos Cementados S.L.</t>
        </is>
      </c>
      <c r="F203" s="2" t="n">
        <v>2889895</v>
      </c>
      <c r="G203" s="4" t="n">
        <v>693.47</v>
      </c>
      <c r="H203" s="3" t="n">
        <v>46019</v>
      </c>
      <c r="I203" s="3" t="n">
        <v>46079</v>
      </c>
      <c r="J203" s="2" t="n">
        <v>60</v>
      </c>
      <c r="K203" s="2" t="n">
        <v>4.22</v>
      </c>
      <c r="L203" s="2" t="n">
        <v>0.82</v>
      </c>
      <c r="M203" s="4" t="n">
        <v>5.69</v>
      </c>
      <c r="N203" s="4" t="n">
        <v>4.88</v>
      </c>
      <c r="O203" s="2" t="n">
        <v>70</v>
      </c>
      <c r="P203" s="4" t="n">
        <v>4.2</v>
      </c>
      <c r="Q203" s="4" t="n">
        <v>3.5</v>
      </c>
      <c r="R203" s="4">
        <f>G203*(L203/100)*(O203/100)</f>
        <v/>
      </c>
      <c r="S203" s="4">
        <f>G203*(K203/360/100)*J203*(O203/100)</f>
        <v/>
      </c>
      <c r="T203" s="4">
        <f>P203-R203+Q203-S203</f>
        <v/>
      </c>
    </row>
    <row r="204">
      <c r="A204" s="2" t="inlineStr">
        <is>
          <t>Diamante</t>
        </is>
      </c>
      <c r="B204" s="2" t="inlineStr">
        <is>
          <t>Blanco</t>
        </is>
      </c>
      <c r="C204" s="3" t="n">
        <v>46027</v>
      </c>
      <c r="D204" s="2" t="inlineStr">
        <is>
          <t>B64207507</t>
        </is>
      </c>
      <c r="E204" s="2" t="inlineStr">
        <is>
          <t>Etilenos Cementados S.L.</t>
        </is>
      </c>
      <c r="F204" s="2" t="n">
        <v>2903726</v>
      </c>
      <c r="G204" s="4" t="n">
        <v>703.8</v>
      </c>
      <c r="H204" s="3" t="n">
        <v>45993</v>
      </c>
      <c r="I204" s="3" t="n">
        <v>46078</v>
      </c>
      <c r="J204" s="2" t="n">
        <v>85</v>
      </c>
      <c r="K204" s="2" t="n">
        <v>3.76</v>
      </c>
      <c r="L204" s="2" t="n">
        <v>1.55</v>
      </c>
      <c r="M204" s="4" t="n">
        <v>10.91</v>
      </c>
      <c r="N204" s="4" t="n">
        <v>6.25</v>
      </c>
      <c r="O204" s="2" t="n">
        <v>40</v>
      </c>
      <c r="P204" s="4" t="n">
        <v>4.15</v>
      </c>
      <c r="Q204" s="4" t="n">
        <v>2.79</v>
      </c>
      <c r="R204" s="4">
        <f>G204*(L204/100)*(O204/100)</f>
        <v/>
      </c>
      <c r="S204" s="4">
        <f>G204*(K204/360/100)*J204*(O204/100)</f>
        <v/>
      </c>
      <c r="T204" s="4">
        <f>P204-R204+Q204-S204</f>
        <v/>
      </c>
    </row>
    <row r="205">
      <c r="A205" s="2" t="inlineStr">
        <is>
          <t>Diamante</t>
        </is>
      </c>
      <c r="B205" s="2" t="inlineStr">
        <is>
          <t>Blanco</t>
        </is>
      </c>
      <c r="C205" s="3" t="n">
        <v>46027</v>
      </c>
      <c r="D205" s="2" t="inlineStr">
        <is>
          <t>B64207507</t>
        </is>
      </c>
      <c r="E205" s="2" t="inlineStr">
        <is>
          <t>Etilenos Cementados S.L.</t>
        </is>
      </c>
      <c r="F205" s="2" t="n">
        <v>4780082</v>
      </c>
      <c r="G205" s="4" t="n">
        <v>4622.83</v>
      </c>
      <c r="H205" s="3" t="n">
        <v>46001</v>
      </c>
      <c r="I205" s="3" t="n">
        <v>46068</v>
      </c>
      <c r="J205" s="2" t="n">
        <v>67</v>
      </c>
      <c r="K205" s="2" t="n">
        <v>6.54</v>
      </c>
      <c r="L205" s="2" t="n">
        <v>1.03</v>
      </c>
      <c r="M205" s="4" t="n">
        <v>47.62</v>
      </c>
      <c r="N205" s="4" t="n">
        <v>56.27</v>
      </c>
      <c r="O205" s="2" t="n">
        <v>40</v>
      </c>
      <c r="P205" s="4" t="n">
        <v>19.1</v>
      </c>
      <c r="Q205" s="4" t="n">
        <v>22.57</v>
      </c>
      <c r="R205" s="4">
        <f>G205*(L205/100)*(O205/100)</f>
        <v/>
      </c>
      <c r="S205" s="4">
        <f>G205*(K205/360/100)*J205*(O205/100)</f>
        <v/>
      </c>
      <c r="T205" s="4">
        <f>P205-R205+Q205-S205</f>
        <v/>
      </c>
    </row>
    <row r="206">
      <c r="A206" s="2" t="inlineStr">
        <is>
          <t>Diamante</t>
        </is>
      </c>
      <c r="B206" s="2" t="inlineStr">
        <is>
          <t>Blanco</t>
        </is>
      </c>
      <c r="C206" s="3" t="n">
        <v>46027</v>
      </c>
      <c r="D206" s="2" t="inlineStr">
        <is>
          <t>B05467051</t>
        </is>
      </c>
      <c r="E206" s="2" t="inlineStr">
        <is>
          <t>Tintes Bajos S.L.</t>
        </is>
      </c>
      <c r="F206" s="2" t="n">
        <v>4878607</v>
      </c>
      <c r="G206" s="4" t="n">
        <v>2895.86</v>
      </c>
      <c r="H206" s="3" t="n">
        <v>45998</v>
      </c>
      <c r="I206" s="3" t="n">
        <v>46060</v>
      </c>
      <c r="J206" s="2" t="n">
        <v>62</v>
      </c>
      <c r="K206" s="2" t="n">
        <v>5.4</v>
      </c>
      <c r="L206" s="2" t="n">
        <v>1.47</v>
      </c>
      <c r="M206" s="4" t="n">
        <v>42.57</v>
      </c>
      <c r="N206" s="4" t="n">
        <v>26.93</v>
      </c>
      <c r="O206" s="2" t="n">
        <v>30</v>
      </c>
      <c r="P206" s="4" t="n">
        <v>12.7</v>
      </c>
      <c r="Q206" s="4" t="n">
        <v>8.23</v>
      </c>
      <c r="R206" s="4">
        <f>G206*(L206/100)*(O206/100)</f>
        <v/>
      </c>
      <c r="S206" s="4">
        <f>G206*(K206/360/100)*J206*(O206/100)</f>
        <v/>
      </c>
      <c r="T206" s="4">
        <f>P206-R206+Q206-S206</f>
        <v/>
      </c>
    </row>
    <row r="207">
      <c r="A207" s="2" t="inlineStr">
        <is>
          <t>Diamante</t>
        </is>
      </c>
      <c r="B207" s="2" t="inlineStr">
        <is>
          <t>Blanco</t>
        </is>
      </c>
      <c r="C207" s="3" t="n">
        <v>46027</v>
      </c>
      <c r="D207" s="2" t="inlineStr">
        <is>
          <t>B05467051</t>
        </is>
      </c>
      <c r="E207" s="2" t="inlineStr">
        <is>
          <t>Tintes Bajos S.L.</t>
        </is>
      </c>
      <c r="F207" s="2" t="n">
        <v>4041349</v>
      </c>
      <c r="G207" s="4" t="n">
        <v>901.13</v>
      </c>
      <c r="H207" s="3" t="n">
        <v>46002</v>
      </c>
      <c r="I207" s="3" t="n">
        <v>46048</v>
      </c>
      <c r="J207" s="2" t="n">
        <v>46</v>
      </c>
      <c r="K207" s="2" t="n">
        <v>5.44</v>
      </c>
      <c r="L207" s="2" t="n">
        <v>1.84</v>
      </c>
      <c r="M207" s="4" t="n">
        <v>16.58</v>
      </c>
      <c r="N207" s="4" t="n">
        <v>6.26</v>
      </c>
      <c r="O207" s="2" t="n">
        <v>30</v>
      </c>
      <c r="P207" s="4" t="n">
        <v>4.69</v>
      </c>
      <c r="Q207" s="4" t="n">
        <v>2.05</v>
      </c>
      <c r="R207" s="4">
        <f>G207*(L207/100)*(O207/100)</f>
        <v/>
      </c>
      <c r="S207" s="4">
        <f>G207*(K207/360/100)*J207*(O207/100)</f>
        <v/>
      </c>
      <c r="T207" s="4">
        <f>P207-R207+Q207-S207</f>
        <v/>
      </c>
    </row>
    <row r="208">
      <c r="A208" s="2" t="inlineStr">
        <is>
          <t>Diamante</t>
        </is>
      </c>
      <c r="B208" s="2" t="inlineStr">
        <is>
          <t>Blanco</t>
        </is>
      </c>
      <c r="C208" s="3" t="n">
        <v>46027</v>
      </c>
      <c r="D208" s="2" t="inlineStr">
        <is>
          <t>A34840080</t>
        </is>
      </c>
      <c r="E208" s="2" t="inlineStr">
        <is>
          <t>Drenajes Aplicados S.A.</t>
        </is>
      </c>
      <c r="F208" s="2" t="n">
        <v>4266131</v>
      </c>
      <c r="G208" s="4" t="n">
        <v>4009.12</v>
      </c>
      <c r="H208" s="3" t="n">
        <v>46009</v>
      </c>
      <c r="I208" s="3" t="n">
        <v>46056</v>
      </c>
      <c r="J208" s="2" t="n">
        <v>47</v>
      </c>
      <c r="K208" s="2" t="n">
        <v>3.96</v>
      </c>
      <c r="L208" s="2" t="n">
        <v>1.08</v>
      </c>
      <c r="M208" s="4" t="n">
        <v>43.3</v>
      </c>
      <c r="N208" s="4" t="n">
        <v>20.73</v>
      </c>
      <c r="O208" s="2" t="n">
        <v>60</v>
      </c>
      <c r="P208" s="4" t="n">
        <v>25.95</v>
      </c>
      <c r="Q208" s="4" t="n">
        <v>12.18</v>
      </c>
      <c r="R208" s="4">
        <f>G208*(L208/100)*(O208/100)</f>
        <v/>
      </c>
      <c r="S208" s="4">
        <f>G208*(K208/360/100)*J208*(O208/100)</f>
        <v/>
      </c>
      <c r="T208" s="4">
        <f>P208-R208+Q208-S208</f>
        <v/>
      </c>
    </row>
    <row r="209">
      <c r="A209" s="2" t="inlineStr">
        <is>
          <t>Diamante</t>
        </is>
      </c>
      <c r="B209" s="2" t="inlineStr">
        <is>
          <t>Blanco</t>
        </is>
      </c>
      <c r="C209" s="3" t="n">
        <v>46027</v>
      </c>
      <c r="D209" s="2" t="inlineStr">
        <is>
          <t>A34840080</t>
        </is>
      </c>
      <c r="E209" s="2" t="inlineStr">
        <is>
          <t>Drenajes Aplicados S.A.</t>
        </is>
      </c>
      <c r="F209" s="2" t="n">
        <v>2109925</v>
      </c>
      <c r="G209" s="4" t="n">
        <v>8271.700000000001</v>
      </c>
      <c r="H209" s="3" t="n">
        <v>46009</v>
      </c>
      <c r="I209" s="3" t="n">
        <v>46040</v>
      </c>
      <c r="J209" s="2" t="n">
        <v>31</v>
      </c>
      <c r="K209" s="2" t="n">
        <v>5.64</v>
      </c>
      <c r="L209" s="2" t="n">
        <v>0.68</v>
      </c>
      <c r="M209" s="4" t="n">
        <v>56.25</v>
      </c>
      <c r="N209" s="4" t="n">
        <v>40.17</v>
      </c>
      <c r="O209" s="2" t="n">
        <v>30</v>
      </c>
      <c r="P209" s="4" t="n">
        <v>17.12</v>
      </c>
      <c r="Q209" s="4" t="n">
        <v>11.89</v>
      </c>
      <c r="R209" s="4">
        <f>G209*(L209/100)*(O209/100)</f>
        <v/>
      </c>
      <c r="S209" s="4">
        <f>G209*(K209/360/100)*J209*(O209/100)</f>
        <v/>
      </c>
      <c r="T209" s="4">
        <f>P209-R209+Q209-S209</f>
        <v/>
      </c>
    </row>
    <row r="210">
      <c r="A210" s="2" t="inlineStr">
        <is>
          <t>Diamante</t>
        </is>
      </c>
      <c r="B210" s="2" t="inlineStr">
        <is>
          <t>Blanco</t>
        </is>
      </c>
      <c r="C210" s="3" t="n">
        <v>46027</v>
      </c>
      <c r="D210" s="2" t="inlineStr">
        <is>
          <t>A34840080</t>
        </is>
      </c>
      <c r="E210" s="2" t="inlineStr">
        <is>
          <t>Drenajes Aplicados S.A.</t>
        </is>
      </c>
      <c r="F210" s="2" t="n">
        <v>3676351</v>
      </c>
      <c r="G210" s="4" t="n">
        <v>6749.35</v>
      </c>
      <c r="H210" s="3" t="n">
        <v>46008</v>
      </c>
      <c r="I210" s="3" t="n">
        <v>46091</v>
      </c>
      <c r="J210" s="2" t="n">
        <v>83</v>
      </c>
      <c r="K210" s="2" t="n">
        <v>4.82</v>
      </c>
      <c r="L210" s="2" t="n">
        <v>1.42</v>
      </c>
      <c r="M210" s="4" t="n">
        <v>95.84</v>
      </c>
      <c r="N210" s="4" t="n">
        <v>75</v>
      </c>
      <c r="O210" s="2" t="n">
        <v>40</v>
      </c>
      <c r="P210" s="4" t="n">
        <v>38.55</v>
      </c>
      <c r="Q210" s="4" t="n">
        <v>30.09</v>
      </c>
      <c r="R210" s="4">
        <f>G210*(L210/100)*(O210/100)</f>
        <v/>
      </c>
      <c r="S210" s="4">
        <f>G210*(K210/360/100)*J210*(O210/100)</f>
        <v/>
      </c>
      <c r="T210" s="4">
        <f>P210-R210+Q210-S210</f>
        <v/>
      </c>
    </row>
    <row r="211">
      <c r="A211" s="2" t="inlineStr">
        <is>
          <t>Diamante</t>
        </is>
      </c>
      <c r="B211" s="2" t="inlineStr">
        <is>
          <t>Blanco</t>
        </is>
      </c>
      <c r="C211" s="3" t="n">
        <v>46027</v>
      </c>
      <c r="D211" s="2" t="inlineStr">
        <is>
          <t>B73219548</t>
        </is>
      </c>
      <c r="E211" s="2" t="inlineStr">
        <is>
          <t>Saborizantes Energéticos S.L.</t>
        </is>
      </c>
      <c r="F211" s="2" t="n">
        <v>3068419</v>
      </c>
      <c r="G211" s="4" t="n">
        <v>919.74</v>
      </c>
      <c r="H211" s="3" t="n">
        <v>46003</v>
      </c>
      <c r="I211" s="3" t="n">
        <v>46039</v>
      </c>
      <c r="J211" s="2" t="n">
        <v>36</v>
      </c>
      <c r="K211" s="2" t="n">
        <v>4.8</v>
      </c>
      <c r="L211" s="2" t="n">
        <v>1.57</v>
      </c>
      <c r="M211" s="4" t="n">
        <v>14.44</v>
      </c>
      <c r="N211" s="4" t="n">
        <v>4.41</v>
      </c>
      <c r="O211" s="2" t="n">
        <v>70</v>
      </c>
      <c r="P211" s="4" t="n">
        <v>10.09</v>
      </c>
      <c r="Q211" s="4" t="n">
        <v>3.37</v>
      </c>
      <c r="R211" s="4">
        <f>G211*(L211/100)*(O211/100)</f>
        <v/>
      </c>
      <c r="S211" s="4">
        <f>G211*(K211/360/100)*J211*(O211/100)</f>
        <v/>
      </c>
      <c r="T211" s="4">
        <f>P211-R211+Q211-S211</f>
        <v/>
      </c>
    </row>
    <row r="212">
      <c r="A212" s="2" t="inlineStr">
        <is>
          <t>Diamante</t>
        </is>
      </c>
      <c r="B212" s="2" t="inlineStr">
        <is>
          <t>Blanco</t>
        </is>
      </c>
      <c r="C212" s="3" t="n">
        <v>46027</v>
      </c>
      <c r="D212" s="2" t="inlineStr">
        <is>
          <t>B73219548</t>
        </is>
      </c>
      <c r="E212" s="2" t="inlineStr">
        <is>
          <t>Saborizantes Energéticos S.L.</t>
        </is>
      </c>
      <c r="F212" s="2" t="n">
        <v>2051137</v>
      </c>
      <c r="G212" s="4" t="n">
        <v>464.61</v>
      </c>
      <c r="H212" s="3" t="n">
        <v>45998</v>
      </c>
      <c r="I212" s="3" t="n">
        <v>46062</v>
      </c>
      <c r="J212" s="2" t="n">
        <v>64</v>
      </c>
      <c r="K212" s="2" t="n">
        <v>4.31</v>
      </c>
      <c r="L212" s="2" t="n">
        <v>0.84</v>
      </c>
      <c r="M212" s="4" t="n">
        <v>3.9</v>
      </c>
      <c r="N212" s="4" t="n">
        <v>3.56</v>
      </c>
      <c r="O212" s="2" t="n">
        <v>30</v>
      </c>
      <c r="P212" s="4" t="n">
        <v>1.39</v>
      </c>
      <c r="Q212" s="4" t="n">
        <v>1.2</v>
      </c>
      <c r="R212" s="4">
        <f>G212*(L212/100)*(O212/100)</f>
        <v/>
      </c>
      <c r="S212" s="4">
        <f>G212*(K212/360/100)*J212*(O212/100)</f>
        <v/>
      </c>
      <c r="T212" s="4">
        <f>P212-R212+Q212-S212</f>
        <v/>
      </c>
    </row>
    <row r="213">
      <c r="A213" s="2" t="inlineStr">
        <is>
          <t>Diamante</t>
        </is>
      </c>
      <c r="B213" s="2" t="inlineStr">
        <is>
          <t>Blanco</t>
        </is>
      </c>
      <c r="C213" s="3" t="n">
        <v>46027</v>
      </c>
      <c r="D213" s="2" t="inlineStr">
        <is>
          <t>B73219548</t>
        </is>
      </c>
      <c r="E213" s="2" t="inlineStr">
        <is>
          <t>Saborizantes Energéticos S.L.</t>
        </is>
      </c>
      <c r="F213" s="2" t="n">
        <v>4024139</v>
      </c>
      <c r="G213" s="4" t="n">
        <v>808.62</v>
      </c>
      <c r="H213" s="3" t="n">
        <v>45993</v>
      </c>
      <c r="I213" s="3" t="n">
        <v>46054</v>
      </c>
      <c r="J213" s="2" t="n">
        <v>61</v>
      </c>
      <c r="K213" s="2" t="n">
        <v>4.26</v>
      </c>
      <c r="L213" s="2" t="n">
        <v>1.23</v>
      </c>
      <c r="M213" s="4" t="n">
        <v>9.949999999999999</v>
      </c>
      <c r="N213" s="4" t="n">
        <v>5.84</v>
      </c>
      <c r="O213" s="2" t="n">
        <v>40</v>
      </c>
      <c r="P213" s="4" t="n">
        <v>4.13</v>
      </c>
      <c r="Q213" s="4" t="n">
        <v>2.24</v>
      </c>
      <c r="R213" s="4">
        <f>G213*(L213/100)*(O213/100)</f>
        <v/>
      </c>
      <c r="S213" s="4">
        <f>G213*(K213/360/100)*J213*(O213/100)</f>
        <v/>
      </c>
      <c r="T213" s="4">
        <f>P213-R213+Q213-S213</f>
        <v/>
      </c>
    </row>
    <row r="214">
      <c r="A214" s="2" t="inlineStr">
        <is>
          <t>Diamante</t>
        </is>
      </c>
      <c r="B214" s="2" t="inlineStr">
        <is>
          <t>Blanco</t>
        </is>
      </c>
      <c r="C214" s="3" t="n">
        <v>46027</v>
      </c>
      <c r="D214" s="2" t="inlineStr">
        <is>
          <t>A16005805</t>
        </is>
      </c>
      <c r="E214" s="2" t="inlineStr">
        <is>
          <t>Cajas Brillantes S.A.</t>
        </is>
      </c>
      <c r="F214" s="2" t="n">
        <v>4365972</v>
      </c>
      <c r="G214" s="4" t="n">
        <v>527.21</v>
      </c>
      <c r="H214" s="3" t="n">
        <v>46004</v>
      </c>
      <c r="I214" s="3" t="n">
        <v>46079</v>
      </c>
      <c r="J214" s="2" t="n">
        <v>75</v>
      </c>
      <c r="K214" s="2" t="n">
        <v>6.2</v>
      </c>
      <c r="L214" s="2" t="n">
        <v>1.69</v>
      </c>
      <c r="M214" s="4" t="n">
        <v>8.91</v>
      </c>
      <c r="N214" s="4" t="n">
        <v>6.81</v>
      </c>
      <c r="O214" s="2" t="n">
        <v>30</v>
      </c>
      <c r="P214" s="4" t="n">
        <v>2.9</v>
      </c>
      <c r="Q214" s="4" t="n">
        <v>2.24</v>
      </c>
      <c r="R214" s="4">
        <f>G214*(L214/100)*(O214/100)</f>
        <v/>
      </c>
      <c r="S214" s="4">
        <f>G214*(K214/360/100)*J214*(O214/100)</f>
        <v/>
      </c>
      <c r="T214" s="4">
        <f>P214-R214+Q214-S214</f>
        <v/>
      </c>
    </row>
    <row r="215">
      <c r="A215" s="2" t="inlineStr">
        <is>
          <t>Diamante</t>
        </is>
      </c>
      <c r="B215" s="2" t="inlineStr">
        <is>
          <t>Blanco</t>
        </is>
      </c>
      <c r="C215" s="3" t="n">
        <v>46027</v>
      </c>
      <c r="D215" s="2" t="inlineStr">
        <is>
          <t>A16005805</t>
        </is>
      </c>
      <c r="E215" s="2" t="inlineStr">
        <is>
          <t>Cajas Brillantes S.A.</t>
        </is>
      </c>
      <c r="F215" s="2" t="n">
        <v>4088813</v>
      </c>
      <c r="G215" s="4" t="n">
        <v>923.98</v>
      </c>
      <c r="H215" s="3" t="n">
        <v>46014</v>
      </c>
      <c r="I215" s="3" t="n">
        <v>46064</v>
      </c>
      <c r="J215" s="2" t="n">
        <v>50</v>
      </c>
      <c r="K215" s="2" t="n">
        <v>4.53</v>
      </c>
      <c r="L215" s="2" t="n">
        <v>1.61</v>
      </c>
      <c r="M215" s="4" t="n">
        <v>14.88</v>
      </c>
      <c r="N215" s="4" t="n">
        <v>5.81</v>
      </c>
      <c r="O215" s="2" t="n">
        <v>40</v>
      </c>
      <c r="P215" s="4" t="n">
        <v>5.76</v>
      </c>
      <c r="Q215" s="4" t="n">
        <v>2.46</v>
      </c>
      <c r="R215" s="4">
        <f>G215*(L215/100)*(O215/100)</f>
        <v/>
      </c>
      <c r="S215" s="4">
        <f>G215*(K215/360/100)*J215*(O215/100)</f>
        <v/>
      </c>
      <c r="T215" s="4">
        <f>P215-R215+Q215-S215</f>
        <v/>
      </c>
    </row>
    <row r="216">
      <c r="A216" s="2" t="inlineStr">
        <is>
          <t>Diamante</t>
        </is>
      </c>
      <c r="B216" s="2" t="inlineStr">
        <is>
          <t>Blanco</t>
        </is>
      </c>
      <c r="C216" s="3" t="n">
        <v>46027</v>
      </c>
      <c r="D216" s="2" t="inlineStr">
        <is>
          <t>B62122231</t>
        </is>
      </c>
      <c r="E216" s="2" t="inlineStr">
        <is>
          <t>Cuarzos Planificados S.L.</t>
        </is>
      </c>
      <c r="F216" s="2" t="n">
        <v>3678044</v>
      </c>
      <c r="G216" s="4" t="n">
        <v>6883.13</v>
      </c>
      <c r="H216" s="3" t="n">
        <v>45995</v>
      </c>
      <c r="I216" s="3" t="n">
        <v>46071</v>
      </c>
      <c r="J216" s="2" t="n">
        <v>76</v>
      </c>
      <c r="K216" s="2" t="n">
        <v>4.1</v>
      </c>
      <c r="L216" s="2" t="n">
        <v>1.78</v>
      </c>
      <c r="M216" s="4" t="n">
        <v>122.52</v>
      </c>
      <c r="N216" s="4" t="n">
        <v>59.58</v>
      </c>
      <c r="O216" s="2" t="n">
        <v>50</v>
      </c>
      <c r="P216" s="4" t="n">
        <v>60.98</v>
      </c>
      <c r="Q216" s="4" t="n">
        <v>29.6</v>
      </c>
      <c r="R216" s="4">
        <f>G216*(L216/100)*(O216/100)</f>
        <v/>
      </c>
      <c r="S216" s="4">
        <f>G216*(K216/360/100)*J216*(O216/100)</f>
        <v/>
      </c>
      <c r="T216" s="4">
        <f>P216-R216+Q216-S216</f>
        <v/>
      </c>
    </row>
    <row r="217">
      <c r="A217" s="2" t="inlineStr">
        <is>
          <t>Diamante</t>
        </is>
      </c>
      <c r="B217" s="2" t="inlineStr">
        <is>
          <t>Blanco</t>
        </is>
      </c>
      <c r="C217" s="3" t="n">
        <v>46027</v>
      </c>
      <c r="D217" s="2" t="inlineStr">
        <is>
          <t>B62122231</t>
        </is>
      </c>
      <c r="E217" s="2" t="inlineStr">
        <is>
          <t>Cuarzos Planificados S.L.</t>
        </is>
      </c>
      <c r="F217" s="2" t="n">
        <v>4878622</v>
      </c>
      <c r="G217" s="4" t="n">
        <v>951.13</v>
      </c>
      <c r="H217" s="3" t="n">
        <v>46011</v>
      </c>
      <c r="I217" s="3" t="n">
        <v>46088</v>
      </c>
      <c r="J217" s="2" t="n">
        <v>77</v>
      </c>
      <c r="K217" s="2" t="n">
        <v>3.81</v>
      </c>
      <c r="L217" s="2" t="n">
        <v>0.82</v>
      </c>
      <c r="M217" s="4" t="n">
        <v>7.8</v>
      </c>
      <c r="N217" s="4" t="n">
        <v>7.75</v>
      </c>
      <c r="O217" s="2" t="n">
        <v>70</v>
      </c>
      <c r="P217" s="4" t="n">
        <v>5.4</v>
      </c>
      <c r="Q217" s="4" t="n">
        <v>5.36</v>
      </c>
      <c r="R217" s="4">
        <f>G217*(L217/100)*(O217/100)</f>
        <v/>
      </c>
      <c r="S217" s="4">
        <f>G217*(K217/360/100)*J217*(O217/100)</f>
        <v/>
      </c>
      <c r="T217" s="4">
        <f>P217-R217+Q217-S217</f>
        <v/>
      </c>
    </row>
    <row r="218">
      <c r="A218" s="2" t="inlineStr">
        <is>
          <t>Diamante</t>
        </is>
      </c>
      <c r="B218" s="2" t="inlineStr">
        <is>
          <t>Blanco</t>
        </is>
      </c>
      <c r="C218" s="3" t="n">
        <v>46027</v>
      </c>
      <c r="D218" s="2" t="inlineStr">
        <is>
          <t>A97519892</t>
        </is>
      </c>
      <c r="E218" s="2" t="inlineStr">
        <is>
          <t>Telas Conectados S.A.</t>
        </is>
      </c>
      <c r="F218" s="2" t="n">
        <v>4759551</v>
      </c>
      <c r="G218" s="4" t="n">
        <v>728.53</v>
      </c>
      <c r="H218" s="3" t="n">
        <v>46012</v>
      </c>
      <c r="I218" s="3" t="n">
        <v>46067</v>
      </c>
      <c r="J218" s="2" t="n">
        <v>55</v>
      </c>
      <c r="K218" s="2" t="n">
        <v>4.08</v>
      </c>
      <c r="L218" s="2" t="n">
        <v>1.5</v>
      </c>
      <c r="M218" s="4" t="n">
        <v>10.93</v>
      </c>
      <c r="N218" s="4" t="n">
        <v>4.54</v>
      </c>
      <c r="O218" s="2" t="n">
        <v>60</v>
      </c>
      <c r="P218" s="4" t="n">
        <v>6.67</v>
      </c>
      <c r="Q218" s="4" t="n">
        <v>2.91</v>
      </c>
      <c r="R218" s="4">
        <f>G218*(L218/100)*(O218/100)</f>
        <v/>
      </c>
      <c r="S218" s="4">
        <f>G218*(K218/360/100)*J218*(O218/100)</f>
        <v/>
      </c>
      <c r="T218" s="4">
        <f>P218-R218+Q218-S218</f>
        <v/>
      </c>
    </row>
    <row r="219">
      <c r="A219" s="2" t="inlineStr">
        <is>
          <t>Diamante</t>
        </is>
      </c>
      <c r="B219" s="2" t="inlineStr">
        <is>
          <t>Blanco</t>
        </is>
      </c>
      <c r="C219" s="3" t="n">
        <v>46027</v>
      </c>
      <c r="D219" s="2" t="inlineStr">
        <is>
          <t>A97519892</t>
        </is>
      </c>
      <c r="E219" s="2" t="inlineStr">
        <is>
          <t>Telas Conectados S.A.</t>
        </is>
      </c>
      <c r="F219" s="2" t="n">
        <v>4463011</v>
      </c>
      <c r="G219" s="4" t="n">
        <v>169.49</v>
      </c>
      <c r="H219" s="3" t="n">
        <v>46008</v>
      </c>
      <c r="I219" s="3" t="n">
        <v>46042</v>
      </c>
      <c r="J219" s="2" t="n">
        <v>34</v>
      </c>
      <c r="K219" s="2" t="n">
        <v>4.2</v>
      </c>
      <c r="L219" s="2" t="n">
        <v>1.8</v>
      </c>
      <c r="M219" s="4" t="n">
        <v>3.05</v>
      </c>
      <c r="N219" s="4" t="n">
        <v>0.67</v>
      </c>
      <c r="O219" s="2" t="n">
        <v>60</v>
      </c>
      <c r="P219" s="4" t="n">
        <v>1.59</v>
      </c>
      <c r="Q219" s="4" t="n">
        <v>0.6</v>
      </c>
      <c r="R219" s="4">
        <f>G219*(L219/100)*(O219/100)</f>
        <v/>
      </c>
      <c r="S219" s="4">
        <f>G219*(K219/360/100)*J219*(O219/100)</f>
        <v/>
      </c>
      <c r="T219" s="4">
        <f>P219-R219+Q219-S219</f>
        <v/>
      </c>
    </row>
    <row r="220">
      <c r="A220" s="2" t="inlineStr">
        <is>
          <t>Diamante</t>
        </is>
      </c>
      <c r="B220" s="2" t="inlineStr">
        <is>
          <t>Blanco</t>
        </is>
      </c>
      <c r="C220" s="3" t="n">
        <v>46027</v>
      </c>
      <c r="D220" s="2" t="inlineStr">
        <is>
          <t>A58137369</t>
        </is>
      </c>
      <c r="E220" s="2" t="inlineStr">
        <is>
          <t>Anclas Antiestáticos S.A.</t>
        </is>
      </c>
      <c r="F220" s="2" t="n">
        <v>1568196</v>
      </c>
      <c r="G220" s="4" t="n">
        <v>221.35</v>
      </c>
      <c r="H220" s="3" t="n">
        <v>46008</v>
      </c>
      <c r="I220" s="3" t="n">
        <v>46049</v>
      </c>
      <c r="J220" s="2" t="n">
        <v>41</v>
      </c>
      <c r="K220" s="2" t="n">
        <v>5.47</v>
      </c>
      <c r="L220" s="2" t="n">
        <v>1.94</v>
      </c>
      <c r="M220" s="4" t="n">
        <v>4.29</v>
      </c>
      <c r="N220" s="4" t="n">
        <v>1.38</v>
      </c>
      <c r="O220" s="2" t="n">
        <v>20</v>
      </c>
      <c r="P220" s="4" t="n">
        <v>0.79</v>
      </c>
      <c r="Q220" s="4" t="n">
        <v>0.03</v>
      </c>
      <c r="R220" s="4">
        <f>G220*(L220/100)*(O220/100)</f>
        <v/>
      </c>
      <c r="S220" s="4">
        <f>G220*(K220/360/100)*J220*(O220/100)</f>
        <v/>
      </c>
      <c r="T220" s="4">
        <f>P220-R220+Q220-S220</f>
        <v/>
      </c>
    </row>
    <row r="221">
      <c r="A221" s="2" t="inlineStr">
        <is>
          <t>Diamante</t>
        </is>
      </c>
      <c r="B221" s="2" t="inlineStr">
        <is>
          <t>Blanco</t>
        </is>
      </c>
      <c r="C221" s="3" t="n">
        <v>46027</v>
      </c>
      <c r="D221" s="2" t="inlineStr">
        <is>
          <t>A58137369</t>
        </is>
      </c>
      <c r="E221" s="2" t="inlineStr">
        <is>
          <t>Anclas Antiestáticos S.A.</t>
        </is>
      </c>
      <c r="F221" s="2" t="n">
        <v>4690479</v>
      </c>
      <c r="G221" s="4" t="n">
        <v>568.21</v>
      </c>
      <c r="H221" s="3" t="n">
        <v>46006</v>
      </c>
      <c r="I221" s="3" t="n">
        <v>46076</v>
      </c>
      <c r="J221" s="2" t="n">
        <v>70</v>
      </c>
      <c r="K221" s="2" t="n">
        <v>4.57</v>
      </c>
      <c r="L221" s="2" t="n">
        <v>1.61</v>
      </c>
      <c r="M221" s="4" t="n">
        <v>9.15</v>
      </c>
      <c r="N221" s="4" t="n">
        <v>5.05</v>
      </c>
      <c r="O221" s="2" t="n">
        <v>50</v>
      </c>
      <c r="P221" s="4" t="n">
        <v>4.46</v>
      </c>
      <c r="Q221" s="4" t="n">
        <v>2.64</v>
      </c>
      <c r="R221" s="4">
        <f>G221*(L221/100)*(O221/100)</f>
        <v/>
      </c>
      <c r="S221" s="4">
        <f>G221*(K221/360/100)*J221*(O221/100)</f>
        <v/>
      </c>
      <c r="T221" s="4">
        <f>P221-R221+Q221-S221</f>
        <v/>
      </c>
    </row>
    <row r="222">
      <c r="A222" s="2" t="inlineStr">
        <is>
          <t>Diamante</t>
        </is>
      </c>
      <c r="B222" s="2" t="inlineStr">
        <is>
          <t>Blanco</t>
        </is>
      </c>
      <c r="C222" s="3" t="n">
        <v>46027</v>
      </c>
      <c r="D222" s="2" t="inlineStr">
        <is>
          <t>B01059735</t>
        </is>
      </c>
      <c r="E222" s="2" t="inlineStr">
        <is>
          <t>Maquinarias Excelentes S.L.</t>
        </is>
      </c>
      <c r="F222" s="2" t="n">
        <v>2578873</v>
      </c>
      <c r="G222" s="4" t="n">
        <v>470.34</v>
      </c>
      <c r="H222" s="3" t="n">
        <v>45997</v>
      </c>
      <c r="I222" s="3" t="n">
        <v>46030</v>
      </c>
      <c r="J222" s="2" t="n">
        <v>33</v>
      </c>
      <c r="K222" s="2" t="n">
        <v>3.66</v>
      </c>
      <c r="L222" s="2" t="n">
        <v>1.15</v>
      </c>
      <c r="M222" s="4" t="n">
        <v>5.41</v>
      </c>
      <c r="N222" s="4" t="n">
        <v>1.58</v>
      </c>
      <c r="O222" s="2" t="n">
        <v>60</v>
      </c>
      <c r="P222" s="4" t="n">
        <v>3.12</v>
      </c>
      <c r="Q222" s="4" t="n">
        <v>0.74</v>
      </c>
      <c r="R222" s="4">
        <f>G222*(L222/100)*(O222/100)</f>
        <v/>
      </c>
      <c r="S222" s="4">
        <f>G222*(K222/360/100)*J222*(O222/100)</f>
        <v/>
      </c>
      <c r="T222" s="4">
        <f>P222-R222+Q222-S222</f>
        <v/>
      </c>
    </row>
    <row r="223">
      <c r="A223" s="2" t="inlineStr">
        <is>
          <t>Diamante</t>
        </is>
      </c>
      <c r="B223" s="2" t="inlineStr">
        <is>
          <t>Blanco</t>
        </is>
      </c>
      <c r="C223" s="3" t="n">
        <v>46027</v>
      </c>
      <c r="D223" s="2" t="inlineStr">
        <is>
          <t>B01059735</t>
        </is>
      </c>
      <c r="E223" s="2" t="inlineStr">
        <is>
          <t>Maquinarias Excelentes S.L.</t>
        </is>
      </c>
      <c r="F223" s="2" t="n">
        <v>2992917</v>
      </c>
      <c r="G223" s="4" t="n">
        <v>479.75</v>
      </c>
      <c r="H223" s="3" t="n">
        <v>46013</v>
      </c>
      <c r="I223" s="3" t="n">
        <v>46102</v>
      </c>
      <c r="J223" s="2" t="n">
        <v>89</v>
      </c>
      <c r="K223" s="2" t="n">
        <v>5.23</v>
      </c>
      <c r="L223" s="2" t="n">
        <v>1.72</v>
      </c>
      <c r="M223" s="4" t="n">
        <v>8.25</v>
      </c>
      <c r="N223" s="4" t="n">
        <v>6.2</v>
      </c>
      <c r="O223" s="2" t="n">
        <v>60</v>
      </c>
      <c r="P223" s="4" t="n">
        <v>5.19</v>
      </c>
      <c r="Q223" s="4" t="n">
        <v>3.92</v>
      </c>
      <c r="R223" s="4">
        <f>G223*(L223/100)*(O223/100)</f>
        <v/>
      </c>
      <c r="S223" s="4">
        <f>G223*(K223/360/100)*J223*(O223/100)</f>
        <v/>
      </c>
      <c r="T223" s="4">
        <f>P223-R223+Q223-S223</f>
        <v/>
      </c>
    </row>
    <row r="224">
      <c r="A224" s="2" t="inlineStr">
        <is>
          <t>Diamante</t>
        </is>
      </c>
      <c r="B224" s="2" t="inlineStr">
        <is>
          <t>Blanco</t>
        </is>
      </c>
      <c r="C224" s="3" t="n">
        <v>46027</v>
      </c>
      <c r="D224" s="2" t="inlineStr">
        <is>
          <t>A77356952</t>
        </is>
      </c>
      <c r="E224" s="2" t="inlineStr">
        <is>
          <t>Transportes Formados S.A.</t>
        </is>
      </c>
      <c r="F224" s="2" t="n">
        <v>1062469</v>
      </c>
      <c r="G224" s="4" t="n">
        <v>2781.56</v>
      </c>
      <c r="H224" s="3" t="n">
        <v>46003</v>
      </c>
      <c r="I224" s="3" t="n">
        <v>46088</v>
      </c>
      <c r="J224" s="2" t="n">
        <v>85</v>
      </c>
      <c r="K224" s="2" t="n">
        <v>6.18</v>
      </c>
      <c r="L224" s="2" t="n">
        <v>1.03</v>
      </c>
      <c r="M224" s="4" t="n">
        <v>28.65</v>
      </c>
      <c r="N224" s="4" t="n">
        <v>40.59</v>
      </c>
      <c r="O224" s="2" t="n">
        <v>20</v>
      </c>
      <c r="P224" s="4" t="n">
        <v>5.57</v>
      </c>
      <c r="Q224" s="4" t="n">
        <v>8.23</v>
      </c>
      <c r="R224" s="4">
        <f>G224*(L224/100)*(O224/100)</f>
        <v/>
      </c>
      <c r="S224" s="4">
        <f>G224*(K224/360/100)*J224*(O224/100)</f>
        <v/>
      </c>
      <c r="T224" s="4">
        <f>P224-R224+Q224-S224</f>
        <v/>
      </c>
    </row>
    <row r="225">
      <c r="A225" s="2" t="inlineStr">
        <is>
          <t>Diamante</t>
        </is>
      </c>
      <c r="B225" s="2" t="inlineStr">
        <is>
          <t>Blanco</t>
        </is>
      </c>
      <c r="C225" s="3" t="n">
        <v>46027</v>
      </c>
      <c r="D225" s="2" t="inlineStr">
        <is>
          <t>A77356952</t>
        </is>
      </c>
      <c r="E225" s="2" t="inlineStr">
        <is>
          <t>Transportes Formados S.A.</t>
        </is>
      </c>
      <c r="F225" s="2" t="n">
        <v>1333114</v>
      </c>
      <c r="G225" s="4" t="n">
        <v>880.39</v>
      </c>
      <c r="H225" s="3" t="n">
        <v>46013</v>
      </c>
      <c r="I225" s="3" t="n">
        <v>46073</v>
      </c>
      <c r="J225" s="2" t="n">
        <v>60</v>
      </c>
      <c r="K225" s="2" t="n">
        <v>5.43</v>
      </c>
      <c r="L225" s="2" t="n">
        <v>0.68</v>
      </c>
      <c r="M225" s="4" t="n">
        <v>5.99</v>
      </c>
      <c r="N225" s="4" t="n">
        <v>7.97</v>
      </c>
      <c r="O225" s="2" t="n">
        <v>20</v>
      </c>
      <c r="P225" s="4" t="n">
        <v>0.97</v>
      </c>
      <c r="Q225" s="4" t="n">
        <v>1.35</v>
      </c>
      <c r="R225" s="4">
        <f>G225*(L225/100)*(O225/100)</f>
        <v/>
      </c>
      <c r="S225" s="4">
        <f>G225*(K225/360/100)*J225*(O225/100)</f>
        <v/>
      </c>
      <c r="T225" s="4">
        <f>P225-R225+Q225-S225</f>
        <v/>
      </c>
    </row>
    <row r="226">
      <c r="A226" s="5" t="inlineStr">
        <is>
          <t>Total</t>
        </is>
      </c>
      <c r="G226" s="6">
        <f>SUBTOTAL(109,G2:G225)</f>
        <v/>
      </c>
      <c r="M226" s="6">
        <f>SUBTOTAL(109,M2:M225)</f>
        <v/>
      </c>
      <c r="N226" s="6">
        <f>SUBTOTAL(109,N2:N225)</f>
        <v/>
      </c>
      <c r="P226" s="6">
        <f>SUBTOTAL(109,P2:P225)</f>
        <v/>
      </c>
      <c r="Q226" s="6">
        <f>SUBTOTAL(109,Q2:Q225)</f>
        <v/>
      </c>
      <c r="R226" s="6">
        <f>SUBTOTAL(109,R2:R225)</f>
        <v/>
      </c>
      <c r="S226" s="6">
        <f>SUBTOTAL(109,S2:S225)</f>
        <v/>
      </c>
      <c r="T226" s="6">
        <f>SUBTOTAL(109,T2:T225)</f>
        <v/>
      </c>
    </row>
  </sheetData>
  <printOptions gridLines="1"/>
  <pageMargins left="0.25" right="0.25" top="0.3" bottom="0.3" header="0.1" footer="0.1"/>
  <pageSetup orientation="landscape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226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12" customWidth="1" min="4" max="4"/>
    <col width="6" customWidth="1" min="5" max="5"/>
    <col width="8" customWidth="1" min="6" max="6"/>
    <col width="9" customWidth="1" min="7" max="7"/>
    <col width="9" customWidth="1" min="8" max="8"/>
    <col width="8" customWidth="1" min="9" max="9"/>
    <col width="8" customWidth="1" min="10" max="10"/>
    <col width="9" customWidth="1" min="11" max="11"/>
    <col width="8" customWidth="1" min="12" max="12"/>
    <col width="11" customWidth="1" min="13" max="13"/>
    <col width="11" customWidth="1" min="14" max="14"/>
    <col width="11" customWidth="1" min="15" max="15"/>
  </cols>
  <sheetData>
    <row r="1" ht="26" customHeight="1">
      <c r="A1" s="1" t="inlineStr">
        <is>
          <t>CIF</t>
        </is>
      </c>
      <c r="B1" s="1" t="inlineStr">
        <is>
          <t>Importe</t>
        </is>
      </c>
      <c r="C1" s="1" t="inlineStr">
        <is>
          <t>F. Anticipo</t>
        </is>
      </c>
      <c r="D1" s="1" t="inlineStr">
        <is>
          <t>F. Vencimiento</t>
        </is>
      </c>
      <c r="E1" s="1" t="inlineStr">
        <is>
          <t>Días</t>
        </is>
      </c>
      <c r="F1" s="1" t="inlineStr">
        <is>
          <t>% Interés</t>
        </is>
      </c>
      <c r="G1" s="1" t="inlineStr">
        <is>
          <t>% Comisión</t>
        </is>
      </c>
      <c r="H1" s="1" t="inlineStr">
        <is>
          <t>Total Comisión</t>
        </is>
      </c>
      <c r="I1" s="1" t="inlineStr">
        <is>
          <t>Total Interés</t>
        </is>
      </c>
      <c r="J1" s="1" t="inlineStr">
        <is>
          <t>% Reparto</t>
        </is>
      </c>
      <c r="K1" s="1" t="inlineStr">
        <is>
          <t>Comisión Prisma</t>
        </is>
      </c>
      <c r="L1" s="1" t="inlineStr">
        <is>
          <t>Interés Prisma</t>
        </is>
      </c>
      <c r="M1" s="1" t="inlineStr">
        <is>
          <t>Calculo
com Prisma</t>
        </is>
      </c>
      <c r="N1" s="1" t="inlineStr">
        <is>
          <t>Calculo
int prisma</t>
        </is>
      </c>
      <c r="O1" s="1" t="inlineStr">
        <is>
          <t>Total
diferencia</t>
        </is>
      </c>
    </row>
    <row r="2">
      <c r="A2" s="2" t="inlineStr">
        <is>
          <t>A39063221</t>
        </is>
      </c>
      <c r="B2" s="4" t="n">
        <v>763.46</v>
      </c>
      <c r="C2" s="3" t="n">
        <v>46013</v>
      </c>
      <c r="D2" s="3" t="n">
        <v>46100</v>
      </c>
      <c r="E2" s="2" t="n">
        <v>87</v>
      </c>
      <c r="F2" s="2" t="n">
        <v>4.12</v>
      </c>
      <c r="G2" s="2" t="n">
        <v>1.91</v>
      </c>
      <c r="H2" s="4" t="n">
        <v>14.58</v>
      </c>
      <c r="I2" s="4" t="n">
        <v>7.6</v>
      </c>
      <c r="J2" s="2" t="n">
        <v>20</v>
      </c>
      <c r="K2" s="4" t="n">
        <v>2.87</v>
      </c>
      <c r="L2" s="4" t="n">
        <v>1.34</v>
      </c>
      <c r="M2" s="4">
        <f>B2*(G2/100)*(J2/100)</f>
        <v/>
      </c>
      <c r="N2" s="4">
        <f>B2*(F2/360/100)*E2*(J2/100)</f>
        <v/>
      </c>
      <c r="O2" s="4">
        <f>K2-M2+L2-N2</f>
        <v/>
      </c>
    </row>
    <row r="3">
      <c r="A3" s="2" t="inlineStr">
        <is>
          <t>A39063221</t>
        </is>
      </c>
      <c r="B3" s="4" t="n">
        <v>581.52</v>
      </c>
      <c r="C3" s="3" t="n">
        <v>45999</v>
      </c>
      <c r="D3" s="3" t="n">
        <v>46035</v>
      </c>
      <c r="E3" s="2" t="n">
        <v>36</v>
      </c>
      <c r="F3" s="2" t="n">
        <v>5.25</v>
      </c>
      <c r="G3" s="2" t="n">
        <v>1.09</v>
      </c>
      <c r="H3" s="4" t="n">
        <v>6.34</v>
      </c>
      <c r="I3" s="4" t="n">
        <v>3.05</v>
      </c>
      <c r="J3" s="2" t="n">
        <v>20</v>
      </c>
      <c r="K3" s="4" t="n">
        <v>1.12</v>
      </c>
      <c r="L3" s="4" t="n">
        <v>0.37</v>
      </c>
      <c r="M3" s="4">
        <f>B3*(G3/100)*(J3/100)</f>
        <v/>
      </c>
      <c r="N3" s="4">
        <f>B3*(F3/360/100)*E3*(J3/100)</f>
        <v/>
      </c>
      <c r="O3" s="4">
        <f>K3-M3+L3-N3</f>
        <v/>
      </c>
    </row>
    <row r="4">
      <c r="A4" s="2" t="inlineStr">
        <is>
          <t>A39063221</t>
        </is>
      </c>
      <c r="B4" s="4" t="n">
        <v>3210.5</v>
      </c>
      <c r="C4" s="3" t="n">
        <v>46002</v>
      </c>
      <c r="D4" s="3" t="n">
        <v>46040</v>
      </c>
      <c r="E4" s="2" t="n">
        <v>38</v>
      </c>
      <c r="F4" s="2" t="n">
        <v>5.62</v>
      </c>
      <c r="G4" s="2" t="n">
        <v>0.58</v>
      </c>
      <c r="H4" s="4" t="n">
        <v>18.62</v>
      </c>
      <c r="I4" s="4" t="n">
        <v>19.05</v>
      </c>
      <c r="J4" s="2" t="n">
        <v>50</v>
      </c>
      <c r="K4" s="4" t="n">
        <v>9.279999999999999</v>
      </c>
      <c r="L4" s="4" t="n">
        <v>9.26</v>
      </c>
      <c r="M4" s="4">
        <f>B4*(G4/100)*(J4/100)</f>
        <v/>
      </c>
      <c r="N4" s="4">
        <f>B4*(F4/360/100)*E4*(J4/100)</f>
        <v/>
      </c>
      <c r="O4" s="4">
        <f>K4-M4+L4-N4</f>
        <v/>
      </c>
    </row>
    <row r="5">
      <c r="A5" s="2" t="inlineStr">
        <is>
          <t>B09652862</t>
        </is>
      </c>
      <c r="B5" s="4" t="n">
        <v>788.96</v>
      </c>
      <c r="C5" s="3" t="n">
        <v>46004</v>
      </c>
      <c r="D5" s="3" t="n">
        <v>46087</v>
      </c>
      <c r="E5" s="2" t="n">
        <v>83</v>
      </c>
      <c r="F5" s="2" t="n">
        <v>6.41</v>
      </c>
      <c r="G5" s="2" t="n">
        <v>0.59</v>
      </c>
      <c r="H5" s="4" t="n">
        <v>4.65</v>
      </c>
      <c r="I5" s="4" t="n">
        <v>11.66</v>
      </c>
      <c r="J5" s="2" t="n">
        <v>30</v>
      </c>
      <c r="K5" s="4" t="n">
        <v>1.18</v>
      </c>
      <c r="L5" s="4" t="n">
        <v>3.75</v>
      </c>
      <c r="M5" s="4">
        <f>B5*(G5/100)*(J5/100)</f>
        <v/>
      </c>
      <c r="N5" s="4">
        <f>B5*(F5/360/100)*E5*(J5/100)</f>
        <v/>
      </c>
      <c r="O5" s="4">
        <f>K5-M5+L5-N5</f>
        <v/>
      </c>
    </row>
    <row r="6">
      <c r="A6" s="2" t="inlineStr">
        <is>
          <t>B09652862</t>
        </is>
      </c>
      <c r="B6" s="4" t="n">
        <v>249.12</v>
      </c>
      <c r="C6" s="3" t="n">
        <v>46003</v>
      </c>
      <c r="D6" s="3" t="n">
        <v>46082</v>
      </c>
      <c r="E6" s="2" t="n">
        <v>79</v>
      </c>
      <c r="F6" s="2" t="n">
        <v>3.65</v>
      </c>
      <c r="G6" s="2" t="n">
        <v>1.3</v>
      </c>
      <c r="H6" s="4" t="n">
        <v>3.24</v>
      </c>
      <c r="I6" s="4" t="n">
        <v>2</v>
      </c>
      <c r="J6" s="2" t="n">
        <v>30</v>
      </c>
      <c r="K6" s="4" t="n">
        <v>0.75</v>
      </c>
      <c r="L6" s="4" t="n">
        <v>0.83</v>
      </c>
      <c r="M6" s="4">
        <f>B6*(G6/100)*(J6/100)</f>
        <v/>
      </c>
      <c r="N6" s="4">
        <f>B6*(F6/360/100)*E6*(J6/100)</f>
        <v/>
      </c>
      <c r="O6" s="4">
        <f>K6-M6+L6-N6</f>
        <v/>
      </c>
    </row>
    <row r="7">
      <c r="A7" s="2" t="inlineStr">
        <is>
          <t>B09652862</t>
        </is>
      </c>
      <c r="B7" s="4" t="n">
        <v>9064.09</v>
      </c>
      <c r="C7" s="3" t="n">
        <v>46015</v>
      </c>
      <c r="D7" s="3" t="n">
        <v>46050</v>
      </c>
      <c r="E7" s="2" t="n">
        <v>35</v>
      </c>
      <c r="F7" s="2" t="n">
        <v>5.62</v>
      </c>
      <c r="G7" s="2" t="n">
        <v>1.25</v>
      </c>
      <c r="H7" s="4" t="n">
        <v>113.3</v>
      </c>
      <c r="I7" s="4" t="n">
        <v>49.53</v>
      </c>
      <c r="J7" s="2" t="n">
        <v>20</v>
      </c>
      <c r="K7" s="4" t="n">
        <v>22.83</v>
      </c>
      <c r="L7" s="4" t="n">
        <v>10.09</v>
      </c>
      <c r="M7" s="4">
        <f>B7*(G7/100)*(J7/100)</f>
        <v/>
      </c>
      <c r="N7" s="4">
        <f>B7*(F7/360/100)*E7*(J7/100)</f>
        <v/>
      </c>
      <c r="O7" s="4">
        <f>K7-M7+L7-N7</f>
        <v/>
      </c>
    </row>
    <row r="8">
      <c r="A8" s="2" t="inlineStr">
        <is>
          <t>B99439940</t>
        </is>
      </c>
      <c r="B8" s="4" t="n">
        <v>862.15</v>
      </c>
      <c r="C8" s="3" t="n">
        <v>45997</v>
      </c>
      <c r="D8" s="3" t="n">
        <v>46055</v>
      </c>
      <c r="E8" s="2" t="n">
        <v>58</v>
      </c>
      <c r="F8" s="2" t="n">
        <v>3.94</v>
      </c>
      <c r="G8" s="2" t="n">
        <v>0.73</v>
      </c>
      <c r="H8" s="4" t="n">
        <v>6.29</v>
      </c>
      <c r="I8" s="4" t="n">
        <v>5.47</v>
      </c>
      <c r="J8" s="2" t="n">
        <v>20</v>
      </c>
      <c r="K8" s="4" t="n">
        <v>1.16</v>
      </c>
      <c r="L8" s="4" t="n">
        <v>1.35</v>
      </c>
      <c r="M8" s="4">
        <f>B8*(G8/100)*(J8/100)</f>
        <v/>
      </c>
      <c r="N8" s="4">
        <f>B8*(F8/360/100)*E8*(J8/100)</f>
        <v/>
      </c>
      <c r="O8" s="4">
        <f>K8-M8+L8-N8</f>
        <v/>
      </c>
    </row>
    <row r="9">
      <c r="A9" s="2" t="inlineStr">
        <is>
          <t>B99439940</t>
        </is>
      </c>
      <c r="B9" s="4" t="n">
        <v>138.66</v>
      </c>
      <c r="C9" s="3" t="n">
        <v>46005</v>
      </c>
      <c r="D9" s="3" t="n">
        <v>46037</v>
      </c>
      <c r="E9" s="2" t="n">
        <v>32</v>
      </c>
      <c r="F9" s="2" t="n">
        <v>4.6</v>
      </c>
      <c r="G9" s="2" t="n">
        <v>1.89</v>
      </c>
      <c r="H9" s="4" t="n">
        <v>2.62</v>
      </c>
      <c r="I9" s="4" t="n">
        <v>0.57</v>
      </c>
      <c r="J9" s="2" t="n">
        <v>70</v>
      </c>
      <c r="K9" s="4" t="n">
        <v>1.58</v>
      </c>
      <c r="L9" s="4" t="n">
        <v>0.15</v>
      </c>
      <c r="M9" s="4">
        <f>B9*(G9/100)*(J9/100)</f>
        <v/>
      </c>
      <c r="N9" s="4">
        <f>B9*(F9/360/100)*E9*(J9/100)</f>
        <v/>
      </c>
      <c r="O9" s="4">
        <f>K9-M9+L9-N9</f>
        <v/>
      </c>
    </row>
    <row r="10">
      <c r="A10" s="2" t="inlineStr">
        <is>
          <t>B99439940</t>
        </is>
      </c>
      <c r="B10" s="4" t="n">
        <v>1007</v>
      </c>
      <c r="C10" s="3" t="n">
        <v>45998</v>
      </c>
      <c r="D10" s="3" t="n">
        <v>46070</v>
      </c>
      <c r="E10" s="2" t="n">
        <v>72</v>
      </c>
      <c r="F10" s="2" t="n">
        <v>3.88</v>
      </c>
      <c r="G10" s="2" t="n">
        <v>0.96</v>
      </c>
      <c r="H10" s="4" t="n">
        <v>9.67</v>
      </c>
      <c r="I10" s="4" t="n">
        <v>7.81</v>
      </c>
      <c r="J10" s="2" t="n">
        <v>30</v>
      </c>
      <c r="K10" s="4" t="n">
        <v>3.1</v>
      </c>
      <c r="L10" s="4" t="n">
        <v>2.3</v>
      </c>
      <c r="M10" s="4">
        <f>B10*(G10/100)*(J10/100)</f>
        <v/>
      </c>
      <c r="N10" s="4">
        <f>B10*(F10/360/100)*E10*(J10/100)</f>
        <v/>
      </c>
      <c r="O10" s="4">
        <f>K10-M10+L10-N10</f>
        <v/>
      </c>
    </row>
    <row r="11">
      <c r="A11" s="2" t="inlineStr">
        <is>
          <t>B04439065</t>
        </is>
      </c>
      <c r="B11" s="4" t="n">
        <v>8047.87</v>
      </c>
      <c r="C11" s="3" t="n">
        <v>46008</v>
      </c>
      <c r="D11" s="3" t="n">
        <v>46044</v>
      </c>
      <c r="E11" s="2" t="n">
        <v>36</v>
      </c>
      <c r="F11" s="2" t="n">
        <v>5.89</v>
      </c>
      <c r="G11" s="2" t="n">
        <v>0.93</v>
      </c>
      <c r="H11" s="4" t="n">
        <v>74.84999999999999</v>
      </c>
      <c r="I11" s="4" t="n">
        <v>47.4</v>
      </c>
      <c r="J11" s="2" t="n">
        <v>40</v>
      </c>
      <c r="K11" s="4" t="n">
        <v>30.2</v>
      </c>
      <c r="L11" s="4" t="n">
        <v>18.85</v>
      </c>
      <c r="M11" s="4">
        <f>B11*(G11/100)*(J11/100)</f>
        <v/>
      </c>
      <c r="N11" s="4">
        <f>B11*(F11/360/100)*E11*(J11/100)</f>
        <v/>
      </c>
      <c r="O11" s="4">
        <f>K11-M11+L11-N11</f>
        <v/>
      </c>
    </row>
    <row r="12">
      <c r="A12" s="2" t="inlineStr">
        <is>
          <t>B04439065</t>
        </is>
      </c>
      <c r="B12" s="4" t="n">
        <v>708.42</v>
      </c>
      <c r="C12" s="3" t="n">
        <v>46009</v>
      </c>
      <c r="D12" s="3" t="n">
        <v>46057</v>
      </c>
      <c r="E12" s="2" t="n">
        <v>48</v>
      </c>
      <c r="F12" s="2" t="n">
        <v>4.3</v>
      </c>
      <c r="G12" s="2" t="n">
        <v>0.84</v>
      </c>
      <c r="H12" s="4" t="n">
        <v>5.95</v>
      </c>
      <c r="I12" s="4" t="n">
        <v>4.06</v>
      </c>
      <c r="J12" s="2" t="n">
        <v>60</v>
      </c>
      <c r="K12" s="4" t="n">
        <v>3.76</v>
      </c>
      <c r="L12" s="4" t="n">
        <v>2.48</v>
      </c>
      <c r="M12" s="4">
        <f>B12*(G12/100)*(J12/100)</f>
        <v/>
      </c>
      <c r="N12" s="4">
        <f>B12*(F12/360/100)*E12*(J12/100)</f>
        <v/>
      </c>
      <c r="O12" s="4">
        <f>K12-M12+L12-N12</f>
        <v/>
      </c>
    </row>
    <row r="13">
      <c r="A13" s="2" t="inlineStr">
        <is>
          <t>A27472379</t>
        </is>
      </c>
      <c r="B13" s="4" t="n">
        <v>650.89</v>
      </c>
      <c r="C13" s="3" t="n">
        <v>46005</v>
      </c>
      <c r="D13" s="3" t="n">
        <v>46051</v>
      </c>
      <c r="E13" s="2" t="n">
        <v>46</v>
      </c>
      <c r="F13" s="2" t="n">
        <v>3.82</v>
      </c>
      <c r="G13" s="2" t="n">
        <v>0.5</v>
      </c>
      <c r="H13" s="4" t="n">
        <v>3.25</v>
      </c>
      <c r="I13" s="4" t="n">
        <v>3.18</v>
      </c>
      <c r="J13" s="2" t="n">
        <v>60</v>
      </c>
      <c r="K13" s="4" t="n">
        <v>1.9</v>
      </c>
      <c r="L13" s="4" t="n">
        <v>2.06</v>
      </c>
      <c r="M13" s="4">
        <f>B13*(G13/100)*(J13/100)</f>
        <v/>
      </c>
      <c r="N13" s="4">
        <f>B13*(F13/360/100)*E13*(J13/100)</f>
        <v/>
      </c>
      <c r="O13" s="4">
        <f>K13-M13+L13-N13</f>
        <v/>
      </c>
    </row>
    <row r="14">
      <c r="A14" s="2" t="inlineStr">
        <is>
          <t>A27472379</t>
        </is>
      </c>
      <c r="B14" s="4" t="n">
        <v>287.71</v>
      </c>
      <c r="C14" s="3" t="n">
        <v>46018</v>
      </c>
      <c r="D14" s="3" t="n">
        <v>46097</v>
      </c>
      <c r="E14" s="2" t="n">
        <v>79</v>
      </c>
      <c r="F14" s="2" t="n">
        <v>5.53</v>
      </c>
      <c r="G14" s="2" t="n">
        <v>1.58</v>
      </c>
      <c r="H14" s="4" t="n">
        <v>4.55</v>
      </c>
      <c r="I14" s="4" t="n">
        <v>3.49</v>
      </c>
      <c r="J14" s="2" t="n">
        <v>70</v>
      </c>
      <c r="K14" s="4" t="n">
        <v>3.25</v>
      </c>
      <c r="L14" s="4" t="n">
        <v>2.15</v>
      </c>
      <c r="M14" s="4">
        <f>B14*(G14/100)*(J14/100)</f>
        <v/>
      </c>
      <c r="N14" s="4">
        <f>B14*(F14/360/100)*E14*(J14/100)</f>
        <v/>
      </c>
      <c r="O14" s="4">
        <f>K14-M14+L14-N14</f>
        <v/>
      </c>
    </row>
    <row r="15">
      <c r="A15" s="2" t="inlineStr">
        <is>
          <t>A27472379</t>
        </is>
      </c>
      <c r="B15" s="4" t="n">
        <v>1072.79</v>
      </c>
      <c r="C15" s="3" t="n">
        <v>46001</v>
      </c>
      <c r="D15" s="3" t="n">
        <v>46057</v>
      </c>
      <c r="E15" s="2" t="n">
        <v>56</v>
      </c>
      <c r="F15" s="2" t="n">
        <v>4.74</v>
      </c>
      <c r="G15" s="2" t="n">
        <v>1.28</v>
      </c>
      <c r="H15" s="4" t="n">
        <v>13.73</v>
      </c>
      <c r="I15" s="4" t="n">
        <v>7.91</v>
      </c>
      <c r="J15" s="2" t="n">
        <v>20</v>
      </c>
      <c r="K15" s="4" t="n">
        <v>2.94</v>
      </c>
      <c r="L15" s="4" t="n">
        <v>1.62</v>
      </c>
      <c r="M15" s="4">
        <f>B15*(G15/100)*(J15/100)</f>
        <v/>
      </c>
      <c r="N15" s="4">
        <f>B15*(F15/360/100)*E15*(J15/100)</f>
        <v/>
      </c>
      <c r="O15" s="4">
        <f>K15-M15+L15-N15</f>
        <v/>
      </c>
    </row>
    <row r="16">
      <c r="A16" s="2" t="inlineStr">
        <is>
          <t>B19269355</t>
        </is>
      </c>
      <c r="B16" s="4" t="n">
        <v>433.99</v>
      </c>
      <c r="C16" s="3" t="n">
        <v>46001</v>
      </c>
      <c r="D16" s="3" t="n">
        <v>46046</v>
      </c>
      <c r="E16" s="2" t="n">
        <v>45</v>
      </c>
      <c r="F16" s="2" t="n">
        <v>6.44</v>
      </c>
      <c r="G16" s="2" t="n">
        <v>1.63</v>
      </c>
      <c r="H16" s="4" t="n">
        <v>7.07</v>
      </c>
      <c r="I16" s="4" t="n">
        <v>3.49</v>
      </c>
      <c r="J16" s="2" t="n">
        <v>60</v>
      </c>
      <c r="K16" s="4" t="n">
        <v>4.15</v>
      </c>
      <c r="L16" s="4" t="n">
        <v>1.95</v>
      </c>
      <c r="M16" s="4">
        <f>B16*(G16/100)*(J16/100)</f>
        <v/>
      </c>
      <c r="N16" s="4">
        <f>B16*(F16/360/100)*E16*(J16/100)</f>
        <v/>
      </c>
      <c r="O16" s="4">
        <f>K16-M16+L16-N16</f>
        <v/>
      </c>
    </row>
    <row r="17">
      <c r="A17" s="2" t="inlineStr">
        <is>
          <t>B19269355</t>
        </is>
      </c>
      <c r="B17" s="4" t="n">
        <v>959.52</v>
      </c>
      <c r="C17" s="3" t="n">
        <v>46013</v>
      </c>
      <c r="D17" s="3" t="n">
        <v>46088</v>
      </c>
      <c r="E17" s="2" t="n">
        <v>75</v>
      </c>
      <c r="F17" s="2" t="n">
        <v>6.6</v>
      </c>
      <c r="G17" s="2" t="n">
        <v>1.57</v>
      </c>
      <c r="H17" s="4" t="n">
        <v>15.06</v>
      </c>
      <c r="I17" s="4" t="n">
        <v>13.19</v>
      </c>
      <c r="J17" s="2" t="n">
        <v>50</v>
      </c>
      <c r="K17" s="4" t="n">
        <v>7.35</v>
      </c>
      <c r="L17" s="4" t="n">
        <v>6.75</v>
      </c>
      <c r="M17" s="4">
        <f>B17*(G17/100)*(J17/100)</f>
        <v/>
      </c>
      <c r="N17" s="4">
        <f>B17*(F17/360/100)*E17*(J17/100)</f>
        <v/>
      </c>
      <c r="O17" s="4">
        <f>K17-M17+L17-N17</f>
        <v/>
      </c>
    </row>
    <row r="18">
      <c r="A18" s="2" t="inlineStr">
        <is>
          <t>B19269355</t>
        </is>
      </c>
      <c r="B18" s="4" t="n">
        <v>155.02</v>
      </c>
      <c r="C18" s="3" t="n">
        <v>46012</v>
      </c>
      <c r="D18" s="3" t="n">
        <v>46099</v>
      </c>
      <c r="E18" s="2" t="n">
        <v>87</v>
      </c>
      <c r="F18" s="2" t="n">
        <v>4.59</v>
      </c>
      <c r="G18" s="2" t="n">
        <v>1.49</v>
      </c>
      <c r="H18" s="4" t="n">
        <v>2.31</v>
      </c>
      <c r="I18" s="4" t="n">
        <v>1.72</v>
      </c>
      <c r="J18" s="2" t="n">
        <v>20</v>
      </c>
      <c r="K18" s="4" t="n">
        <v>0.64</v>
      </c>
      <c r="L18" s="4" t="n">
        <v>0.45</v>
      </c>
      <c r="M18" s="4">
        <f>B18*(G18/100)*(J18/100)</f>
        <v/>
      </c>
      <c r="N18" s="4">
        <f>B18*(F18/360/100)*E18*(J18/100)</f>
        <v/>
      </c>
      <c r="O18" s="4">
        <f>K18-M18+L18-N18</f>
        <v/>
      </c>
    </row>
    <row r="19">
      <c r="A19" s="2" t="inlineStr">
        <is>
          <t>A46903243</t>
        </is>
      </c>
      <c r="B19" s="4" t="n">
        <v>8163.68</v>
      </c>
      <c r="C19" s="3" t="n">
        <v>46018</v>
      </c>
      <c r="D19" s="3" t="n">
        <v>46061</v>
      </c>
      <c r="E19" s="2" t="n">
        <v>43</v>
      </c>
      <c r="F19" s="2" t="n">
        <v>4.42</v>
      </c>
      <c r="G19" s="2" t="n">
        <v>1.2</v>
      </c>
      <c r="H19" s="4" t="n">
        <v>97.95999999999999</v>
      </c>
      <c r="I19" s="4" t="n">
        <v>43.1</v>
      </c>
      <c r="J19" s="2" t="n">
        <v>70</v>
      </c>
      <c r="K19" s="4" t="n">
        <v>68.78</v>
      </c>
      <c r="L19" s="4" t="n">
        <v>30.12</v>
      </c>
      <c r="M19" s="4">
        <f>B19*(G19/100)*(J19/100)</f>
        <v/>
      </c>
      <c r="N19" s="4">
        <f>B19*(F19/360/100)*E19*(J19/100)</f>
        <v/>
      </c>
      <c r="O19" s="4">
        <f>K19-M19+L19-N19</f>
        <v/>
      </c>
    </row>
    <row r="20">
      <c r="A20" s="2" t="inlineStr">
        <is>
          <t>A46903243</t>
        </is>
      </c>
      <c r="B20" s="4" t="n">
        <v>854.9299999999999</v>
      </c>
      <c r="C20" s="3" t="n">
        <v>45992</v>
      </c>
      <c r="D20" s="3" t="n">
        <v>46022</v>
      </c>
      <c r="E20" s="2" t="n">
        <v>30</v>
      </c>
      <c r="F20" s="2" t="n">
        <v>5.76</v>
      </c>
      <c r="G20" s="2" t="n">
        <v>0.76</v>
      </c>
      <c r="H20" s="4" t="n">
        <v>6.5</v>
      </c>
      <c r="I20" s="4" t="n">
        <v>4.1</v>
      </c>
      <c r="J20" s="2" t="n">
        <v>50</v>
      </c>
      <c r="K20" s="4" t="n">
        <v>3.09</v>
      </c>
      <c r="L20" s="4" t="n">
        <v>2.01</v>
      </c>
      <c r="M20" s="4">
        <f>B20*(G20/100)*(J20/100)</f>
        <v/>
      </c>
      <c r="N20" s="4">
        <f>B20*(F20/360/100)*E20*(J20/100)</f>
        <v/>
      </c>
      <c r="O20" s="4">
        <f>K20-M20+L20-N20</f>
        <v/>
      </c>
    </row>
    <row r="21">
      <c r="A21" s="2" t="inlineStr">
        <is>
          <t>A02265641</t>
        </is>
      </c>
      <c r="B21" s="4" t="n">
        <v>723.53</v>
      </c>
      <c r="C21" s="3" t="n">
        <v>46005</v>
      </c>
      <c r="D21" s="3" t="n">
        <v>46064</v>
      </c>
      <c r="E21" s="2" t="n">
        <v>59</v>
      </c>
      <c r="F21" s="2" t="n">
        <v>3.85</v>
      </c>
      <c r="G21" s="2" t="n">
        <v>1.78</v>
      </c>
      <c r="H21" s="4" t="n">
        <v>12.88</v>
      </c>
      <c r="I21" s="4" t="n">
        <v>4.57</v>
      </c>
      <c r="J21" s="2" t="n">
        <v>40</v>
      </c>
      <c r="K21" s="4" t="n">
        <v>5.28</v>
      </c>
      <c r="L21" s="4" t="n">
        <v>1.56</v>
      </c>
      <c r="M21" s="4">
        <f>B21*(G21/100)*(J21/100)</f>
        <v/>
      </c>
      <c r="N21" s="4">
        <f>B21*(F21/360/100)*E21*(J21/100)</f>
        <v/>
      </c>
      <c r="O21" s="4">
        <f>K21-M21+L21-N21</f>
        <v/>
      </c>
    </row>
    <row r="22">
      <c r="A22" s="2" t="inlineStr">
        <is>
          <t>A02265641</t>
        </is>
      </c>
      <c r="B22" s="4" t="n">
        <v>6847.84</v>
      </c>
      <c r="C22" s="3" t="n">
        <v>46000</v>
      </c>
      <c r="D22" s="3" t="n">
        <v>46073</v>
      </c>
      <c r="E22" s="2" t="n">
        <v>73</v>
      </c>
      <c r="F22" s="2" t="n">
        <v>6.53</v>
      </c>
      <c r="G22" s="2" t="n">
        <v>1.33</v>
      </c>
      <c r="H22" s="4" t="n">
        <v>91.08</v>
      </c>
      <c r="I22" s="4" t="n">
        <v>90.67</v>
      </c>
      <c r="J22" s="2" t="n">
        <v>40</v>
      </c>
      <c r="K22" s="4" t="n">
        <v>36.37</v>
      </c>
      <c r="L22" s="4" t="n">
        <v>36.3</v>
      </c>
      <c r="M22" s="4">
        <f>B22*(G22/100)*(J22/100)</f>
        <v/>
      </c>
      <c r="N22" s="4">
        <f>B22*(F22/360/100)*E22*(J22/100)</f>
        <v/>
      </c>
      <c r="O22" s="4">
        <f>K22-M22+L22-N22</f>
        <v/>
      </c>
    </row>
    <row r="23">
      <c r="A23" s="2" t="inlineStr">
        <is>
          <t>A02265641</t>
        </is>
      </c>
      <c r="B23" s="4" t="n">
        <v>9680.85</v>
      </c>
      <c r="C23" s="3" t="n">
        <v>46015</v>
      </c>
      <c r="D23" s="3" t="n">
        <v>46047</v>
      </c>
      <c r="E23" s="2" t="n">
        <v>32</v>
      </c>
      <c r="F23" s="2" t="n">
        <v>4.94</v>
      </c>
      <c r="G23" s="2" t="n">
        <v>0.67</v>
      </c>
      <c r="H23" s="4" t="n">
        <v>64.86</v>
      </c>
      <c r="I23" s="4" t="n">
        <v>42.51</v>
      </c>
      <c r="J23" s="2" t="n">
        <v>40</v>
      </c>
      <c r="K23" s="4" t="n">
        <v>25.93</v>
      </c>
      <c r="L23" s="4" t="n">
        <v>16.95</v>
      </c>
      <c r="M23" s="4">
        <f>B23*(G23/100)*(J23/100)</f>
        <v/>
      </c>
      <c r="N23" s="4">
        <f>B23*(F23/360/100)*E23*(J23/100)</f>
        <v/>
      </c>
      <c r="O23" s="4">
        <f>K23-M23+L23-N23</f>
        <v/>
      </c>
    </row>
    <row r="24">
      <c r="A24" s="2" t="inlineStr">
        <is>
          <t>B89044566</t>
        </is>
      </c>
      <c r="B24" s="4" t="n">
        <v>458.36</v>
      </c>
      <c r="C24" s="3" t="n">
        <v>46003</v>
      </c>
      <c r="D24" s="3" t="n">
        <v>46056</v>
      </c>
      <c r="E24" s="2" t="n">
        <v>53</v>
      </c>
      <c r="F24" s="2" t="n">
        <v>4.16</v>
      </c>
      <c r="G24" s="2" t="n">
        <v>1.78</v>
      </c>
      <c r="H24" s="4" t="n">
        <v>8.16</v>
      </c>
      <c r="I24" s="4" t="n">
        <v>2.81</v>
      </c>
      <c r="J24" s="2" t="n">
        <v>30</v>
      </c>
      <c r="K24" s="4" t="n">
        <v>2.4</v>
      </c>
      <c r="L24" s="4" t="n">
        <v>0.88</v>
      </c>
      <c r="M24" s="4">
        <f>B24*(G24/100)*(J24/100)</f>
        <v/>
      </c>
      <c r="N24" s="4">
        <f>B24*(F24/360/100)*E24*(J24/100)</f>
        <v/>
      </c>
      <c r="O24" s="4">
        <f>K24-M24+L24-N24</f>
        <v/>
      </c>
    </row>
    <row r="25">
      <c r="A25" s="2" t="inlineStr">
        <is>
          <t>B89044566</t>
        </is>
      </c>
      <c r="B25" s="4" t="n">
        <v>4006.47</v>
      </c>
      <c r="C25" s="3" t="n">
        <v>46009</v>
      </c>
      <c r="D25" s="3" t="n">
        <v>46066</v>
      </c>
      <c r="E25" s="2" t="n">
        <v>57</v>
      </c>
      <c r="F25" s="2" t="n">
        <v>5.17</v>
      </c>
      <c r="G25" s="2" t="n">
        <v>1.76</v>
      </c>
      <c r="H25" s="4" t="n">
        <v>70.51000000000001</v>
      </c>
      <c r="I25" s="4" t="n">
        <v>32.8</v>
      </c>
      <c r="J25" s="2" t="n">
        <v>40</v>
      </c>
      <c r="K25" s="4" t="n">
        <v>28.24</v>
      </c>
      <c r="L25" s="4" t="n">
        <v>13.17</v>
      </c>
      <c r="M25" s="4">
        <f>B25*(G25/100)*(J25/100)</f>
        <v/>
      </c>
      <c r="N25" s="4">
        <f>B25*(F25/360/100)*E25*(J25/100)</f>
        <v/>
      </c>
      <c r="O25" s="4">
        <f>K25-M25+L25-N25</f>
        <v/>
      </c>
    </row>
    <row r="26">
      <c r="A26" s="2" t="inlineStr">
        <is>
          <t>B89044566</t>
        </is>
      </c>
      <c r="B26" s="4" t="n">
        <v>193.37</v>
      </c>
      <c r="C26" s="3" t="n">
        <v>46012</v>
      </c>
      <c r="D26" s="3" t="n">
        <v>46065</v>
      </c>
      <c r="E26" s="2" t="n">
        <v>53</v>
      </c>
      <c r="F26" s="2" t="n">
        <v>3.87</v>
      </c>
      <c r="G26" s="2" t="n">
        <v>1.67</v>
      </c>
      <c r="H26" s="4" t="n">
        <v>3.23</v>
      </c>
      <c r="I26" s="4" t="n">
        <v>1.1</v>
      </c>
      <c r="J26" s="2" t="n">
        <v>20</v>
      </c>
      <c r="K26" s="4" t="n">
        <v>0.91</v>
      </c>
      <c r="L26" s="4" t="n">
        <v>0.48</v>
      </c>
      <c r="M26" s="4">
        <f>B26*(G26/100)*(J26/100)</f>
        <v/>
      </c>
      <c r="N26" s="4">
        <f>B26*(F26/360/100)*E26*(J26/100)</f>
        <v/>
      </c>
      <c r="O26" s="4">
        <f>K26-M26+L26-N26</f>
        <v/>
      </c>
    </row>
    <row r="27">
      <c r="A27" s="2" t="inlineStr">
        <is>
          <t>A48764075</t>
        </is>
      </c>
      <c r="B27" s="4" t="n">
        <v>9919.42</v>
      </c>
      <c r="C27" s="3" t="n">
        <v>46006</v>
      </c>
      <c r="D27" s="3" t="n">
        <v>46075</v>
      </c>
      <c r="E27" s="2" t="n">
        <v>69</v>
      </c>
      <c r="F27" s="2" t="n">
        <v>3.82</v>
      </c>
      <c r="G27" s="2" t="n">
        <v>1.58</v>
      </c>
      <c r="H27" s="4" t="n">
        <v>156.73</v>
      </c>
      <c r="I27" s="4" t="n">
        <v>72.63</v>
      </c>
      <c r="J27" s="2" t="n">
        <v>70</v>
      </c>
      <c r="K27" s="4" t="n">
        <v>109.65</v>
      </c>
      <c r="L27" s="4" t="n">
        <v>51.12</v>
      </c>
      <c r="M27" s="4">
        <f>B27*(G27/100)*(J27/100)</f>
        <v/>
      </c>
      <c r="N27" s="4">
        <f>B27*(F27/360/100)*E27*(J27/100)</f>
        <v/>
      </c>
      <c r="O27" s="4">
        <f>K27-M27+L27-N27</f>
        <v/>
      </c>
    </row>
    <row r="28">
      <c r="A28" s="2" t="inlineStr">
        <is>
          <t>A48764075</t>
        </is>
      </c>
      <c r="B28" s="4" t="n">
        <v>942.5</v>
      </c>
      <c r="C28" s="3" t="n">
        <v>46013</v>
      </c>
      <c r="D28" s="3" t="n">
        <v>46102</v>
      </c>
      <c r="E28" s="2" t="n">
        <v>89</v>
      </c>
      <c r="F28" s="2" t="n">
        <v>5.3</v>
      </c>
      <c r="G28" s="2" t="n">
        <v>1.3</v>
      </c>
      <c r="H28" s="4" t="n">
        <v>12.25</v>
      </c>
      <c r="I28" s="4" t="n">
        <v>12.35</v>
      </c>
      <c r="J28" s="2" t="n">
        <v>50</v>
      </c>
      <c r="K28" s="4" t="n">
        <v>6.33</v>
      </c>
      <c r="L28" s="4" t="n">
        <v>6.02</v>
      </c>
      <c r="M28" s="4">
        <f>B28*(G28/100)*(J28/100)</f>
        <v/>
      </c>
      <c r="N28" s="4">
        <f>B28*(F28/360/100)*E28*(J28/100)</f>
        <v/>
      </c>
      <c r="O28" s="4">
        <f>K28-M28+L28-N28</f>
        <v/>
      </c>
    </row>
    <row r="29">
      <c r="A29" s="2" t="inlineStr">
        <is>
          <t>A33377985</t>
        </is>
      </c>
      <c r="B29" s="4" t="n">
        <v>701.73</v>
      </c>
      <c r="C29" s="3" t="n">
        <v>46016</v>
      </c>
      <c r="D29" s="3" t="n">
        <v>46085</v>
      </c>
      <c r="E29" s="2" t="n">
        <v>69</v>
      </c>
      <c r="F29" s="2" t="n">
        <v>3.97</v>
      </c>
      <c r="G29" s="2" t="n">
        <v>1.78</v>
      </c>
      <c r="H29" s="4" t="n">
        <v>12.49</v>
      </c>
      <c r="I29" s="4" t="n">
        <v>5.34</v>
      </c>
      <c r="J29" s="2" t="n">
        <v>20</v>
      </c>
      <c r="K29" s="4" t="n">
        <v>2.69</v>
      </c>
      <c r="L29" s="4" t="n">
        <v>1.35</v>
      </c>
      <c r="M29" s="4">
        <f>B29*(G29/100)*(J29/100)</f>
        <v/>
      </c>
      <c r="N29" s="4">
        <f>B29*(F29/360/100)*E29*(J29/100)</f>
        <v/>
      </c>
      <c r="O29" s="4">
        <f>K29-M29+L29-N29</f>
        <v/>
      </c>
    </row>
    <row r="30">
      <c r="A30" s="2" t="inlineStr">
        <is>
          <t>A33377985</t>
        </is>
      </c>
      <c r="B30" s="4" t="n">
        <v>233.85</v>
      </c>
      <c r="C30" s="3" t="n">
        <v>45996</v>
      </c>
      <c r="D30" s="3" t="n">
        <v>46068</v>
      </c>
      <c r="E30" s="2" t="n">
        <v>72</v>
      </c>
      <c r="F30" s="2" t="n">
        <v>5.6</v>
      </c>
      <c r="G30" s="2" t="n">
        <v>0.9</v>
      </c>
      <c r="H30" s="4" t="n">
        <v>2.1</v>
      </c>
      <c r="I30" s="4" t="n">
        <v>2.62</v>
      </c>
      <c r="J30" s="2" t="n">
        <v>60</v>
      </c>
      <c r="K30" s="4" t="n">
        <v>0.98</v>
      </c>
      <c r="L30" s="4" t="n">
        <v>1.59</v>
      </c>
      <c r="M30" s="4">
        <f>B30*(G30/100)*(J30/100)</f>
        <v/>
      </c>
      <c r="N30" s="4">
        <f>B30*(F30/360/100)*E30*(J30/100)</f>
        <v/>
      </c>
      <c r="O30" s="4">
        <f>K30-M30+L30-N30</f>
        <v/>
      </c>
    </row>
    <row r="31">
      <c r="A31" s="2" t="inlineStr">
        <is>
          <t>A38371798</t>
        </is>
      </c>
      <c r="B31" s="4" t="n">
        <v>2870.9</v>
      </c>
      <c r="C31" s="3" t="n">
        <v>45999</v>
      </c>
      <c r="D31" s="3" t="n">
        <v>46074</v>
      </c>
      <c r="E31" s="2" t="n">
        <v>75</v>
      </c>
      <c r="F31" s="2" t="n">
        <v>4.57</v>
      </c>
      <c r="G31" s="2" t="n">
        <v>1.95</v>
      </c>
      <c r="H31" s="4" t="n">
        <v>55.98</v>
      </c>
      <c r="I31" s="4" t="n">
        <v>27.33</v>
      </c>
      <c r="J31" s="2" t="n">
        <v>60</v>
      </c>
      <c r="K31" s="4" t="n">
        <v>33.39</v>
      </c>
      <c r="L31" s="4" t="n">
        <v>16.14</v>
      </c>
      <c r="M31" s="4">
        <f>B31*(G31/100)*(J31/100)</f>
        <v/>
      </c>
      <c r="N31" s="4">
        <f>B31*(F31/360/100)*E31*(J31/100)</f>
        <v/>
      </c>
      <c r="O31" s="4">
        <f>K31-M31+L31-N31</f>
        <v/>
      </c>
    </row>
    <row r="32">
      <c r="A32" s="2" t="inlineStr">
        <is>
          <t>A38371798</t>
        </is>
      </c>
      <c r="B32" s="4" t="n">
        <v>600.83</v>
      </c>
      <c r="C32" s="3" t="n">
        <v>45993</v>
      </c>
      <c r="D32" s="3" t="n">
        <v>46082</v>
      </c>
      <c r="E32" s="2" t="n">
        <v>89</v>
      </c>
      <c r="F32" s="2" t="n">
        <v>6.1</v>
      </c>
      <c r="G32" s="2" t="n">
        <v>0.72</v>
      </c>
      <c r="H32" s="4" t="n">
        <v>4.33</v>
      </c>
      <c r="I32" s="4" t="n">
        <v>9.06</v>
      </c>
      <c r="J32" s="2" t="n">
        <v>60</v>
      </c>
      <c r="K32" s="4" t="n">
        <v>2.63</v>
      </c>
      <c r="L32" s="4" t="n">
        <v>5.52</v>
      </c>
      <c r="M32" s="4">
        <f>B32*(G32/100)*(J32/100)</f>
        <v/>
      </c>
      <c r="N32" s="4">
        <f>B32*(F32/360/100)*E32*(J32/100)</f>
        <v/>
      </c>
      <c r="O32" s="4">
        <f>K32-M32+L32-N32</f>
        <v/>
      </c>
    </row>
    <row r="33">
      <c r="A33" s="2" t="inlineStr">
        <is>
          <t>A38371798</t>
        </is>
      </c>
      <c r="B33" s="4" t="n">
        <v>336.2</v>
      </c>
      <c r="C33" s="3" t="n">
        <v>46004</v>
      </c>
      <c r="D33" s="3" t="n">
        <v>46046</v>
      </c>
      <c r="E33" s="2" t="n">
        <v>42</v>
      </c>
      <c r="F33" s="2" t="n">
        <v>6.06</v>
      </c>
      <c r="G33" s="2" t="n">
        <v>0.64</v>
      </c>
      <c r="H33" s="4" t="n">
        <v>2.15</v>
      </c>
      <c r="I33" s="4" t="n">
        <v>2.38</v>
      </c>
      <c r="J33" s="2" t="n">
        <v>30</v>
      </c>
      <c r="K33" s="4" t="n">
        <v>0.76</v>
      </c>
      <c r="L33" s="4" t="n">
        <v>0.5</v>
      </c>
      <c r="M33" s="4">
        <f>B33*(G33/100)*(J33/100)</f>
        <v/>
      </c>
      <c r="N33" s="4">
        <f>B33*(F33/360/100)*E33*(J33/100)</f>
        <v/>
      </c>
      <c r="O33" s="4">
        <f>K33-M33+L33-N33</f>
        <v/>
      </c>
    </row>
    <row r="34">
      <c r="A34" s="2" t="inlineStr">
        <is>
          <t>B77143444</t>
        </is>
      </c>
      <c r="B34" s="4" t="n">
        <v>4526.03</v>
      </c>
      <c r="C34" s="3" t="n">
        <v>46000</v>
      </c>
      <c r="D34" s="3" t="n">
        <v>46055</v>
      </c>
      <c r="E34" s="2" t="n">
        <v>55</v>
      </c>
      <c r="F34" s="2" t="n">
        <v>4.89</v>
      </c>
      <c r="G34" s="2" t="n">
        <v>0.97</v>
      </c>
      <c r="H34" s="4" t="n">
        <v>43.9</v>
      </c>
      <c r="I34" s="4" t="n">
        <v>33.81</v>
      </c>
      <c r="J34" s="2" t="n">
        <v>70</v>
      </c>
      <c r="K34" s="4" t="n">
        <v>31</v>
      </c>
      <c r="L34" s="4" t="n">
        <v>23.65</v>
      </c>
      <c r="M34" s="4">
        <f>B34*(G34/100)*(J34/100)</f>
        <v/>
      </c>
      <c r="N34" s="4">
        <f>B34*(F34/360/100)*E34*(J34/100)</f>
        <v/>
      </c>
      <c r="O34" s="4">
        <f>K34-M34+L34-N34</f>
        <v/>
      </c>
    </row>
    <row r="35">
      <c r="A35" s="2" t="inlineStr">
        <is>
          <t>B77143444</t>
        </is>
      </c>
      <c r="B35" s="4" t="n">
        <v>7813.96</v>
      </c>
      <c r="C35" s="3" t="n">
        <v>46003</v>
      </c>
      <c r="D35" s="3" t="n">
        <v>46061</v>
      </c>
      <c r="E35" s="2" t="n">
        <v>58</v>
      </c>
      <c r="F35" s="2" t="n">
        <v>6.21</v>
      </c>
      <c r="G35" s="2" t="n">
        <v>0.57</v>
      </c>
      <c r="H35" s="4" t="n">
        <v>44.54</v>
      </c>
      <c r="I35" s="4" t="n">
        <v>78.18000000000001</v>
      </c>
      <c r="J35" s="2" t="n">
        <v>60</v>
      </c>
      <c r="K35" s="4" t="n">
        <v>27.02</v>
      </c>
      <c r="L35" s="4" t="n">
        <v>47.21</v>
      </c>
      <c r="M35" s="4">
        <f>B35*(G35/100)*(J35/100)</f>
        <v/>
      </c>
      <c r="N35" s="4">
        <f>B35*(F35/360/100)*E35*(J35/100)</f>
        <v/>
      </c>
      <c r="O35" s="4">
        <f>K35-M35+L35-N35</f>
        <v/>
      </c>
    </row>
    <row r="36">
      <c r="A36" s="2" t="inlineStr">
        <is>
          <t>B77143444</t>
        </is>
      </c>
      <c r="B36" s="4" t="n">
        <v>982.9299999999999</v>
      </c>
      <c r="C36" s="3" t="n">
        <v>46008</v>
      </c>
      <c r="D36" s="3" t="n">
        <v>46095</v>
      </c>
      <c r="E36" s="2" t="n">
        <v>87</v>
      </c>
      <c r="F36" s="2" t="n">
        <v>5.08</v>
      </c>
      <c r="G36" s="2" t="n">
        <v>1.61</v>
      </c>
      <c r="H36" s="4" t="n">
        <v>15.83</v>
      </c>
      <c r="I36" s="4" t="n">
        <v>12.07</v>
      </c>
      <c r="J36" s="2" t="n">
        <v>30</v>
      </c>
      <c r="K36" s="4" t="n">
        <v>4.57</v>
      </c>
      <c r="L36" s="4" t="n">
        <v>3.84</v>
      </c>
      <c r="M36" s="4">
        <f>B36*(G36/100)*(J36/100)</f>
        <v/>
      </c>
      <c r="N36" s="4">
        <f>B36*(F36/360/100)*E36*(J36/100)</f>
        <v/>
      </c>
      <c r="O36" s="4">
        <f>K36-M36+L36-N36</f>
        <v/>
      </c>
    </row>
    <row r="37">
      <c r="A37" s="2" t="inlineStr">
        <is>
          <t>A75878906</t>
        </is>
      </c>
      <c r="B37" s="4" t="n">
        <v>358.44</v>
      </c>
      <c r="C37" s="3" t="n">
        <v>46014</v>
      </c>
      <c r="D37" s="3" t="n">
        <v>46049</v>
      </c>
      <c r="E37" s="2" t="n">
        <v>35</v>
      </c>
      <c r="F37" s="2" t="n">
        <v>4.14</v>
      </c>
      <c r="G37" s="2" t="n">
        <v>1.62</v>
      </c>
      <c r="H37" s="4" t="n">
        <v>5.81</v>
      </c>
      <c r="I37" s="4" t="n">
        <v>1.44</v>
      </c>
      <c r="J37" s="2" t="n">
        <v>30</v>
      </c>
      <c r="K37" s="4" t="n">
        <v>1.95</v>
      </c>
      <c r="L37" s="4" t="n">
        <v>0.16</v>
      </c>
      <c r="M37" s="4">
        <f>B37*(G37/100)*(J37/100)</f>
        <v/>
      </c>
      <c r="N37" s="4">
        <f>B37*(F37/360/100)*E37*(J37/100)</f>
        <v/>
      </c>
      <c r="O37" s="4">
        <f>K37-M37+L37-N37</f>
        <v/>
      </c>
    </row>
    <row r="38">
      <c r="A38" s="2" t="inlineStr">
        <is>
          <t>A75878906</t>
        </is>
      </c>
      <c r="B38" s="4" t="n">
        <v>815.83</v>
      </c>
      <c r="C38" s="3" t="n">
        <v>46003</v>
      </c>
      <c r="D38" s="3" t="n">
        <v>46081</v>
      </c>
      <c r="E38" s="2" t="n">
        <v>78</v>
      </c>
      <c r="F38" s="2" t="n">
        <v>5.83</v>
      </c>
      <c r="G38" s="2" t="n">
        <v>1.45</v>
      </c>
      <c r="H38" s="4" t="n">
        <v>11.83</v>
      </c>
      <c r="I38" s="4" t="n">
        <v>10.31</v>
      </c>
      <c r="J38" s="2" t="n">
        <v>50</v>
      </c>
      <c r="K38" s="4" t="n">
        <v>5.76</v>
      </c>
      <c r="L38" s="4" t="n">
        <v>4.94</v>
      </c>
      <c r="M38" s="4">
        <f>B38*(G38/100)*(J38/100)</f>
        <v/>
      </c>
      <c r="N38" s="4">
        <f>B38*(F38/360/100)*E38*(J38/100)</f>
        <v/>
      </c>
      <c r="O38" s="4">
        <f>K38-M38+L38-N38</f>
        <v/>
      </c>
    </row>
    <row r="39">
      <c r="A39" s="2" t="inlineStr">
        <is>
          <t>A10255054</t>
        </is>
      </c>
      <c r="B39" s="4" t="n">
        <v>6190.03</v>
      </c>
      <c r="C39" s="3" t="n">
        <v>45996</v>
      </c>
      <c r="D39" s="3" t="n">
        <v>46049</v>
      </c>
      <c r="E39" s="2" t="n">
        <v>53</v>
      </c>
      <c r="F39" s="2" t="n">
        <v>5.92</v>
      </c>
      <c r="G39" s="2" t="n">
        <v>0.84</v>
      </c>
      <c r="H39" s="4" t="n">
        <v>52</v>
      </c>
      <c r="I39" s="4" t="n">
        <v>53.95</v>
      </c>
      <c r="J39" s="2" t="n">
        <v>40</v>
      </c>
      <c r="K39" s="4" t="n">
        <v>20.7</v>
      </c>
      <c r="L39" s="4" t="n">
        <v>21.78</v>
      </c>
      <c r="M39" s="4">
        <f>B39*(G39/100)*(J39/100)</f>
        <v/>
      </c>
      <c r="N39" s="4">
        <f>B39*(F39/360/100)*E39*(J39/100)</f>
        <v/>
      </c>
      <c r="O39" s="4">
        <f>K39-M39+L39-N39</f>
        <v/>
      </c>
    </row>
    <row r="40">
      <c r="A40" s="2" t="inlineStr">
        <is>
          <t>A10255054</t>
        </is>
      </c>
      <c r="B40" s="4" t="n">
        <v>8076.09</v>
      </c>
      <c r="C40" s="3" t="n">
        <v>46004</v>
      </c>
      <c r="D40" s="3" t="n">
        <v>46071</v>
      </c>
      <c r="E40" s="2" t="n">
        <v>67</v>
      </c>
      <c r="F40" s="2" t="n">
        <v>3.4</v>
      </c>
      <c r="G40" s="2" t="n">
        <v>1.7</v>
      </c>
      <c r="H40" s="4" t="n">
        <v>137.29</v>
      </c>
      <c r="I40" s="4" t="n">
        <v>51.1</v>
      </c>
      <c r="J40" s="2" t="n">
        <v>50</v>
      </c>
      <c r="K40" s="4" t="n">
        <v>68.72</v>
      </c>
      <c r="L40" s="4" t="n">
        <v>25.81</v>
      </c>
      <c r="M40" s="4">
        <f>B40*(G40/100)*(J40/100)</f>
        <v/>
      </c>
      <c r="N40" s="4">
        <f>B40*(F40/360/100)*E40*(J40/100)</f>
        <v/>
      </c>
      <c r="O40" s="4">
        <f>K40-M40+L40-N40</f>
        <v/>
      </c>
    </row>
    <row r="41">
      <c r="A41" s="2" t="inlineStr">
        <is>
          <t>A10255054</t>
        </is>
      </c>
      <c r="B41" s="4" t="n">
        <v>9259.77</v>
      </c>
      <c r="C41" s="3" t="n">
        <v>46018</v>
      </c>
      <c r="D41" s="3" t="n">
        <v>46055</v>
      </c>
      <c r="E41" s="2" t="n">
        <v>37</v>
      </c>
      <c r="F41" s="2" t="n">
        <v>3.78</v>
      </c>
      <c r="G41" s="2" t="n">
        <v>0.99</v>
      </c>
      <c r="H41" s="4" t="n">
        <v>91.67</v>
      </c>
      <c r="I41" s="4" t="n">
        <v>35.97</v>
      </c>
      <c r="J41" s="2" t="n">
        <v>70</v>
      </c>
      <c r="K41" s="4" t="n">
        <v>64.08</v>
      </c>
      <c r="L41" s="4" t="n">
        <v>25.06</v>
      </c>
      <c r="M41" s="4">
        <f>B41*(G41/100)*(J41/100)</f>
        <v/>
      </c>
      <c r="N41" s="4">
        <f>B41*(F41/360/100)*E41*(J41/100)</f>
        <v/>
      </c>
      <c r="O41" s="4">
        <f>K41-M41+L41-N41</f>
        <v/>
      </c>
    </row>
    <row r="42">
      <c r="A42" s="2" t="inlineStr">
        <is>
          <t>A15071021</t>
        </is>
      </c>
      <c r="B42" s="4" t="n">
        <v>707.6</v>
      </c>
      <c r="C42" s="3" t="n">
        <v>46019</v>
      </c>
      <c r="D42" s="3" t="n">
        <v>46081</v>
      </c>
      <c r="E42" s="2" t="n">
        <v>62</v>
      </c>
      <c r="F42" s="2" t="n">
        <v>3.73</v>
      </c>
      <c r="G42" s="2" t="n">
        <v>0.54</v>
      </c>
      <c r="H42" s="4" t="n">
        <v>3.82</v>
      </c>
      <c r="I42" s="4" t="n">
        <v>4.55</v>
      </c>
      <c r="J42" s="2" t="n">
        <v>50</v>
      </c>
      <c r="K42" s="4" t="n">
        <v>1.85</v>
      </c>
      <c r="L42" s="4" t="n">
        <v>2.09</v>
      </c>
      <c r="M42" s="4">
        <f>B42*(G42/100)*(J42/100)</f>
        <v/>
      </c>
      <c r="N42" s="4">
        <f>B42*(F42/360/100)*E42*(J42/100)</f>
        <v/>
      </c>
      <c r="O42" s="4">
        <f>K42-M42+L42-N42</f>
        <v/>
      </c>
    </row>
    <row r="43">
      <c r="A43" s="2" t="inlineStr">
        <is>
          <t>A15071021</t>
        </is>
      </c>
      <c r="B43" s="4" t="n">
        <v>7879.36</v>
      </c>
      <c r="C43" s="3" t="n">
        <v>46003</v>
      </c>
      <c r="D43" s="3" t="n">
        <v>46054</v>
      </c>
      <c r="E43" s="2" t="n">
        <v>51</v>
      </c>
      <c r="F43" s="2" t="n">
        <v>5.42</v>
      </c>
      <c r="G43" s="2" t="n">
        <v>0.66</v>
      </c>
      <c r="H43" s="4" t="n">
        <v>52</v>
      </c>
      <c r="I43" s="4" t="n">
        <v>60.5</v>
      </c>
      <c r="J43" s="2" t="n">
        <v>30</v>
      </c>
      <c r="K43" s="4" t="n">
        <v>15.45</v>
      </c>
      <c r="L43" s="4" t="n">
        <v>18.38</v>
      </c>
      <c r="M43" s="4">
        <f>B43*(G43/100)*(J43/100)</f>
        <v/>
      </c>
      <c r="N43" s="4">
        <f>B43*(F43/360/100)*E43*(J43/100)</f>
        <v/>
      </c>
      <c r="O43" s="4">
        <f>K43-M43+L43-N43</f>
        <v/>
      </c>
    </row>
    <row r="44">
      <c r="A44" s="2" t="inlineStr">
        <is>
          <t>B38381423</t>
        </is>
      </c>
      <c r="B44" s="4" t="n">
        <v>6863.64</v>
      </c>
      <c r="C44" s="3" t="n">
        <v>45993</v>
      </c>
      <c r="D44" s="3" t="n">
        <v>46058</v>
      </c>
      <c r="E44" s="2" t="n">
        <v>65</v>
      </c>
      <c r="F44" s="2" t="n">
        <v>4.22</v>
      </c>
      <c r="G44" s="2" t="n">
        <v>1.01</v>
      </c>
      <c r="H44" s="4" t="n">
        <v>69.31999999999999</v>
      </c>
      <c r="I44" s="4" t="n">
        <v>52.3</v>
      </c>
      <c r="J44" s="2" t="n">
        <v>70</v>
      </c>
      <c r="K44" s="4" t="n">
        <v>48.3</v>
      </c>
      <c r="L44" s="4" t="n">
        <v>36.88</v>
      </c>
      <c r="M44" s="4">
        <f>B44*(G44/100)*(J44/100)</f>
        <v/>
      </c>
      <c r="N44" s="4">
        <f>B44*(F44/360/100)*E44*(J44/100)</f>
        <v/>
      </c>
      <c r="O44" s="4">
        <f>K44-M44+L44-N44</f>
        <v/>
      </c>
    </row>
    <row r="45">
      <c r="A45" s="2" t="inlineStr">
        <is>
          <t>B38381423</t>
        </is>
      </c>
      <c r="B45" s="4" t="n">
        <v>960.63</v>
      </c>
      <c r="C45" s="3" t="n">
        <v>46006</v>
      </c>
      <c r="D45" s="3" t="n">
        <v>46039</v>
      </c>
      <c r="E45" s="2" t="n">
        <v>33</v>
      </c>
      <c r="F45" s="2" t="n">
        <v>4.1</v>
      </c>
      <c r="G45" s="2" t="n">
        <v>1.91</v>
      </c>
      <c r="H45" s="4" t="n">
        <v>18.35</v>
      </c>
      <c r="I45" s="4" t="n">
        <v>3.61</v>
      </c>
      <c r="J45" s="2" t="n">
        <v>20</v>
      </c>
      <c r="K45" s="4" t="n">
        <v>3.46</v>
      </c>
      <c r="L45" s="4" t="n">
        <v>0.9</v>
      </c>
      <c r="M45" s="4">
        <f>B45*(G45/100)*(J45/100)</f>
        <v/>
      </c>
      <c r="N45" s="4">
        <f>B45*(F45/360/100)*E45*(J45/100)</f>
        <v/>
      </c>
      <c r="O45" s="4">
        <f>K45-M45+L45-N45</f>
        <v/>
      </c>
    </row>
    <row r="46">
      <c r="A46" s="2" t="inlineStr">
        <is>
          <t>B38381423</t>
        </is>
      </c>
      <c r="B46" s="4" t="n">
        <v>7520.08</v>
      </c>
      <c r="C46" s="3" t="n">
        <v>46000</v>
      </c>
      <c r="D46" s="3" t="n">
        <v>46046</v>
      </c>
      <c r="E46" s="2" t="n">
        <v>46</v>
      </c>
      <c r="F46" s="2" t="n">
        <v>6.48</v>
      </c>
      <c r="G46" s="2" t="n">
        <v>1.7</v>
      </c>
      <c r="H46" s="4" t="n">
        <v>127.84</v>
      </c>
      <c r="I46" s="4" t="n">
        <v>62.27</v>
      </c>
      <c r="J46" s="2" t="n">
        <v>30</v>
      </c>
      <c r="K46" s="4" t="n">
        <v>38.34</v>
      </c>
      <c r="L46" s="4" t="n">
        <v>18.8</v>
      </c>
      <c r="M46" s="4">
        <f>B46*(G46/100)*(J46/100)</f>
        <v/>
      </c>
      <c r="N46" s="4">
        <f>B46*(F46/360/100)*E46*(J46/100)</f>
        <v/>
      </c>
      <c r="O46" s="4">
        <f>K46-M46+L46-N46</f>
        <v/>
      </c>
    </row>
    <row r="47">
      <c r="A47" s="2" t="inlineStr">
        <is>
          <t>B27653469</t>
        </is>
      </c>
      <c r="B47" s="4" t="n">
        <v>726.41</v>
      </c>
      <c r="C47" s="3" t="n">
        <v>46016</v>
      </c>
      <c r="D47" s="3" t="n">
        <v>46046</v>
      </c>
      <c r="E47" s="2" t="n">
        <v>30</v>
      </c>
      <c r="F47" s="2" t="n">
        <v>3.75</v>
      </c>
      <c r="G47" s="2" t="n">
        <v>0.64</v>
      </c>
      <c r="H47" s="4" t="n">
        <v>4.65</v>
      </c>
      <c r="I47" s="4" t="n">
        <v>2.27</v>
      </c>
      <c r="J47" s="2" t="n">
        <v>30</v>
      </c>
      <c r="K47" s="4" t="n">
        <v>1.55</v>
      </c>
      <c r="L47" s="4" t="n">
        <v>0.75</v>
      </c>
      <c r="M47" s="4">
        <f>B47*(G47/100)*(J47/100)</f>
        <v/>
      </c>
      <c r="N47" s="4">
        <f>B47*(F47/360/100)*E47*(J47/100)</f>
        <v/>
      </c>
      <c r="O47" s="4">
        <f>K47-M47+L47-N47</f>
        <v/>
      </c>
    </row>
    <row r="48">
      <c r="A48" s="2" t="inlineStr">
        <is>
          <t>B27653469</t>
        </is>
      </c>
      <c r="B48" s="4" t="n">
        <v>888.5700000000001</v>
      </c>
      <c r="C48" s="3" t="n">
        <v>45994</v>
      </c>
      <c r="D48" s="3" t="n">
        <v>46037</v>
      </c>
      <c r="E48" s="2" t="n">
        <v>43</v>
      </c>
      <c r="F48" s="2" t="n">
        <v>6.68</v>
      </c>
      <c r="G48" s="2" t="n">
        <v>1.06</v>
      </c>
      <c r="H48" s="4" t="n">
        <v>9.42</v>
      </c>
      <c r="I48" s="4" t="n">
        <v>7.09</v>
      </c>
      <c r="J48" s="2" t="n">
        <v>70</v>
      </c>
      <c r="K48" s="4" t="n">
        <v>6.51</v>
      </c>
      <c r="L48" s="4" t="n">
        <v>4.98</v>
      </c>
      <c r="M48" s="4">
        <f>B48*(G48/100)*(J48/100)</f>
        <v/>
      </c>
      <c r="N48" s="4">
        <f>B48*(F48/360/100)*E48*(J48/100)</f>
        <v/>
      </c>
      <c r="O48" s="4">
        <f>K48-M48+L48-N48</f>
        <v/>
      </c>
    </row>
    <row r="49">
      <c r="A49" s="2" t="inlineStr">
        <is>
          <t>A64349113</t>
        </is>
      </c>
      <c r="B49" s="4" t="n">
        <v>992.13</v>
      </c>
      <c r="C49" s="3" t="n">
        <v>46000</v>
      </c>
      <c r="D49" s="3" t="n">
        <v>46042</v>
      </c>
      <c r="E49" s="2" t="n">
        <v>42</v>
      </c>
      <c r="F49" s="2" t="n">
        <v>4.02</v>
      </c>
      <c r="G49" s="2" t="n">
        <v>1.56</v>
      </c>
      <c r="H49" s="4" t="n">
        <v>15.48</v>
      </c>
      <c r="I49" s="4" t="n">
        <v>4.65</v>
      </c>
      <c r="J49" s="2" t="n">
        <v>60</v>
      </c>
      <c r="K49" s="4" t="n">
        <v>9.390000000000001</v>
      </c>
      <c r="L49" s="4" t="n">
        <v>2.82</v>
      </c>
      <c r="M49" s="4">
        <f>B49*(G49/100)*(J49/100)</f>
        <v/>
      </c>
      <c r="N49" s="4">
        <f>B49*(F49/360/100)*E49*(J49/100)</f>
        <v/>
      </c>
      <c r="O49" s="4">
        <f>K49-M49+L49-N49</f>
        <v/>
      </c>
    </row>
    <row r="50">
      <c r="A50" s="2" t="inlineStr">
        <is>
          <t>A64349113</t>
        </is>
      </c>
      <c r="B50" s="4" t="n">
        <v>949.88</v>
      </c>
      <c r="C50" s="3" t="n">
        <v>45996</v>
      </c>
      <c r="D50" s="3" t="n">
        <v>46060</v>
      </c>
      <c r="E50" s="2" t="n">
        <v>64</v>
      </c>
      <c r="F50" s="2" t="n">
        <v>4.86</v>
      </c>
      <c r="G50" s="2" t="n">
        <v>1.33</v>
      </c>
      <c r="H50" s="4" t="n">
        <v>12.63</v>
      </c>
      <c r="I50" s="4" t="n">
        <v>8.210000000000001</v>
      </c>
      <c r="J50" s="2" t="n">
        <v>60</v>
      </c>
      <c r="K50" s="4" t="n">
        <v>7.32</v>
      </c>
      <c r="L50" s="4" t="n">
        <v>4.88</v>
      </c>
      <c r="M50" s="4">
        <f>B50*(G50/100)*(J50/100)</f>
        <v/>
      </c>
      <c r="N50" s="4">
        <f>B50*(F50/360/100)*E50*(J50/100)</f>
        <v/>
      </c>
      <c r="O50" s="4">
        <f>K50-M50+L50-N50</f>
        <v/>
      </c>
    </row>
    <row r="51">
      <c r="A51" s="2" t="inlineStr">
        <is>
          <t>A64349113</t>
        </is>
      </c>
      <c r="B51" s="4" t="n">
        <v>232.22</v>
      </c>
      <c r="C51" s="3" t="n">
        <v>46008</v>
      </c>
      <c r="D51" s="3" t="n">
        <v>46054</v>
      </c>
      <c r="E51" s="2" t="n">
        <v>46</v>
      </c>
      <c r="F51" s="2" t="n">
        <v>4.76</v>
      </c>
      <c r="G51" s="2" t="n">
        <v>1.39</v>
      </c>
      <c r="H51" s="4" t="n">
        <v>3.23</v>
      </c>
      <c r="I51" s="4" t="n">
        <v>1.41</v>
      </c>
      <c r="J51" s="2" t="n">
        <v>30</v>
      </c>
      <c r="K51" s="4" t="n">
        <v>0.87</v>
      </c>
      <c r="L51" s="4" t="n">
        <v>0.68</v>
      </c>
      <c r="M51" s="4">
        <f>B51*(G51/100)*(J51/100)</f>
        <v/>
      </c>
      <c r="N51" s="4">
        <f>B51*(F51/360/100)*E51*(J51/100)</f>
        <v/>
      </c>
      <c r="O51" s="4">
        <f>K51-M51+L51-N51</f>
        <v/>
      </c>
    </row>
    <row r="52">
      <c r="A52" s="2" t="inlineStr">
        <is>
          <t>B07073880</t>
        </is>
      </c>
      <c r="B52" s="4" t="n">
        <v>438.66</v>
      </c>
      <c r="C52" s="3" t="n">
        <v>46003</v>
      </c>
      <c r="D52" s="3" t="n">
        <v>46050</v>
      </c>
      <c r="E52" s="2" t="n">
        <v>47</v>
      </c>
      <c r="F52" s="2" t="n">
        <v>6.14</v>
      </c>
      <c r="G52" s="2" t="n">
        <v>1.7</v>
      </c>
      <c r="H52" s="4" t="n">
        <v>7.46</v>
      </c>
      <c r="I52" s="4" t="n">
        <v>3.52</v>
      </c>
      <c r="J52" s="2" t="n">
        <v>60</v>
      </c>
      <c r="K52" s="4" t="n">
        <v>4.71</v>
      </c>
      <c r="L52" s="4" t="n">
        <v>1.99</v>
      </c>
      <c r="M52" s="4">
        <f>B52*(G52/100)*(J52/100)</f>
        <v/>
      </c>
      <c r="N52" s="4">
        <f>B52*(F52/360/100)*E52*(J52/100)</f>
        <v/>
      </c>
      <c r="O52" s="4">
        <f>K52-M52+L52-N52</f>
        <v/>
      </c>
    </row>
    <row r="53">
      <c r="A53" s="2" t="inlineStr">
        <is>
          <t>B07073880</t>
        </is>
      </c>
      <c r="B53" s="4" t="n">
        <v>627.77</v>
      </c>
      <c r="C53" s="3" t="n">
        <v>46014</v>
      </c>
      <c r="D53" s="3" t="n">
        <v>46063</v>
      </c>
      <c r="E53" s="2" t="n">
        <v>49</v>
      </c>
      <c r="F53" s="2" t="n">
        <v>5.71</v>
      </c>
      <c r="G53" s="2" t="n">
        <v>1.42</v>
      </c>
      <c r="H53" s="4" t="n">
        <v>8.91</v>
      </c>
      <c r="I53" s="4" t="n">
        <v>4.88</v>
      </c>
      <c r="J53" s="2" t="n">
        <v>60</v>
      </c>
      <c r="K53" s="4" t="n">
        <v>5.51</v>
      </c>
      <c r="L53" s="4" t="n">
        <v>2.86</v>
      </c>
      <c r="M53" s="4">
        <f>B53*(G53/100)*(J53/100)</f>
        <v/>
      </c>
      <c r="N53" s="4">
        <f>B53*(F53/360/100)*E53*(J53/100)</f>
        <v/>
      </c>
      <c r="O53" s="4">
        <f>K53-M53+L53-N53</f>
        <v/>
      </c>
    </row>
    <row r="54">
      <c r="A54" s="2" t="inlineStr">
        <is>
          <t>B07073880</t>
        </is>
      </c>
      <c r="B54" s="4" t="n">
        <v>3173.58</v>
      </c>
      <c r="C54" s="3" t="n">
        <v>46004</v>
      </c>
      <c r="D54" s="3" t="n">
        <v>46057</v>
      </c>
      <c r="E54" s="2" t="n">
        <v>53</v>
      </c>
      <c r="F54" s="2" t="n">
        <v>5.92</v>
      </c>
      <c r="G54" s="2" t="n">
        <v>1.84</v>
      </c>
      <c r="H54" s="4" t="n">
        <v>58.39</v>
      </c>
      <c r="I54" s="4" t="n">
        <v>27.66</v>
      </c>
      <c r="J54" s="2" t="n">
        <v>20</v>
      </c>
      <c r="K54" s="4" t="n">
        <v>11.83</v>
      </c>
      <c r="L54" s="4" t="n">
        <v>5.78</v>
      </c>
      <c r="M54" s="4">
        <f>B54*(G54/100)*(J54/100)</f>
        <v/>
      </c>
      <c r="N54" s="4">
        <f>B54*(F54/360/100)*E54*(J54/100)</f>
        <v/>
      </c>
      <c r="O54" s="4">
        <f>K54-M54+L54-N54</f>
        <v/>
      </c>
    </row>
    <row r="55">
      <c r="A55" s="2" t="inlineStr">
        <is>
          <t>B59508945</t>
        </is>
      </c>
      <c r="B55" s="4" t="n">
        <v>7781.96</v>
      </c>
      <c r="C55" s="3" t="n">
        <v>45995</v>
      </c>
      <c r="D55" s="3" t="n">
        <v>46065</v>
      </c>
      <c r="E55" s="2" t="n">
        <v>70</v>
      </c>
      <c r="F55" s="2" t="n">
        <v>5.26</v>
      </c>
      <c r="G55" s="2" t="n">
        <v>1.49</v>
      </c>
      <c r="H55" s="4" t="n">
        <v>115.95</v>
      </c>
      <c r="I55" s="4" t="n">
        <v>79.59</v>
      </c>
      <c r="J55" s="2" t="n">
        <v>60</v>
      </c>
      <c r="K55" s="4" t="n">
        <v>69.61</v>
      </c>
      <c r="L55" s="4" t="n">
        <v>47.96</v>
      </c>
      <c r="M55" s="4">
        <f>B55*(G55/100)*(J55/100)</f>
        <v/>
      </c>
      <c r="N55" s="4">
        <f>B55*(F55/360/100)*E55*(J55/100)</f>
        <v/>
      </c>
      <c r="O55" s="4">
        <f>K55-M55+L55-N55</f>
        <v/>
      </c>
    </row>
    <row r="56">
      <c r="A56" s="2" t="inlineStr">
        <is>
          <t>B59508945</t>
        </is>
      </c>
      <c r="B56" s="4" t="n">
        <v>437.52</v>
      </c>
      <c r="C56" s="3" t="n">
        <v>46019</v>
      </c>
      <c r="D56" s="3" t="n">
        <v>46095</v>
      </c>
      <c r="E56" s="2" t="n">
        <v>76</v>
      </c>
      <c r="F56" s="2" t="n">
        <v>5.8</v>
      </c>
      <c r="G56" s="2" t="n">
        <v>0.57</v>
      </c>
      <c r="H56" s="4" t="n">
        <v>2.49</v>
      </c>
      <c r="I56" s="4" t="n">
        <v>5.36</v>
      </c>
      <c r="J56" s="2" t="n">
        <v>50</v>
      </c>
      <c r="K56" s="4" t="n">
        <v>1.51</v>
      </c>
      <c r="L56" s="4" t="n">
        <v>2.59</v>
      </c>
      <c r="M56" s="4">
        <f>B56*(G56/100)*(J56/100)</f>
        <v/>
      </c>
      <c r="N56" s="4">
        <f>B56*(F56/360/100)*E56*(J56/100)</f>
        <v/>
      </c>
      <c r="O56" s="4">
        <f>K56-M56+L56-N56</f>
        <v/>
      </c>
    </row>
    <row r="57">
      <c r="A57" s="2" t="inlineStr">
        <is>
          <t>B59508945</t>
        </is>
      </c>
      <c r="B57" s="4" t="n">
        <v>409.52</v>
      </c>
      <c r="C57" s="3" t="n">
        <v>46013</v>
      </c>
      <c r="D57" s="3" t="n">
        <v>46071</v>
      </c>
      <c r="E57" s="2" t="n">
        <v>58</v>
      </c>
      <c r="F57" s="2" t="n">
        <v>5.35</v>
      </c>
      <c r="G57" s="2" t="n">
        <v>0.66</v>
      </c>
      <c r="H57" s="4" t="n">
        <v>2.7</v>
      </c>
      <c r="I57" s="4" t="n">
        <v>3.53</v>
      </c>
      <c r="J57" s="2" t="n">
        <v>50</v>
      </c>
      <c r="K57" s="4" t="n">
        <v>1.47</v>
      </c>
      <c r="L57" s="4" t="n">
        <v>1.57</v>
      </c>
      <c r="M57" s="4">
        <f>B57*(G57/100)*(J57/100)</f>
        <v/>
      </c>
      <c r="N57" s="4">
        <f>B57*(F57/360/100)*E57*(J57/100)</f>
        <v/>
      </c>
      <c r="O57" s="4">
        <f>K57-M57+L57-N57</f>
        <v/>
      </c>
    </row>
    <row r="58">
      <c r="A58" s="2" t="inlineStr">
        <is>
          <t>B18651928</t>
        </is>
      </c>
      <c r="B58" s="4" t="n">
        <v>204.92</v>
      </c>
      <c r="C58" s="3" t="n">
        <v>46010</v>
      </c>
      <c r="D58" s="3" t="n">
        <v>46043</v>
      </c>
      <c r="E58" s="2" t="n">
        <v>33</v>
      </c>
      <c r="F58" s="2" t="n">
        <v>4.8</v>
      </c>
      <c r="G58" s="2" t="n">
        <v>1.2</v>
      </c>
      <c r="H58" s="4" t="n">
        <v>2.46</v>
      </c>
      <c r="I58" s="4" t="n">
        <v>0.9</v>
      </c>
      <c r="J58" s="2" t="n">
        <v>40</v>
      </c>
      <c r="K58" s="4" t="n">
        <v>1.27</v>
      </c>
      <c r="L58" s="4" t="n">
        <v>0.15</v>
      </c>
      <c r="M58" s="4">
        <f>B58*(G58/100)*(J58/100)</f>
        <v/>
      </c>
      <c r="N58" s="4">
        <f>B58*(F58/360/100)*E58*(J58/100)</f>
        <v/>
      </c>
      <c r="O58" s="4">
        <f>K58-M58+L58-N58</f>
        <v/>
      </c>
    </row>
    <row r="59">
      <c r="A59" s="2" t="inlineStr">
        <is>
          <t>B18651928</t>
        </is>
      </c>
      <c r="B59" s="4" t="n">
        <v>772.02</v>
      </c>
      <c r="C59" s="3" t="n">
        <v>45998</v>
      </c>
      <c r="D59" s="3" t="n">
        <v>46050</v>
      </c>
      <c r="E59" s="2" t="n">
        <v>52</v>
      </c>
      <c r="F59" s="2" t="n">
        <v>5.55</v>
      </c>
      <c r="G59" s="2" t="n">
        <v>1</v>
      </c>
      <c r="H59" s="4" t="n">
        <v>7.72</v>
      </c>
      <c r="I59" s="4" t="n">
        <v>6.19</v>
      </c>
      <c r="J59" s="2" t="n">
        <v>40</v>
      </c>
      <c r="K59" s="4" t="n">
        <v>3.3</v>
      </c>
      <c r="L59" s="4" t="n">
        <v>2.53</v>
      </c>
      <c r="M59" s="4">
        <f>B59*(G59/100)*(J59/100)</f>
        <v/>
      </c>
      <c r="N59" s="4">
        <f>B59*(F59/360/100)*E59*(J59/100)</f>
        <v/>
      </c>
      <c r="O59" s="4">
        <f>K59-M59+L59-N59</f>
        <v/>
      </c>
    </row>
    <row r="60">
      <c r="A60" s="2" t="inlineStr">
        <is>
          <t>B18651928</t>
        </is>
      </c>
      <c r="B60" s="4" t="n">
        <v>239.87</v>
      </c>
      <c r="C60" s="3" t="n">
        <v>46014</v>
      </c>
      <c r="D60" s="3" t="n">
        <v>46071</v>
      </c>
      <c r="E60" s="2" t="n">
        <v>57</v>
      </c>
      <c r="F60" s="2" t="n">
        <v>5.81</v>
      </c>
      <c r="G60" s="2" t="n">
        <v>1.41</v>
      </c>
      <c r="H60" s="4" t="n">
        <v>3.38</v>
      </c>
      <c r="I60" s="4" t="n">
        <v>2.21</v>
      </c>
      <c r="J60" s="2" t="n">
        <v>20</v>
      </c>
      <c r="K60" s="4" t="n">
        <v>0.47</v>
      </c>
      <c r="L60" s="4" t="n">
        <v>0.17</v>
      </c>
      <c r="M60" s="4">
        <f>B60*(G60/100)*(J60/100)</f>
        <v/>
      </c>
      <c r="N60" s="4">
        <f>B60*(F60/360/100)*E60*(J60/100)</f>
        <v/>
      </c>
      <c r="O60" s="4">
        <f>K60-M60+L60-N60</f>
        <v/>
      </c>
    </row>
    <row r="61">
      <c r="A61" s="2" t="inlineStr">
        <is>
          <t>A36686807</t>
        </is>
      </c>
      <c r="B61" s="4" t="n">
        <v>532.01</v>
      </c>
      <c r="C61" s="3" t="n">
        <v>46015</v>
      </c>
      <c r="D61" s="3" t="n">
        <v>46098</v>
      </c>
      <c r="E61" s="2" t="n">
        <v>83</v>
      </c>
      <c r="F61" s="2" t="n">
        <v>3.69</v>
      </c>
      <c r="G61" s="2" t="n">
        <v>0.6</v>
      </c>
      <c r="H61" s="4" t="n">
        <v>3.19</v>
      </c>
      <c r="I61" s="4" t="n">
        <v>4.53</v>
      </c>
      <c r="J61" s="2" t="n">
        <v>20</v>
      </c>
      <c r="K61" s="4" t="n">
        <v>0.35</v>
      </c>
      <c r="L61" s="4" t="n">
        <v>0.73</v>
      </c>
      <c r="M61" s="4">
        <f>B61*(G61/100)*(J61/100)</f>
        <v/>
      </c>
      <c r="N61" s="4">
        <f>B61*(F61/360/100)*E61*(J61/100)</f>
        <v/>
      </c>
      <c r="O61" s="4">
        <f>K61-M61+L61-N61</f>
        <v/>
      </c>
    </row>
    <row r="62">
      <c r="A62" s="2" t="inlineStr">
        <is>
          <t>A36686807</t>
        </is>
      </c>
      <c r="B62" s="4" t="n">
        <v>6416.78</v>
      </c>
      <c r="C62" s="3" t="n">
        <v>45998</v>
      </c>
      <c r="D62" s="3" t="n">
        <v>46057</v>
      </c>
      <c r="E62" s="2" t="n">
        <v>59</v>
      </c>
      <c r="F62" s="2" t="n">
        <v>4.14</v>
      </c>
      <c r="G62" s="2" t="n">
        <v>1.27</v>
      </c>
      <c r="H62" s="4" t="n">
        <v>81.48999999999999</v>
      </c>
      <c r="I62" s="4" t="n">
        <v>43.54</v>
      </c>
      <c r="J62" s="2" t="n">
        <v>20</v>
      </c>
      <c r="K62" s="4" t="n">
        <v>16.16</v>
      </c>
      <c r="L62" s="4" t="n">
        <v>8.92</v>
      </c>
      <c r="M62" s="4">
        <f>B62*(G62/100)*(J62/100)</f>
        <v/>
      </c>
      <c r="N62" s="4">
        <f>B62*(F62/360/100)*E62*(J62/100)</f>
        <v/>
      </c>
      <c r="O62" s="4">
        <f>K62-M62+L62-N62</f>
        <v/>
      </c>
    </row>
    <row r="63">
      <c r="A63" s="2" t="inlineStr">
        <is>
          <t>A55284133</t>
        </is>
      </c>
      <c r="B63" s="4" t="n">
        <v>676.8</v>
      </c>
      <c r="C63" s="3" t="n">
        <v>46002</v>
      </c>
      <c r="D63" s="3" t="n">
        <v>46043</v>
      </c>
      <c r="E63" s="2" t="n">
        <v>41</v>
      </c>
      <c r="F63" s="2" t="n">
        <v>4.8</v>
      </c>
      <c r="G63" s="2" t="n">
        <v>0.9399999999999999</v>
      </c>
      <c r="H63" s="4" t="n">
        <v>6.36</v>
      </c>
      <c r="I63" s="4" t="n">
        <v>3.7</v>
      </c>
      <c r="J63" s="2" t="n">
        <v>50</v>
      </c>
      <c r="K63" s="4" t="n">
        <v>2.91</v>
      </c>
      <c r="L63" s="4" t="n">
        <v>1.64</v>
      </c>
      <c r="M63" s="4">
        <f>B63*(G63/100)*(J63/100)</f>
        <v/>
      </c>
      <c r="N63" s="4">
        <f>B63*(F63/360/100)*E63*(J63/100)</f>
        <v/>
      </c>
      <c r="O63" s="4">
        <f>K63-M63+L63-N63</f>
        <v/>
      </c>
    </row>
    <row r="64">
      <c r="A64" s="2" t="inlineStr">
        <is>
          <t>A55284133</t>
        </is>
      </c>
      <c r="B64" s="4" t="n">
        <v>786</v>
      </c>
      <c r="C64" s="3" t="n">
        <v>46016</v>
      </c>
      <c r="D64" s="3" t="n">
        <v>46094</v>
      </c>
      <c r="E64" s="2" t="n">
        <v>78</v>
      </c>
      <c r="F64" s="2" t="n">
        <v>3.91</v>
      </c>
      <c r="G64" s="2" t="n">
        <v>1.8</v>
      </c>
      <c r="H64" s="4" t="n">
        <v>14.15</v>
      </c>
      <c r="I64" s="4" t="n">
        <v>6.66</v>
      </c>
      <c r="J64" s="2" t="n">
        <v>20</v>
      </c>
      <c r="K64" s="4" t="n">
        <v>2.6</v>
      </c>
      <c r="L64" s="4" t="n">
        <v>1.54</v>
      </c>
      <c r="M64" s="4">
        <f>B64*(G64/100)*(J64/100)</f>
        <v/>
      </c>
      <c r="N64" s="4">
        <f>B64*(F64/360/100)*E64*(J64/100)</f>
        <v/>
      </c>
      <c r="O64" s="4">
        <f>K64-M64+L64-N64</f>
        <v/>
      </c>
    </row>
    <row r="65">
      <c r="A65" s="2" t="inlineStr">
        <is>
          <t>B38381423</t>
        </is>
      </c>
      <c r="B65" s="4" t="n">
        <v>604.21</v>
      </c>
      <c r="C65" s="3" t="n">
        <v>46013</v>
      </c>
      <c r="D65" s="3" t="n">
        <v>46050</v>
      </c>
      <c r="E65" s="2" t="n">
        <v>37</v>
      </c>
      <c r="F65" s="2" t="n">
        <v>4.34</v>
      </c>
      <c r="G65" s="2" t="n">
        <v>1.52</v>
      </c>
      <c r="H65" s="4" t="n">
        <v>9.18</v>
      </c>
      <c r="I65" s="4" t="n">
        <v>2.7</v>
      </c>
      <c r="J65" s="2" t="n">
        <v>20</v>
      </c>
      <c r="K65" s="4" t="n">
        <v>1.97</v>
      </c>
      <c r="L65" s="4" t="n">
        <v>0.25</v>
      </c>
      <c r="M65" s="4">
        <f>B65*(G65/100)*(J65/100)</f>
        <v/>
      </c>
      <c r="N65" s="4">
        <f>B65*(F65/360/100)*E65*(J65/100)</f>
        <v/>
      </c>
      <c r="O65" s="4">
        <f>K65-M65+L65-N65</f>
        <v/>
      </c>
    </row>
    <row r="66">
      <c r="A66" s="2" t="inlineStr">
        <is>
          <t>B38381423</t>
        </is>
      </c>
      <c r="B66" s="4" t="n">
        <v>867.65</v>
      </c>
      <c r="C66" s="3" t="n">
        <v>45993</v>
      </c>
      <c r="D66" s="3" t="n">
        <v>46030</v>
      </c>
      <c r="E66" s="2" t="n">
        <v>37</v>
      </c>
      <c r="F66" s="2" t="n">
        <v>4.62</v>
      </c>
      <c r="G66" s="2" t="n">
        <v>1.55</v>
      </c>
      <c r="H66" s="4" t="n">
        <v>13.45</v>
      </c>
      <c r="I66" s="4" t="n">
        <v>4.12</v>
      </c>
      <c r="J66" s="2" t="n">
        <v>40</v>
      </c>
      <c r="K66" s="4" t="n">
        <v>5.26</v>
      </c>
      <c r="L66" s="4" t="n">
        <v>1.7</v>
      </c>
      <c r="M66" s="4">
        <f>B66*(G66/100)*(J66/100)</f>
        <v/>
      </c>
      <c r="N66" s="4">
        <f>B66*(F66/360/100)*E66*(J66/100)</f>
        <v/>
      </c>
      <c r="O66" s="4">
        <f>K66-M66+L66-N66</f>
        <v/>
      </c>
    </row>
    <row r="67">
      <c r="A67" s="2" t="inlineStr">
        <is>
          <t>B38381423</t>
        </is>
      </c>
      <c r="B67" s="4" t="n">
        <v>503.57</v>
      </c>
      <c r="C67" s="3" t="n">
        <v>45999</v>
      </c>
      <c r="D67" s="3" t="n">
        <v>46040</v>
      </c>
      <c r="E67" s="2" t="n">
        <v>41</v>
      </c>
      <c r="F67" s="2" t="n">
        <v>3.65</v>
      </c>
      <c r="G67" s="2" t="n">
        <v>1.93</v>
      </c>
      <c r="H67" s="4" t="n">
        <v>9.720000000000001</v>
      </c>
      <c r="I67" s="4" t="n">
        <v>2.09</v>
      </c>
      <c r="J67" s="2" t="n">
        <v>20</v>
      </c>
      <c r="K67" s="4" t="n">
        <v>2.08</v>
      </c>
      <c r="L67" s="4" t="n">
        <v>0.16</v>
      </c>
      <c r="M67" s="4">
        <f>B67*(G67/100)*(J67/100)</f>
        <v/>
      </c>
      <c r="N67" s="4">
        <f>B67*(F67/360/100)*E67*(J67/100)</f>
        <v/>
      </c>
      <c r="O67" s="4">
        <f>K67-M67+L67-N67</f>
        <v/>
      </c>
    </row>
    <row r="68">
      <c r="A68" s="2" t="inlineStr">
        <is>
          <t>B95586293</t>
        </is>
      </c>
      <c r="B68" s="4" t="n">
        <v>350.48</v>
      </c>
      <c r="C68" s="3" t="n">
        <v>46005</v>
      </c>
      <c r="D68" s="3" t="n">
        <v>46046</v>
      </c>
      <c r="E68" s="2" t="n">
        <v>41</v>
      </c>
      <c r="F68" s="2" t="n">
        <v>5.47</v>
      </c>
      <c r="G68" s="2" t="n">
        <v>0.6899999999999999</v>
      </c>
      <c r="H68" s="4" t="n">
        <v>2.42</v>
      </c>
      <c r="I68" s="4" t="n">
        <v>2.18</v>
      </c>
      <c r="J68" s="2" t="n">
        <v>70</v>
      </c>
      <c r="K68" s="4" t="n">
        <v>1.86</v>
      </c>
      <c r="L68" s="4" t="n">
        <v>1.8</v>
      </c>
      <c r="M68" s="4">
        <f>B68*(G68/100)*(J68/100)</f>
        <v/>
      </c>
      <c r="N68" s="4">
        <f>B68*(F68/360/100)*E68*(J68/100)</f>
        <v/>
      </c>
      <c r="O68" s="4">
        <f>K68-M68+L68-N68</f>
        <v/>
      </c>
    </row>
    <row r="69">
      <c r="A69" s="2" t="inlineStr">
        <is>
          <t>B95586293</t>
        </is>
      </c>
      <c r="B69" s="4" t="n">
        <v>218.19</v>
      </c>
      <c r="C69" s="3" t="n">
        <v>46019</v>
      </c>
      <c r="D69" s="3" t="n">
        <v>46086</v>
      </c>
      <c r="E69" s="2" t="n">
        <v>67</v>
      </c>
      <c r="F69" s="2" t="n">
        <v>4.82</v>
      </c>
      <c r="G69" s="2" t="n">
        <v>1.05</v>
      </c>
      <c r="H69" s="4" t="n">
        <v>2.29</v>
      </c>
      <c r="I69" s="4" t="n">
        <v>1.96</v>
      </c>
      <c r="J69" s="2" t="n">
        <v>70</v>
      </c>
      <c r="K69" s="4" t="n">
        <v>1.87</v>
      </c>
      <c r="L69" s="4" t="n">
        <v>1.19</v>
      </c>
      <c r="M69" s="4">
        <f>B69*(G69/100)*(J69/100)</f>
        <v/>
      </c>
      <c r="N69" s="4">
        <f>B69*(F69/360/100)*E69*(J69/100)</f>
        <v/>
      </c>
      <c r="O69" s="4">
        <f>K69-M69+L69-N69</f>
        <v/>
      </c>
    </row>
    <row r="70">
      <c r="A70" s="2" t="inlineStr">
        <is>
          <t>B95586293</t>
        </is>
      </c>
      <c r="B70" s="4" t="n">
        <v>538.79</v>
      </c>
      <c r="C70" s="3" t="n">
        <v>46014</v>
      </c>
      <c r="D70" s="3" t="n">
        <v>46069</v>
      </c>
      <c r="E70" s="2" t="n">
        <v>55</v>
      </c>
      <c r="F70" s="2" t="n">
        <v>4.41</v>
      </c>
      <c r="G70" s="2" t="n">
        <v>1.3</v>
      </c>
      <c r="H70" s="4" t="n">
        <v>7</v>
      </c>
      <c r="I70" s="4" t="n">
        <v>3.63</v>
      </c>
      <c r="J70" s="2" t="n">
        <v>30</v>
      </c>
      <c r="K70" s="4" t="n">
        <v>2.08</v>
      </c>
      <c r="L70" s="4" t="n">
        <v>0.82</v>
      </c>
      <c r="M70" s="4">
        <f>B70*(G70/100)*(J70/100)</f>
        <v/>
      </c>
      <c r="N70" s="4">
        <f>B70*(F70/360/100)*E70*(J70/100)</f>
        <v/>
      </c>
      <c r="O70" s="4">
        <f>K70-M70+L70-N70</f>
        <v/>
      </c>
    </row>
    <row r="71">
      <c r="A71" s="2" t="inlineStr">
        <is>
          <t>A46950300</t>
        </is>
      </c>
      <c r="B71" s="4" t="n">
        <v>544.41</v>
      </c>
      <c r="C71" s="3" t="n">
        <v>46013</v>
      </c>
      <c r="D71" s="3" t="n">
        <v>46084</v>
      </c>
      <c r="E71" s="2" t="n">
        <v>71</v>
      </c>
      <c r="F71" s="2" t="n">
        <v>4.03</v>
      </c>
      <c r="G71" s="2" t="n">
        <v>1.75</v>
      </c>
      <c r="H71" s="4" t="n">
        <v>9.529999999999999</v>
      </c>
      <c r="I71" s="4" t="n">
        <v>4.33</v>
      </c>
      <c r="J71" s="2" t="n">
        <v>70</v>
      </c>
      <c r="K71" s="4" t="n">
        <v>6.81</v>
      </c>
      <c r="L71" s="4" t="n">
        <v>2.78</v>
      </c>
      <c r="M71" s="4">
        <f>B71*(G71/100)*(J71/100)</f>
        <v/>
      </c>
      <c r="N71" s="4">
        <f>B71*(F71/360/100)*E71*(J71/100)</f>
        <v/>
      </c>
      <c r="O71" s="4">
        <f>K71-M71+L71-N71</f>
        <v/>
      </c>
    </row>
    <row r="72">
      <c r="A72" s="2" t="inlineStr">
        <is>
          <t>A46950300</t>
        </is>
      </c>
      <c r="B72" s="4" t="n">
        <v>831.12</v>
      </c>
      <c r="C72" s="3" t="n">
        <v>45994</v>
      </c>
      <c r="D72" s="3" t="n">
        <v>46078</v>
      </c>
      <c r="E72" s="2" t="n">
        <v>84</v>
      </c>
      <c r="F72" s="2" t="n">
        <v>3.69</v>
      </c>
      <c r="G72" s="2" t="n">
        <v>1.6</v>
      </c>
      <c r="H72" s="4" t="n">
        <v>13.3</v>
      </c>
      <c r="I72" s="4" t="n">
        <v>7.16</v>
      </c>
      <c r="J72" s="2" t="n">
        <v>20</v>
      </c>
      <c r="K72" s="4" t="n">
        <v>2.74</v>
      </c>
      <c r="L72" s="4" t="n">
        <v>1.49</v>
      </c>
      <c r="M72" s="4">
        <f>B72*(G72/100)*(J72/100)</f>
        <v/>
      </c>
      <c r="N72" s="4">
        <f>B72*(F72/360/100)*E72*(J72/100)</f>
        <v/>
      </c>
      <c r="O72" s="4">
        <f>K72-M72+L72-N72</f>
        <v/>
      </c>
    </row>
    <row r="73">
      <c r="A73" s="2" t="inlineStr">
        <is>
          <t>A46950300</t>
        </is>
      </c>
      <c r="B73" s="4" t="n">
        <v>115.51</v>
      </c>
      <c r="C73" s="3" t="n">
        <v>45999</v>
      </c>
      <c r="D73" s="3" t="n">
        <v>46042</v>
      </c>
      <c r="E73" s="2" t="n">
        <v>43</v>
      </c>
      <c r="F73" s="2" t="n">
        <v>5.38</v>
      </c>
      <c r="G73" s="2" t="n">
        <v>0.53</v>
      </c>
      <c r="H73" s="4" t="n">
        <v>0.61</v>
      </c>
      <c r="I73" s="4" t="n">
        <v>0.74</v>
      </c>
      <c r="J73" s="2" t="n">
        <v>30</v>
      </c>
      <c r="K73" s="4" t="n">
        <v>0.06</v>
      </c>
      <c r="L73" s="4" t="n">
        <v>0.34</v>
      </c>
      <c r="M73" s="4">
        <f>B73*(G73/100)*(J73/100)</f>
        <v/>
      </c>
      <c r="N73" s="4">
        <f>B73*(F73/360/100)*E73*(J73/100)</f>
        <v/>
      </c>
      <c r="O73" s="4">
        <f>K73-M73+L73-N73</f>
        <v/>
      </c>
    </row>
    <row r="74">
      <c r="A74" s="2" t="inlineStr">
        <is>
          <t>B27785166</t>
        </is>
      </c>
      <c r="B74" s="4" t="n">
        <v>2990.64</v>
      </c>
      <c r="C74" s="3" t="n">
        <v>45997</v>
      </c>
      <c r="D74" s="3" t="n">
        <v>46041</v>
      </c>
      <c r="E74" s="2" t="n">
        <v>44</v>
      </c>
      <c r="F74" s="2" t="n">
        <v>4.82</v>
      </c>
      <c r="G74" s="2" t="n">
        <v>1.42</v>
      </c>
      <c r="H74" s="4" t="n">
        <v>42.47</v>
      </c>
      <c r="I74" s="4" t="n">
        <v>17.62</v>
      </c>
      <c r="J74" s="2" t="n">
        <v>30</v>
      </c>
      <c r="K74" s="4" t="n">
        <v>12.63</v>
      </c>
      <c r="L74" s="4" t="n">
        <v>5</v>
      </c>
      <c r="M74" s="4">
        <f>B74*(G74/100)*(J74/100)</f>
        <v/>
      </c>
      <c r="N74" s="4">
        <f>B74*(F74/360/100)*E74*(J74/100)</f>
        <v/>
      </c>
      <c r="O74" s="4">
        <f>K74-M74+L74-N74</f>
        <v/>
      </c>
    </row>
    <row r="75">
      <c r="A75" s="2" t="inlineStr">
        <is>
          <t>B27785166</t>
        </is>
      </c>
      <c r="B75" s="4" t="n">
        <v>719.66</v>
      </c>
      <c r="C75" s="3" t="n">
        <v>46016</v>
      </c>
      <c r="D75" s="3" t="n">
        <v>46067</v>
      </c>
      <c r="E75" s="2" t="n">
        <v>51</v>
      </c>
      <c r="F75" s="2" t="n">
        <v>6.03</v>
      </c>
      <c r="G75" s="2" t="n">
        <v>1.35</v>
      </c>
      <c r="H75" s="4" t="n">
        <v>9.720000000000001</v>
      </c>
      <c r="I75" s="4" t="n">
        <v>6.15</v>
      </c>
      <c r="J75" s="2" t="n">
        <v>50</v>
      </c>
      <c r="K75" s="4" t="n">
        <v>4.65</v>
      </c>
      <c r="L75" s="4" t="n">
        <v>3.11</v>
      </c>
      <c r="M75" s="4">
        <f>B75*(G75/100)*(J75/100)</f>
        <v/>
      </c>
      <c r="N75" s="4">
        <f>B75*(F75/360/100)*E75*(J75/100)</f>
        <v/>
      </c>
      <c r="O75" s="4">
        <f>K75-M75+L75-N75</f>
        <v/>
      </c>
    </row>
    <row r="76">
      <c r="A76" s="2" t="inlineStr">
        <is>
          <t>B64207507</t>
        </is>
      </c>
      <c r="B76" s="4" t="n">
        <v>210.3</v>
      </c>
      <c r="C76" s="3" t="n">
        <v>45993</v>
      </c>
      <c r="D76" s="3" t="n">
        <v>46041</v>
      </c>
      <c r="E76" s="2" t="n">
        <v>48</v>
      </c>
      <c r="F76" s="2" t="n">
        <v>6.16</v>
      </c>
      <c r="G76" s="2" t="n">
        <v>1.36</v>
      </c>
      <c r="H76" s="4" t="n">
        <v>2.86</v>
      </c>
      <c r="I76" s="4" t="n">
        <v>1.73</v>
      </c>
      <c r="J76" s="2" t="n">
        <v>60</v>
      </c>
      <c r="K76" s="4" t="n">
        <v>1.88</v>
      </c>
      <c r="L76" s="4" t="n">
        <v>0.8</v>
      </c>
      <c r="M76" s="4">
        <f>B76*(G76/100)*(J76/100)</f>
        <v/>
      </c>
      <c r="N76" s="4">
        <f>B76*(F76/360/100)*E76*(J76/100)</f>
        <v/>
      </c>
      <c r="O76" s="4">
        <f>K76-M76+L76-N76</f>
        <v/>
      </c>
    </row>
    <row r="77">
      <c r="A77" s="2" t="inlineStr">
        <is>
          <t>B64207507</t>
        </is>
      </c>
      <c r="B77" s="4" t="n">
        <v>927.09</v>
      </c>
      <c r="C77" s="3" t="n">
        <v>46012</v>
      </c>
      <c r="D77" s="3" t="n">
        <v>46069</v>
      </c>
      <c r="E77" s="2" t="n">
        <v>57</v>
      </c>
      <c r="F77" s="2" t="n">
        <v>6.24</v>
      </c>
      <c r="G77" s="2" t="n">
        <v>1.19</v>
      </c>
      <c r="H77" s="4" t="n">
        <v>11.03</v>
      </c>
      <c r="I77" s="4" t="n">
        <v>9.16</v>
      </c>
      <c r="J77" s="2" t="n">
        <v>50</v>
      </c>
      <c r="K77" s="4" t="n">
        <v>5.78</v>
      </c>
      <c r="L77" s="4" t="n">
        <v>4.37</v>
      </c>
      <c r="M77" s="4">
        <f>B77*(G77/100)*(J77/100)</f>
        <v/>
      </c>
      <c r="N77" s="4">
        <f>B77*(F77/360/100)*E77*(J77/100)</f>
        <v/>
      </c>
      <c r="O77" s="4">
        <f>K77-M77+L77-N77</f>
        <v/>
      </c>
    </row>
    <row r="78">
      <c r="A78" s="2" t="inlineStr">
        <is>
          <t>B09286084</t>
        </is>
      </c>
      <c r="B78" s="4" t="n">
        <v>639.0700000000001</v>
      </c>
      <c r="C78" s="3" t="n">
        <v>46017</v>
      </c>
      <c r="D78" s="3" t="n">
        <v>46058</v>
      </c>
      <c r="E78" s="2" t="n">
        <v>41</v>
      </c>
      <c r="F78" s="2" t="n">
        <v>5.83</v>
      </c>
      <c r="G78" s="2" t="n">
        <v>1.9</v>
      </c>
      <c r="H78" s="4" t="n">
        <v>12.14</v>
      </c>
      <c r="I78" s="4" t="n">
        <v>4.24</v>
      </c>
      <c r="J78" s="2" t="n">
        <v>50</v>
      </c>
      <c r="K78" s="4" t="n">
        <v>6.35</v>
      </c>
      <c r="L78" s="4" t="n">
        <v>2.03</v>
      </c>
      <c r="M78" s="4">
        <f>B78*(G78/100)*(J78/100)</f>
        <v/>
      </c>
      <c r="N78" s="4">
        <f>B78*(F78/360/100)*E78*(J78/100)</f>
        <v/>
      </c>
      <c r="O78" s="4">
        <f>K78-M78+L78-N78</f>
        <v/>
      </c>
    </row>
    <row r="79">
      <c r="A79" s="2" t="inlineStr">
        <is>
          <t>B09286084</t>
        </is>
      </c>
      <c r="B79" s="4" t="n">
        <v>383.08</v>
      </c>
      <c r="C79" s="3" t="n">
        <v>45997</v>
      </c>
      <c r="D79" s="3" t="n">
        <v>46062</v>
      </c>
      <c r="E79" s="2" t="n">
        <v>65</v>
      </c>
      <c r="F79" s="2" t="n">
        <v>6.01</v>
      </c>
      <c r="G79" s="2" t="n">
        <v>1.64</v>
      </c>
      <c r="H79" s="4" t="n">
        <v>6.28</v>
      </c>
      <c r="I79" s="4" t="n">
        <v>4.16</v>
      </c>
      <c r="J79" s="2" t="n">
        <v>70</v>
      </c>
      <c r="K79" s="4" t="n">
        <v>4.55</v>
      </c>
      <c r="L79" s="4" t="n">
        <v>2.74</v>
      </c>
      <c r="M79" s="4">
        <f>B79*(G79/100)*(J79/100)</f>
        <v/>
      </c>
      <c r="N79" s="4">
        <f>B79*(F79/360/100)*E79*(J79/100)</f>
        <v/>
      </c>
      <c r="O79" s="4">
        <f>K79-M79+L79-N79</f>
        <v/>
      </c>
    </row>
    <row r="80">
      <c r="A80" s="2" t="inlineStr">
        <is>
          <t>B23121122</t>
        </is>
      </c>
      <c r="B80" s="4" t="n">
        <v>161.64</v>
      </c>
      <c r="C80" s="3" t="n">
        <v>45997</v>
      </c>
      <c r="D80" s="3" t="n">
        <v>46080</v>
      </c>
      <c r="E80" s="2" t="n">
        <v>83</v>
      </c>
      <c r="F80" s="2" t="n">
        <v>6.6</v>
      </c>
      <c r="G80" s="2" t="n">
        <v>1.85</v>
      </c>
      <c r="H80" s="4" t="n">
        <v>2.99</v>
      </c>
      <c r="I80" s="4" t="n">
        <v>2.46</v>
      </c>
      <c r="J80" s="2" t="n">
        <v>70</v>
      </c>
      <c r="K80" s="4" t="n">
        <v>2.36</v>
      </c>
      <c r="L80" s="4" t="n">
        <v>1.66</v>
      </c>
      <c r="M80" s="4">
        <f>B80*(G80/100)*(J80/100)</f>
        <v/>
      </c>
      <c r="N80" s="4">
        <f>B80*(F80/360/100)*E80*(J80/100)</f>
        <v/>
      </c>
      <c r="O80" s="4">
        <f>K80-M80+L80-N80</f>
        <v/>
      </c>
    </row>
    <row r="81">
      <c r="A81" s="2" t="inlineStr">
        <is>
          <t>B23121122</t>
        </is>
      </c>
      <c r="B81" s="4" t="n">
        <v>6145.42</v>
      </c>
      <c r="C81" s="3" t="n">
        <v>46005</v>
      </c>
      <c r="D81" s="3" t="n">
        <v>46050</v>
      </c>
      <c r="E81" s="2" t="n">
        <v>45</v>
      </c>
      <c r="F81" s="2" t="n">
        <v>5.72</v>
      </c>
      <c r="G81" s="2" t="n">
        <v>1.31</v>
      </c>
      <c r="H81" s="4" t="n">
        <v>80.51000000000001</v>
      </c>
      <c r="I81" s="4" t="n">
        <v>43.94</v>
      </c>
      <c r="J81" s="2" t="n">
        <v>30</v>
      </c>
      <c r="K81" s="4" t="n">
        <v>23.94</v>
      </c>
      <c r="L81" s="4" t="n">
        <v>13.15</v>
      </c>
      <c r="M81" s="4">
        <f>B81*(G81/100)*(J81/100)</f>
        <v/>
      </c>
      <c r="N81" s="4">
        <f>B81*(F81/360/100)*E81*(J81/100)</f>
        <v/>
      </c>
      <c r="O81" s="4">
        <f>K81-M81+L81-N81</f>
        <v/>
      </c>
    </row>
    <row r="82">
      <c r="A82" s="2" t="inlineStr">
        <is>
          <t>B23121122</t>
        </is>
      </c>
      <c r="B82" s="4" t="n">
        <v>605.41</v>
      </c>
      <c r="C82" s="3" t="n">
        <v>45994</v>
      </c>
      <c r="D82" s="3" t="n">
        <v>46056</v>
      </c>
      <c r="E82" s="2" t="n">
        <v>62</v>
      </c>
      <c r="F82" s="2" t="n">
        <v>6.37</v>
      </c>
      <c r="G82" s="2" t="n">
        <v>1.74</v>
      </c>
      <c r="H82" s="4" t="n">
        <v>10.53</v>
      </c>
      <c r="I82" s="4" t="n">
        <v>6.64</v>
      </c>
      <c r="J82" s="2" t="n">
        <v>60</v>
      </c>
      <c r="K82" s="4" t="n">
        <v>6.31</v>
      </c>
      <c r="L82" s="4" t="n">
        <v>3.8</v>
      </c>
      <c r="M82" s="4">
        <f>B82*(G82/100)*(J82/100)</f>
        <v/>
      </c>
      <c r="N82" s="4">
        <f>B82*(F82/360/100)*E82*(J82/100)</f>
        <v/>
      </c>
      <c r="O82" s="4">
        <f>K82-M82+L82-N82</f>
        <v/>
      </c>
    </row>
    <row r="83">
      <c r="A83" s="2" t="inlineStr">
        <is>
          <t>A75878906</t>
        </is>
      </c>
      <c r="B83" s="4" t="n">
        <v>542.42</v>
      </c>
      <c r="C83" s="3" t="n">
        <v>46013</v>
      </c>
      <c r="D83" s="3" t="n">
        <v>46099</v>
      </c>
      <c r="E83" s="2" t="n">
        <v>86</v>
      </c>
      <c r="F83" s="2" t="n">
        <v>4.18</v>
      </c>
      <c r="G83" s="2" t="n">
        <v>0.84</v>
      </c>
      <c r="H83" s="4" t="n">
        <v>4.56</v>
      </c>
      <c r="I83" s="4" t="n">
        <v>5.42</v>
      </c>
      <c r="J83" s="2" t="n">
        <v>50</v>
      </c>
      <c r="K83" s="4" t="n">
        <v>2.14</v>
      </c>
      <c r="L83" s="4" t="n">
        <v>2.91</v>
      </c>
      <c r="M83" s="4">
        <f>B83*(G83/100)*(J83/100)</f>
        <v/>
      </c>
      <c r="N83" s="4">
        <f>B83*(F83/360/100)*E83*(J83/100)</f>
        <v/>
      </c>
      <c r="O83" s="4">
        <f>K83-M83+L83-N83</f>
        <v/>
      </c>
    </row>
    <row r="84">
      <c r="A84" s="2" t="inlineStr">
        <is>
          <t>A75878906</t>
        </is>
      </c>
      <c r="B84" s="4" t="n">
        <v>8404.860000000001</v>
      </c>
      <c r="C84" s="3" t="n">
        <v>46015</v>
      </c>
      <c r="D84" s="3" t="n">
        <v>46103</v>
      </c>
      <c r="E84" s="2" t="n">
        <v>88</v>
      </c>
      <c r="F84" s="2" t="n">
        <v>5.38</v>
      </c>
      <c r="G84" s="2" t="n">
        <v>0.68</v>
      </c>
      <c r="H84" s="4" t="n">
        <v>57.15</v>
      </c>
      <c r="I84" s="4" t="n">
        <v>110.53</v>
      </c>
      <c r="J84" s="2" t="n">
        <v>70</v>
      </c>
      <c r="K84" s="4" t="n">
        <v>39.82</v>
      </c>
      <c r="L84" s="4" t="n">
        <v>77.53</v>
      </c>
      <c r="M84" s="4">
        <f>B84*(G84/100)*(J84/100)</f>
        <v/>
      </c>
      <c r="N84" s="4">
        <f>B84*(F84/360/100)*E84*(J84/100)</f>
        <v/>
      </c>
      <c r="O84" s="4">
        <f>K84-M84+L84-N84</f>
        <v/>
      </c>
    </row>
    <row r="85">
      <c r="A85" s="2" t="inlineStr">
        <is>
          <t>A02265641</t>
        </is>
      </c>
      <c r="B85" s="4" t="n">
        <v>122.24</v>
      </c>
      <c r="C85" s="3" t="n">
        <v>46011</v>
      </c>
      <c r="D85" s="3" t="n">
        <v>46042</v>
      </c>
      <c r="E85" s="2" t="n">
        <v>31</v>
      </c>
      <c r="F85" s="2" t="n">
        <v>4.79</v>
      </c>
      <c r="G85" s="2" t="n">
        <v>1.17</v>
      </c>
      <c r="H85" s="4" t="n">
        <v>1.43</v>
      </c>
      <c r="I85" s="4" t="n">
        <v>0.5</v>
      </c>
      <c r="J85" s="2" t="n">
        <v>20</v>
      </c>
      <c r="K85" s="4" t="n">
        <v>0.17</v>
      </c>
      <c r="L85" s="4" t="n">
        <v>0.35</v>
      </c>
      <c r="M85" s="4">
        <f>B85*(G85/100)*(J85/100)</f>
        <v/>
      </c>
      <c r="N85" s="4">
        <f>B85*(F85/360/100)*E85*(J85/100)</f>
        <v/>
      </c>
      <c r="O85" s="4">
        <f>K85-M85+L85-N85</f>
        <v/>
      </c>
    </row>
    <row r="86">
      <c r="A86" s="2" t="inlineStr">
        <is>
          <t>A02265641</t>
        </is>
      </c>
      <c r="B86" s="4" t="n">
        <v>3488.33</v>
      </c>
      <c r="C86" s="3" t="n">
        <v>46017</v>
      </c>
      <c r="D86" s="3" t="n">
        <v>46079</v>
      </c>
      <c r="E86" s="2" t="n">
        <v>62</v>
      </c>
      <c r="F86" s="2" t="n">
        <v>5.93</v>
      </c>
      <c r="G86" s="2" t="n">
        <v>1.81</v>
      </c>
      <c r="H86" s="4" t="n">
        <v>63.14</v>
      </c>
      <c r="I86" s="4" t="n">
        <v>35.63</v>
      </c>
      <c r="J86" s="2" t="n">
        <v>60</v>
      </c>
      <c r="K86" s="4" t="n">
        <v>37.98</v>
      </c>
      <c r="L86" s="4" t="n">
        <v>21.24</v>
      </c>
      <c r="M86" s="4">
        <f>B86*(G86/100)*(J86/100)</f>
        <v/>
      </c>
      <c r="N86" s="4">
        <f>B86*(F86/360/100)*E86*(J86/100)</f>
        <v/>
      </c>
      <c r="O86" s="4">
        <f>K86-M86+L86-N86</f>
        <v/>
      </c>
    </row>
    <row r="87">
      <c r="A87" s="2" t="inlineStr">
        <is>
          <t>A75878906</t>
        </is>
      </c>
      <c r="B87" s="4" t="n">
        <v>157.3</v>
      </c>
      <c r="C87" s="3" t="n">
        <v>46005</v>
      </c>
      <c r="D87" s="3" t="n">
        <v>46095</v>
      </c>
      <c r="E87" s="2" t="n">
        <v>90</v>
      </c>
      <c r="F87" s="2" t="n">
        <v>3.83</v>
      </c>
      <c r="G87" s="2" t="n">
        <v>1.3</v>
      </c>
      <c r="H87" s="4" t="n">
        <v>2.04</v>
      </c>
      <c r="I87" s="4" t="n">
        <v>1.51</v>
      </c>
      <c r="J87" s="2" t="n">
        <v>20</v>
      </c>
      <c r="K87" s="4" t="n">
        <v>0.17</v>
      </c>
      <c r="L87" s="4" t="n">
        <v>0.08</v>
      </c>
      <c r="M87" s="4">
        <f>B87*(G87/100)*(J87/100)</f>
        <v/>
      </c>
      <c r="N87" s="4">
        <f>B87*(F87/360/100)*E87*(J87/100)</f>
        <v/>
      </c>
      <c r="O87" s="4">
        <f>K87-M87+L87-N87</f>
        <v/>
      </c>
    </row>
    <row r="88">
      <c r="A88" s="2" t="inlineStr">
        <is>
          <t>A75878906</t>
        </is>
      </c>
      <c r="B88" s="4" t="n">
        <v>417.51</v>
      </c>
      <c r="C88" s="3" t="n">
        <v>46019</v>
      </c>
      <c r="D88" s="3" t="n">
        <v>46108</v>
      </c>
      <c r="E88" s="2" t="n">
        <v>89</v>
      </c>
      <c r="F88" s="2" t="n">
        <v>5.53</v>
      </c>
      <c r="G88" s="2" t="n">
        <v>0.68</v>
      </c>
      <c r="H88" s="4" t="n">
        <v>2.84</v>
      </c>
      <c r="I88" s="4" t="n">
        <v>5.71</v>
      </c>
      <c r="J88" s="2" t="n">
        <v>70</v>
      </c>
      <c r="K88" s="4" t="n">
        <v>2</v>
      </c>
      <c r="L88" s="4" t="n">
        <v>3.79</v>
      </c>
      <c r="M88" s="4">
        <f>B88*(G88/100)*(J88/100)</f>
        <v/>
      </c>
      <c r="N88" s="4">
        <f>B88*(F88/360/100)*E88*(J88/100)</f>
        <v/>
      </c>
      <c r="O88" s="4">
        <f>K88-M88+L88-N88</f>
        <v/>
      </c>
    </row>
    <row r="89">
      <c r="A89" s="2" t="inlineStr">
        <is>
          <t>A75878906</t>
        </is>
      </c>
      <c r="B89" s="4" t="n">
        <v>568.54</v>
      </c>
      <c r="C89" s="3" t="n">
        <v>46001</v>
      </c>
      <c r="D89" s="3" t="n">
        <v>46089</v>
      </c>
      <c r="E89" s="2" t="n">
        <v>88</v>
      </c>
      <c r="F89" s="2" t="n">
        <v>4.4</v>
      </c>
      <c r="G89" s="2" t="n">
        <v>1.89</v>
      </c>
      <c r="H89" s="4" t="n">
        <v>10.75</v>
      </c>
      <c r="I89" s="4" t="n">
        <v>6.11</v>
      </c>
      <c r="J89" s="2" t="n">
        <v>50</v>
      </c>
      <c r="K89" s="4" t="n">
        <v>5.67</v>
      </c>
      <c r="L89" s="4" t="n">
        <v>3.18</v>
      </c>
      <c r="M89" s="4">
        <f>B89*(G89/100)*(J89/100)</f>
        <v/>
      </c>
      <c r="N89" s="4">
        <f>B89*(F89/360/100)*E89*(J89/100)</f>
        <v/>
      </c>
      <c r="O89" s="4">
        <f>K89-M89+L89-N89</f>
        <v/>
      </c>
    </row>
    <row r="90">
      <c r="A90" s="2" t="inlineStr">
        <is>
          <t>B23607696</t>
        </is>
      </c>
      <c r="B90" s="4" t="n">
        <v>794.91</v>
      </c>
      <c r="C90" s="3" t="n">
        <v>46000</v>
      </c>
      <c r="D90" s="3" t="n">
        <v>46063</v>
      </c>
      <c r="E90" s="2" t="n">
        <v>63</v>
      </c>
      <c r="F90" s="2" t="n">
        <v>6.48</v>
      </c>
      <c r="G90" s="2" t="n">
        <v>0.83</v>
      </c>
      <c r="H90" s="4" t="n">
        <v>6.6</v>
      </c>
      <c r="I90" s="4" t="n">
        <v>9.01</v>
      </c>
      <c r="J90" s="2" t="n">
        <v>60</v>
      </c>
      <c r="K90" s="4" t="n">
        <v>4.2</v>
      </c>
      <c r="L90" s="4" t="n">
        <v>5.38</v>
      </c>
      <c r="M90" s="4">
        <f>B90*(G90/100)*(J90/100)</f>
        <v/>
      </c>
      <c r="N90" s="4">
        <f>B90*(F90/360/100)*E90*(J90/100)</f>
        <v/>
      </c>
      <c r="O90" s="4">
        <f>K90-M90+L90-N90</f>
        <v/>
      </c>
    </row>
    <row r="91">
      <c r="A91" s="2" t="inlineStr">
        <is>
          <t>B23607696</t>
        </is>
      </c>
      <c r="B91" s="4" t="n">
        <v>684.71</v>
      </c>
      <c r="C91" s="3" t="n">
        <v>45996</v>
      </c>
      <c r="D91" s="3" t="n">
        <v>46069</v>
      </c>
      <c r="E91" s="2" t="n">
        <v>73</v>
      </c>
      <c r="F91" s="2" t="n">
        <v>5.05</v>
      </c>
      <c r="G91" s="2" t="n">
        <v>1.18</v>
      </c>
      <c r="H91" s="4" t="n">
        <v>8.08</v>
      </c>
      <c r="I91" s="4" t="n">
        <v>7.01</v>
      </c>
      <c r="J91" s="2" t="n">
        <v>40</v>
      </c>
      <c r="K91" s="4" t="n">
        <v>3.16</v>
      </c>
      <c r="L91" s="4" t="n">
        <v>2.75</v>
      </c>
      <c r="M91" s="4">
        <f>B91*(G91/100)*(J91/100)</f>
        <v/>
      </c>
      <c r="N91" s="4">
        <f>B91*(F91/360/100)*E91*(J91/100)</f>
        <v/>
      </c>
      <c r="O91" s="4">
        <f>K91-M91+L91-N91</f>
        <v/>
      </c>
    </row>
    <row r="92">
      <c r="A92" s="2" t="inlineStr">
        <is>
          <t>B23607696</t>
        </is>
      </c>
      <c r="B92" s="4" t="n">
        <v>918.86</v>
      </c>
      <c r="C92" s="3" t="n">
        <v>46009</v>
      </c>
      <c r="D92" s="3" t="n">
        <v>46063</v>
      </c>
      <c r="E92" s="2" t="n">
        <v>54</v>
      </c>
      <c r="F92" s="2" t="n">
        <v>6.1</v>
      </c>
      <c r="G92" s="2" t="n">
        <v>1.88</v>
      </c>
      <c r="H92" s="4" t="n">
        <v>17.27</v>
      </c>
      <c r="I92" s="4" t="n">
        <v>8.41</v>
      </c>
      <c r="J92" s="2" t="n">
        <v>30</v>
      </c>
      <c r="K92" s="4" t="n">
        <v>5.06</v>
      </c>
      <c r="L92" s="4" t="n">
        <v>2.28</v>
      </c>
      <c r="M92" s="4">
        <f>B92*(G92/100)*(J92/100)</f>
        <v/>
      </c>
      <c r="N92" s="4">
        <f>B92*(F92/360/100)*E92*(J92/100)</f>
        <v/>
      </c>
      <c r="O92" s="4">
        <f>K92-M92+L92-N92</f>
        <v/>
      </c>
    </row>
    <row r="93">
      <c r="A93" s="2" t="inlineStr">
        <is>
          <t>B22209928</t>
        </is>
      </c>
      <c r="B93" s="4" t="n">
        <v>424.48</v>
      </c>
      <c r="C93" s="3" t="n">
        <v>46004</v>
      </c>
      <c r="D93" s="3" t="n">
        <v>46076</v>
      </c>
      <c r="E93" s="2" t="n">
        <v>72</v>
      </c>
      <c r="F93" s="2" t="n">
        <v>6.53</v>
      </c>
      <c r="G93" s="2" t="n">
        <v>1.47</v>
      </c>
      <c r="H93" s="4" t="n">
        <v>6.24</v>
      </c>
      <c r="I93" s="4" t="n">
        <v>5.54</v>
      </c>
      <c r="J93" s="2" t="n">
        <v>40</v>
      </c>
      <c r="K93" s="4" t="n">
        <v>2.47</v>
      </c>
      <c r="L93" s="4" t="n">
        <v>2.33</v>
      </c>
      <c r="M93" s="4">
        <f>B93*(G93/100)*(J93/100)</f>
        <v/>
      </c>
      <c r="N93" s="4">
        <f>B93*(F93/360/100)*E93*(J93/100)</f>
        <v/>
      </c>
      <c r="O93" s="4">
        <f>K93-M93+L93-N93</f>
        <v/>
      </c>
    </row>
    <row r="94">
      <c r="A94" s="2" t="inlineStr">
        <is>
          <t>B22209928</t>
        </is>
      </c>
      <c r="B94" s="4" t="n">
        <v>5539.33</v>
      </c>
      <c r="C94" s="3" t="n">
        <v>45995</v>
      </c>
      <c r="D94" s="3" t="n">
        <v>46085</v>
      </c>
      <c r="E94" s="2" t="n">
        <v>90</v>
      </c>
      <c r="F94" s="2" t="n">
        <v>4.9</v>
      </c>
      <c r="G94" s="2" t="n">
        <v>0.53</v>
      </c>
      <c r="H94" s="4" t="n">
        <v>29.36</v>
      </c>
      <c r="I94" s="4" t="n">
        <v>67.86</v>
      </c>
      <c r="J94" s="2" t="n">
        <v>50</v>
      </c>
      <c r="K94" s="4" t="n">
        <v>14.43</v>
      </c>
      <c r="L94" s="4" t="n">
        <v>33.81</v>
      </c>
      <c r="M94" s="4">
        <f>B94*(G94/100)*(J94/100)</f>
        <v/>
      </c>
      <c r="N94" s="4">
        <f>B94*(F94/360/100)*E94*(J94/100)</f>
        <v/>
      </c>
      <c r="O94" s="4">
        <f>K94-M94+L94-N94</f>
        <v/>
      </c>
    </row>
    <row r="95">
      <c r="A95" s="2" t="inlineStr">
        <is>
          <t>B22209928</t>
        </is>
      </c>
      <c r="B95" s="4" t="n">
        <v>133.89</v>
      </c>
      <c r="C95" s="3" t="n">
        <v>46015</v>
      </c>
      <c r="D95" s="3" t="n">
        <v>46091</v>
      </c>
      <c r="E95" s="2" t="n">
        <v>76</v>
      </c>
      <c r="F95" s="2" t="n">
        <v>3.6</v>
      </c>
      <c r="G95" s="2" t="n">
        <v>1.96</v>
      </c>
      <c r="H95" s="4" t="n">
        <v>2.62</v>
      </c>
      <c r="I95" s="4" t="n">
        <v>1.02</v>
      </c>
      <c r="J95" s="2" t="n">
        <v>50</v>
      </c>
      <c r="K95" s="4" t="n">
        <v>1.33</v>
      </c>
      <c r="L95" s="4" t="n">
        <v>0.6</v>
      </c>
      <c r="M95" s="4">
        <f>B95*(G95/100)*(J95/100)</f>
        <v/>
      </c>
      <c r="N95" s="4">
        <f>B95*(F95/360/100)*E95*(J95/100)</f>
        <v/>
      </c>
      <c r="O95" s="4">
        <f>K95-M95+L95-N95</f>
        <v/>
      </c>
    </row>
    <row r="96">
      <c r="A96" s="2" t="inlineStr">
        <is>
          <t>A10220438</t>
        </is>
      </c>
      <c r="B96" s="4" t="n">
        <v>1076.24</v>
      </c>
      <c r="C96" s="3" t="n">
        <v>45996</v>
      </c>
      <c r="D96" s="3" t="n">
        <v>46027</v>
      </c>
      <c r="E96" s="2" t="n">
        <v>31</v>
      </c>
      <c r="F96" s="2" t="n">
        <v>4.33</v>
      </c>
      <c r="G96" s="2" t="n">
        <v>0.87</v>
      </c>
      <c r="H96" s="4" t="n">
        <v>9.359999999999999</v>
      </c>
      <c r="I96" s="4" t="n">
        <v>4.01</v>
      </c>
      <c r="J96" s="2" t="n">
        <v>30</v>
      </c>
      <c r="K96" s="4" t="n">
        <v>2.93</v>
      </c>
      <c r="L96" s="4" t="n">
        <v>1.28</v>
      </c>
      <c r="M96" s="4">
        <f>B96*(G96/100)*(J96/100)</f>
        <v/>
      </c>
      <c r="N96" s="4">
        <f>B96*(F96/360/100)*E96*(J96/100)</f>
        <v/>
      </c>
      <c r="O96" s="4">
        <f>K96-M96+L96-N96</f>
        <v/>
      </c>
    </row>
    <row r="97">
      <c r="A97" s="2" t="inlineStr">
        <is>
          <t>A10220438</t>
        </is>
      </c>
      <c r="B97" s="4" t="n">
        <v>642.05</v>
      </c>
      <c r="C97" s="3" t="n">
        <v>45998</v>
      </c>
      <c r="D97" s="3" t="n">
        <v>46041</v>
      </c>
      <c r="E97" s="2" t="n">
        <v>43</v>
      </c>
      <c r="F97" s="2" t="n">
        <v>3.97</v>
      </c>
      <c r="G97" s="2" t="n">
        <v>1.73</v>
      </c>
      <c r="H97" s="4" t="n">
        <v>11.11</v>
      </c>
      <c r="I97" s="4" t="n">
        <v>3.04</v>
      </c>
      <c r="J97" s="2" t="n">
        <v>70</v>
      </c>
      <c r="K97" s="4" t="n">
        <v>7.58</v>
      </c>
      <c r="L97" s="4" t="n">
        <v>2.02</v>
      </c>
      <c r="M97" s="4">
        <f>B97*(G97/100)*(J97/100)</f>
        <v/>
      </c>
      <c r="N97" s="4">
        <f>B97*(F97/360/100)*E97*(J97/100)</f>
        <v/>
      </c>
      <c r="O97" s="4">
        <f>K97-M97+L97-N97</f>
        <v/>
      </c>
    </row>
    <row r="98">
      <c r="A98" s="2" t="inlineStr">
        <is>
          <t>A10220438</t>
        </is>
      </c>
      <c r="B98" s="4" t="n">
        <v>181.67</v>
      </c>
      <c r="C98" s="3" t="n">
        <v>46000</v>
      </c>
      <c r="D98" s="3" t="n">
        <v>46049</v>
      </c>
      <c r="E98" s="2" t="n">
        <v>49</v>
      </c>
      <c r="F98" s="2" t="n">
        <v>6.53</v>
      </c>
      <c r="G98" s="2" t="n">
        <v>0.5600000000000001</v>
      </c>
      <c r="H98" s="4" t="n">
        <v>1.02</v>
      </c>
      <c r="I98" s="4" t="n">
        <v>1.61</v>
      </c>
      <c r="J98" s="2" t="n">
        <v>40</v>
      </c>
      <c r="K98" s="4" t="n">
        <v>0.6</v>
      </c>
      <c r="L98" s="4" t="n">
        <v>0.67</v>
      </c>
      <c r="M98" s="4">
        <f>B98*(G98/100)*(J98/100)</f>
        <v/>
      </c>
      <c r="N98" s="4">
        <f>B98*(F98/360/100)*E98*(J98/100)</f>
        <v/>
      </c>
      <c r="O98" s="4">
        <f>K98-M98+L98-N98</f>
        <v/>
      </c>
    </row>
    <row r="99">
      <c r="A99" s="2" t="inlineStr">
        <is>
          <t>A96007606</t>
        </is>
      </c>
      <c r="B99" s="4" t="n">
        <v>6581.01</v>
      </c>
      <c r="C99" s="3" t="n">
        <v>46017</v>
      </c>
      <c r="D99" s="3" t="n">
        <v>46077</v>
      </c>
      <c r="E99" s="2" t="n">
        <v>60</v>
      </c>
      <c r="F99" s="2" t="n">
        <v>4.59</v>
      </c>
      <c r="G99" s="2" t="n">
        <v>1.72</v>
      </c>
      <c r="H99" s="4" t="n">
        <v>113.19</v>
      </c>
      <c r="I99" s="4" t="n">
        <v>50.34</v>
      </c>
      <c r="J99" s="2" t="n">
        <v>40</v>
      </c>
      <c r="K99" s="4" t="n">
        <v>45.11</v>
      </c>
      <c r="L99" s="4" t="n">
        <v>19.89</v>
      </c>
      <c r="M99" s="4">
        <f>B99*(G99/100)*(J99/100)</f>
        <v/>
      </c>
      <c r="N99" s="4">
        <f>B99*(F99/360/100)*E99*(J99/100)</f>
        <v/>
      </c>
      <c r="O99" s="4">
        <f>K99-M99+L99-N99</f>
        <v/>
      </c>
    </row>
    <row r="100">
      <c r="A100" s="2" t="inlineStr">
        <is>
          <t>A96007606</t>
        </is>
      </c>
      <c r="B100" s="4" t="n">
        <v>510.88</v>
      </c>
      <c r="C100" s="3" t="n">
        <v>45994</v>
      </c>
      <c r="D100" s="3" t="n">
        <v>46033</v>
      </c>
      <c r="E100" s="2" t="n">
        <v>39</v>
      </c>
      <c r="F100" s="2" t="n">
        <v>5.99</v>
      </c>
      <c r="G100" s="2" t="n">
        <v>0.66</v>
      </c>
      <c r="H100" s="4" t="n">
        <v>3.37</v>
      </c>
      <c r="I100" s="4" t="n">
        <v>3.32</v>
      </c>
      <c r="J100" s="2" t="n">
        <v>30</v>
      </c>
      <c r="K100" s="4" t="n">
        <v>1.11</v>
      </c>
      <c r="L100" s="4" t="n">
        <v>1.02</v>
      </c>
      <c r="M100" s="4">
        <f>B100*(G100/100)*(J100/100)</f>
        <v/>
      </c>
      <c r="N100" s="4">
        <f>B100*(F100/360/100)*E100*(J100/100)</f>
        <v/>
      </c>
      <c r="O100" s="4">
        <f>K100-M100+L100-N100</f>
        <v/>
      </c>
    </row>
    <row r="101">
      <c r="A101" s="2" t="inlineStr">
        <is>
          <t>A96007606</t>
        </is>
      </c>
      <c r="B101" s="4" t="n">
        <v>293.43</v>
      </c>
      <c r="C101" s="3" t="n">
        <v>45994</v>
      </c>
      <c r="D101" s="3" t="n">
        <v>46053</v>
      </c>
      <c r="E101" s="2" t="n">
        <v>59</v>
      </c>
      <c r="F101" s="2" t="n">
        <v>3.67</v>
      </c>
      <c r="G101" s="2" t="n">
        <v>0.53</v>
      </c>
      <c r="H101" s="4" t="n">
        <v>1.56</v>
      </c>
      <c r="I101" s="4" t="n">
        <v>1.76</v>
      </c>
      <c r="J101" s="2" t="n">
        <v>30</v>
      </c>
      <c r="K101" s="4" t="n">
        <v>0.66</v>
      </c>
      <c r="L101" s="4" t="n">
        <v>0.23</v>
      </c>
      <c r="M101" s="4">
        <f>B101*(G101/100)*(J101/100)</f>
        <v/>
      </c>
      <c r="N101" s="4">
        <f>B101*(F101/360/100)*E101*(J101/100)</f>
        <v/>
      </c>
      <c r="O101" s="4">
        <f>K101-M101+L101-N101</f>
        <v/>
      </c>
    </row>
    <row r="102">
      <c r="A102" s="2" t="inlineStr">
        <is>
          <t>B45920308</t>
        </is>
      </c>
      <c r="B102" s="4" t="n">
        <v>9100.51</v>
      </c>
      <c r="C102" s="3" t="n">
        <v>46002</v>
      </c>
      <c r="D102" s="3" t="n">
        <v>46046</v>
      </c>
      <c r="E102" s="2" t="n">
        <v>44</v>
      </c>
      <c r="F102" s="2" t="n">
        <v>5.61</v>
      </c>
      <c r="G102" s="2" t="n">
        <v>0.89</v>
      </c>
      <c r="H102" s="4" t="n">
        <v>80.98999999999999</v>
      </c>
      <c r="I102" s="4" t="n">
        <v>62.4</v>
      </c>
      <c r="J102" s="2" t="n">
        <v>50</v>
      </c>
      <c r="K102" s="4" t="n">
        <v>40.32</v>
      </c>
      <c r="L102" s="4" t="n">
        <v>31.06</v>
      </c>
      <c r="M102" s="4">
        <f>B102*(G102/100)*(J102/100)</f>
        <v/>
      </c>
      <c r="N102" s="4">
        <f>B102*(F102/360/100)*E102*(J102/100)</f>
        <v/>
      </c>
      <c r="O102" s="4">
        <f>K102-M102+L102-N102</f>
        <v/>
      </c>
    </row>
    <row r="103">
      <c r="A103" s="2" t="inlineStr">
        <is>
          <t>B45920308</t>
        </is>
      </c>
      <c r="B103" s="4" t="n">
        <v>950.95</v>
      </c>
      <c r="C103" s="3" t="n">
        <v>46019</v>
      </c>
      <c r="D103" s="3" t="n">
        <v>46093</v>
      </c>
      <c r="E103" s="2" t="n">
        <v>74</v>
      </c>
      <c r="F103" s="2" t="n">
        <v>4.02</v>
      </c>
      <c r="G103" s="2" t="n">
        <v>1.9</v>
      </c>
      <c r="H103" s="4" t="n">
        <v>18.07</v>
      </c>
      <c r="I103" s="4" t="n">
        <v>7.86</v>
      </c>
      <c r="J103" s="2" t="n">
        <v>40</v>
      </c>
      <c r="K103" s="4" t="n">
        <v>7.07</v>
      </c>
      <c r="L103" s="4" t="n">
        <v>3.36</v>
      </c>
      <c r="M103" s="4">
        <f>B103*(G103/100)*(J103/100)</f>
        <v/>
      </c>
      <c r="N103" s="4">
        <f>B103*(F103/360/100)*E103*(J103/100)</f>
        <v/>
      </c>
      <c r="O103" s="4">
        <f>K103-M103+L103-N103</f>
        <v/>
      </c>
    </row>
    <row r="104">
      <c r="A104" s="2" t="inlineStr">
        <is>
          <t>B64401496</t>
        </is>
      </c>
      <c r="B104" s="4" t="n">
        <v>477.82</v>
      </c>
      <c r="C104" s="3" t="n">
        <v>46010</v>
      </c>
      <c r="D104" s="3" t="n">
        <v>46058</v>
      </c>
      <c r="E104" s="2" t="n">
        <v>48</v>
      </c>
      <c r="F104" s="2" t="n">
        <v>5.36</v>
      </c>
      <c r="G104" s="2" t="n">
        <v>1.62</v>
      </c>
      <c r="H104" s="4" t="n">
        <v>7.74</v>
      </c>
      <c r="I104" s="4" t="n">
        <v>3.41</v>
      </c>
      <c r="J104" s="2" t="n">
        <v>60</v>
      </c>
      <c r="K104" s="4" t="n">
        <v>4.51</v>
      </c>
      <c r="L104" s="4" t="n">
        <v>2.25</v>
      </c>
      <c r="M104" s="4">
        <f>B104*(G104/100)*(J104/100)</f>
        <v/>
      </c>
      <c r="N104" s="4">
        <f>B104*(F104/360/100)*E104*(J104/100)</f>
        <v/>
      </c>
      <c r="O104" s="4">
        <f>K104-M104+L104-N104</f>
        <v/>
      </c>
    </row>
    <row r="105">
      <c r="A105" s="2" t="inlineStr">
        <is>
          <t>B64401496</t>
        </is>
      </c>
      <c r="B105" s="4" t="n">
        <v>179.05</v>
      </c>
      <c r="C105" s="3" t="n">
        <v>46002</v>
      </c>
      <c r="D105" s="3" t="n">
        <v>46056</v>
      </c>
      <c r="E105" s="2" t="n">
        <v>54</v>
      </c>
      <c r="F105" s="2" t="n">
        <v>4.66</v>
      </c>
      <c r="G105" s="2" t="n">
        <v>0.6899999999999999</v>
      </c>
      <c r="H105" s="4" t="n">
        <v>1.24</v>
      </c>
      <c r="I105" s="4" t="n">
        <v>1.25</v>
      </c>
      <c r="J105" s="2" t="n">
        <v>20</v>
      </c>
      <c r="K105" s="4" t="n">
        <v>0.3</v>
      </c>
      <c r="L105" s="4" t="n">
        <v>0.32</v>
      </c>
      <c r="M105" s="4">
        <f>B105*(G105/100)*(J105/100)</f>
        <v/>
      </c>
      <c r="N105" s="4">
        <f>B105*(F105/360/100)*E105*(J105/100)</f>
        <v/>
      </c>
      <c r="O105" s="4">
        <f>K105-M105+L105-N105</f>
        <v/>
      </c>
    </row>
    <row r="106">
      <c r="A106" s="2" t="inlineStr">
        <is>
          <t>B92659959</t>
        </is>
      </c>
      <c r="B106" s="4" t="n">
        <v>383.98</v>
      </c>
      <c r="C106" s="3" t="n">
        <v>45996</v>
      </c>
      <c r="D106" s="3" t="n">
        <v>46028</v>
      </c>
      <c r="E106" s="2" t="n">
        <v>32</v>
      </c>
      <c r="F106" s="2" t="n">
        <v>5.12</v>
      </c>
      <c r="G106" s="2" t="n">
        <v>1.43</v>
      </c>
      <c r="H106" s="4" t="n">
        <v>5.49</v>
      </c>
      <c r="I106" s="4" t="n">
        <v>1.75</v>
      </c>
      <c r="J106" s="2" t="n">
        <v>50</v>
      </c>
      <c r="K106" s="4" t="n">
        <v>2.49</v>
      </c>
      <c r="L106" s="4" t="n">
        <v>1.14</v>
      </c>
      <c r="M106" s="4">
        <f>B106*(G106/100)*(J106/100)</f>
        <v/>
      </c>
      <c r="N106" s="4">
        <f>B106*(F106/360/100)*E106*(J106/100)</f>
        <v/>
      </c>
      <c r="O106" s="4">
        <f>K106-M106+L106-N106</f>
        <v/>
      </c>
    </row>
    <row r="107">
      <c r="A107" s="2" t="inlineStr">
        <is>
          <t>B92659959</t>
        </is>
      </c>
      <c r="B107" s="4" t="n">
        <v>715.15</v>
      </c>
      <c r="C107" s="3" t="n">
        <v>45993</v>
      </c>
      <c r="D107" s="3" t="n">
        <v>46053</v>
      </c>
      <c r="E107" s="2" t="n">
        <v>60</v>
      </c>
      <c r="F107" s="2" t="n">
        <v>4.61</v>
      </c>
      <c r="G107" s="2" t="n">
        <v>0.66</v>
      </c>
      <c r="H107" s="4" t="n">
        <v>4.72</v>
      </c>
      <c r="I107" s="4" t="n">
        <v>5.49</v>
      </c>
      <c r="J107" s="2" t="n">
        <v>30</v>
      </c>
      <c r="K107" s="4" t="n">
        <v>1.71</v>
      </c>
      <c r="L107" s="4" t="n">
        <v>1.84</v>
      </c>
      <c r="M107" s="4">
        <f>B107*(G107/100)*(J107/100)</f>
        <v/>
      </c>
      <c r="N107" s="4">
        <f>B107*(F107/360/100)*E107*(J107/100)</f>
        <v/>
      </c>
      <c r="O107" s="4">
        <f>K107-M107+L107-N107</f>
        <v/>
      </c>
    </row>
    <row r="108">
      <c r="A108" s="2" t="inlineStr">
        <is>
          <t>A29491727</t>
        </is>
      </c>
      <c r="B108" s="4" t="n">
        <v>236.35</v>
      </c>
      <c r="C108" s="3" t="n">
        <v>45996</v>
      </c>
      <c r="D108" s="3" t="n">
        <v>46052</v>
      </c>
      <c r="E108" s="2" t="n">
        <v>56</v>
      </c>
      <c r="F108" s="2" t="n">
        <v>3.84</v>
      </c>
      <c r="G108" s="2" t="n">
        <v>0.99</v>
      </c>
      <c r="H108" s="4" t="n">
        <v>2.34</v>
      </c>
      <c r="I108" s="4" t="n">
        <v>1.41</v>
      </c>
      <c r="J108" s="2" t="n">
        <v>40</v>
      </c>
      <c r="K108" s="4" t="n">
        <v>1.17</v>
      </c>
      <c r="L108" s="4" t="n">
        <v>0.65</v>
      </c>
      <c r="M108" s="4">
        <f>B108*(G108/100)*(J108/100)</f>
        <v/>
      </c>
      <c r="N108" s="4">
        <f>B108*(F108/360/100)*E108*(J108/100)</f>
        <v/>
      </c>
      <c r="O108" s="4">
        <f>K108-M108+L108-N108</f>
        <v/>
      </c>
    </row>
    <row r="109">
      <c r="A109" s="2" t="inlineStr">
        <is>
          <t>A29491727</t>
        </is>
      </c>
      <c r="B109" s="4" t="n">
        <v>572.73</v>
      </c>
      <c r="C109" s="3" t="n">
        <v>46008</v>
      </c>
      <c r="D109" s="3" t="n">
        <v>46043</v>
      </c>
      <c r="E109" s="2" t="n">
        <v>35</v>
      </c>
      <c r="F109" s="2" t="n">
        <v>5.87</v>
      </c>
      <c r="G109" s="2" t="n">
        <v>1.8</v>
      </c>
      <c r="H109" s="4" t="n">
        <v>10.31</v>
      </c>
      <c r="I109" s="4" t="n">
        <v>3.27</v>
      </c>
      <c r="J109" s="2" t="n">
        <v>30</v>
      </c>
      <c r="K109" s="4" t="n">
        <v>3.17</v>
      </c>
      <c r="L109" s="4" t="n">
        <v>1.25</v>
      </c>
      <c r="M109" s="4">
        <f>B109*(G109/100)*(J109/100)</f>
        <v/>
      </c>
      <c r="N109" s="4">
        <f>B109*(F109/360/100)*E109*(J109/100)</f>
        <v/>
      </c>
      <c r="O109" s="4">
        <f>K109-M109+L109-N109</f>
        <v/>
      </c>
    </row>
    <row r="110">
      <c r="A110" s="2" t="inlineStr">
        <is>
          <t>B71207632</t>
        </is>
      </c>
      <c r="B110" s="4" t="n">
        <v>901.54</v>
      </c>
      <c r="C110" s="3" t="n">
        <v>46017</v>
      </c>
      <c r="D110" s="3" t="n">
        <v>46048</v>
      </c>
      <c r="E110" s="2" t="n">
        <v>31</v>
      </c>
      <c r="F110" s="2" t="n">
        <v>4.35</v>
      </c>
      <c r="G110" s="2" t="n">
        <v>1.4</v>
      </c>
      <c r="H110" s="4" t="n">
        <v>12.62</v>
      </c>
      <c r="I110" s="4" t="n">
        <v>3.38</v>
      </c>
      <c r="J110" s="2" t="n">
        <v>30</v>
      </c>
      <c r="K110" s="4" t="n">
        <v>3.57</v>
      </c>
      <c r="L110" s="4" t="n">
        <v>0.83</v>
      </c>
      <c r="M110" s="4">
        <f>B110*(G110/100)*(J110/100)</f>
        <v/>
      </c>
      <c r="N110" s="4">
        <f>B110*(F110/360/100)*E110*(J110/100)</f>
        <v/>
      </c>
      <c r="O110" s="4">
        <f>K110-M110+L110-N110</f>
        <v/>
      </c>
    </row>
    <row r="111">
      <c r="A111" s="2" t="inlineStr">
        <is>
          <t>B71207632</t>
        </is>
      </c>
      <c r="B111" s="4" t="n">
        <v>369.08</v>
      </c>
      <c r="C111" s="3" t="n">
        <v>46004</v>
      </c>
      <c r="D111" s="3" t="n">
        <v>46062</v>
      </c>
      <c r="E111" s="2" t="n">
        <v>58</v>
      </c>
      <c r="F111" s="2" t="n">
        <v>3.75</v>
      </c>
      <c r="G111" s="2" t="n">
        <v>1.75</v>
      </c>
      <c r="H111" s="4" t="n">
        <v>6.46</v>
      </c>
      <c r="I111" s="4" t="n">
        <v>2.23</v>
      </c>
      <c r="J111" s="2" t="n">
        <v>40</v>
      </c>
      <c r="K111" s="4" t="n">
        <v>2.28</v>
      </c>
      <c r="L111" s="4" t="n">
        <v>0.99</v>
      </c>
      <c r="M111" s="4">
        <f>B111*(G111/100)*(J111/100)</f>
        <v/>
      </c>
      <c r="N111" s="4">
        <f>B111*(F111/360/100)*E111*(J111/100)</f>
        <v/>
      </c>
      <c r="O111" s="4">
        <f>K111-M111+L111-N111</f>
        <v/>
      </c>
    </row>
    <row r="112">
      <c r="A112" s="2" t="inlineStr">
        <is>
          <t>B18651928</t>
        </is>
      </c>
      <c r="B112" s="4" t="n">
        <v>832.74</v>
      </c>
      <c r="C112" s="3" t="n">
        <v>45993</v>
      </c>
      <c r="D112" s="3" t="n">
        <v>46081</v>
      </c>
      <c r="E112" s="2" t="n">
        <v>88</v>
      </c>
      <c r="F112" s="2" t="n">
        <v>5.07</v>
      </c>
      <c r="G112" s="2" t="n">
        <v>0.92</v>
      </c>
      <c r="H112" s="4" t="n">
        <v>7.66</v>
      </c>
      <c r="I112" s="4" t="n">
        <v>10.32</v>
      </c>
      <c r="J112" s="2" t="n">
        <v>40</v>
      </c>
      <c r="K112" s="4" t="n">
        <v>2.79</v>
      </c>
      <c r="L112" s="4" t="n">
        <v>3.96</v>
      </c>
      <c r="M112" s="4">
        <f>B112*(G112/100)*(J112/100)</f>
        <v/>
      </c>
      <c r="N112" s="4">
        <f>B112*(F112/360/100)*E112*(J112/100)</f>
        <v/>
      </c>
      <c r="O112" s="4">
        <f>K112-M112+L112-N112</f>
        <v/>
      </c>
    </row>
    <row r="113">
      <c r="A113" s="2" t="inlineStr">
        <is>
          <t>B18651928</t>
        </is>
      </c>
      <c r="B113" s="4" t="n">
        <v>195.79</v>
      </c>
      <c r="C113" s="3" t="n">
        <v>45996</v>
      </c>
      <c r="D113" s="3" t="n">
        <v>46058</v>
      </c>
      <c r="E113" s="2" t="n">
        <v>62</v>
      </c>
      <c r="F113" s="2" t="n">
        <v>4.92</v>
      </c>
      <c r="G113" s="2" t="n">
        <v>1.49</v>
      </c>
      <c r="H113" s="4" t="n">
        <v>2.92</v>
      </c>
      <c r="I113" s="4" t="n">
        <v>1.66</v>
      </c>
      <c r="J113" s="2" t="n">
        <v>20</v>
      </c>
      <c r="K113" s="4" t="n">
        <v>0.84</v>
      </c>
      <c r="L113" s="4" t="n">
        <v>0.44</v>
      </c>
      <c r="M113" s="4">
        <f>B113*(G113/100)*(J113/100)</f>
        <v/>
      </c>
      <c r="N113" s="4">
        <f>B113*(F113/360/100)*E113*(J113/100)</f>
        <v/>
      </c>
      <c r="O113" s="4">
        <f>K113-M113+L113-N113</f>
        <v/>
      </c>
    </row>
    <row r="114">
      <c r="A114" s="2" t="inlineStr">
        <is>
          <t>B30554060</t>
        </is>
      </c>
      <c r="B114" s="4" t="n">
        <v>211.03</v>
      </c>
      <c r="C114" s="3" t="n">
        <v>46011</v>
      </c>
      <c r="D114" s="3" t="n">
        <v>46086</v>
      </c>
      <c r="E114" s="2" t="n">
        <v>75</v>
      </c>
      <c r="F114" s="2" t="n">
        <v>5.48</v>
      </c>
      <c r="G114" s="2" t="n">
        <v>1.62</v>
      </c>
      <c r="H114" s="4" t="n">
        <v>3.42</v>
      </c>
      <c r="I114" s="4" t="n">
        <v>2.41</v>
      </c>
      <c r="J114" s="2" t="n">
        <v>20</v>
      </c>
      <c r="K114" s="4" t="n">
        <v>0.67</v>
      </c>
      <c r="L114" s="4" t="n">
        <v>0.54</v>
      </c>
      <c r="M114" s="4">
        <f>B114*(G114/100)*(J114/100)</f>
        <v/>
      </c>
      <c r="N114" s="4">
        <f>B114*(F114/360/100)*E114*(J114/100)</f>
        <v/>
      </c>
      <c r="O114" s="4">
        <f>K114-M114+L114-N114</f>
        <v/>
      </c>
    </row>
    <row r="115">
      <c r="A115" s="2" t="inlineStr">
        <is>
          <t>B30554060</t>
        </is>
      </c>
      <c r="B115" s="4" t="n">
        <v>455.23</v>
      </c>
      <c r="C115" s="3" t="n">
        <v>46012</v>
      </c>
      <c r="D115" s="3" t="n">
        <v>46095</v>
      </c>
      <c r="E115" s="2" t="n">
        <v>83</v>
      </c>
      <c r="F115" s="2" t="n">
        <v>4.68</v>
      </c>
      <c r="G115" s="2" t="n">
        <v>0.8</v>
      </c>
      <c r="H115" s="4" t="n">
        <v>3.64</v>
      </c>
      <c r="I115" s="4" t="n">
        <v>4.91</v>
      </c>
      <c r="J115" s="2" t="n">
        <v>50</v>
      </c>
      <c r="K115" s="4" t="n">
        <v>1.59</v>
      </c>
      <c r="L115" s="4" t="n">
        <v>2.56</v>
      </c>
      <c r="M115" s="4">
        <f>B115*(G115/100)*(J115/100)</f>
        <v/>
      </c>
      <c r="N115" s="4">
        <f>B115*(F115/360/100)*E115*(J115/100)</f>
        <v/>
      </c>
      <c r="O115" s="4">
        <f>K115-M115+L115-N115</f>
        <v/>
      </c>
    </row>
    <row r="116">
      <c r="A116" s="2" t="inlineStr">
        <is>
          <t>B30554060</t>
        </is>
      </c>
      <c r="B116" s="4" t="n">
        <v>998.97</v>
      </c>
      <c r="C116" s="3" t="n">
        <v>46003</v>
      </c>
      <c r="D116" s="3" t="n">
        <v>46086</v>
      </c>
      <c r="E116" s="2" t="n">
        <v>83</v>
      </c>
      <c r="F116" s="2" t="n">
        <v>4.39</v>
      </c>
      <c r="G116" s="2" t="n">
        <v>1.14</v>
      </c>
      <c r="H116" s="4" t="n">
        <v>11.39</v>
      </c>
      <c r="I116" s="4" t="n">
        <v>10.11</v>
      </c>
      <c r="J116" s="2" t="n">
        <v>20</v>
      </c>
      <c r="K116" s="4" t="n">
        <v>2.39</v>
      </c>
      <c r="L116" s="4" t="n">
        <v>1.88</v>
      </c>
      <c r="M116" s="4">
        <f>B116*(G116/100)*(J116/100)</f>
        <v/>
      </c>
      <c r="N116" s="4">
        <f>B116*(F116/360/100)*E116*(J116/100)</f>
        <v/>
      </c>
      <c r="O116" s="4">
        <f>K116-M116+L116-N116</f>
        <v/>
      </c>
    </row>
    <row r="117">
      <c r="A117" s="2" t="inlineStr">
        <is>
          <t>A51524032</t>
        </is>
      </c>
      <c r="B117" s="4" t="n">
        <v>192.8</v>
      </c>
      <c r="C117" s="3" t="n">
        <v>46012</v>
      </c>
      <c r="D117" s="3" t="n">
        <v>46066</v>
      </c>
      <c r="E117" s="2" t="n">
        <v>54</v>
      </c>
      <c r="F117" s="2" t="n">
        <v>6.11</v>
      </c>
      <c r="G117" s="2" t="n">
        <v>1.4</v>
      </c>
      <c r="H117" s="4" t="n">
        <v>2.7</v>
      </c>
      <c r="I117" s="4" t="n">
        <v>1.77</v>
      </c>
      <c r="J117" s="2" t="n">
        <v>70</v>
      </c>
      <c r="K117" s="4" t="n">
        <v>2.12</v>
      </c>
      <c r="L117" s="4" t="n">
        <v>1.35</v>
      </c>
      <c r="M117" s="4">
        <f>B117*(G117/100)*(J117/100)</f>
        <v/>
      </c>
      <c r="N117" s="4">
        <f>B117*(F117/360/100)*E117*(J117/100)</f>
        <v/>
      </c>
      <c r="O117" s="4">
        <f>K117-M117+L117-N117</f>
        <v/>
      </c>
    </row>
    <row r="118">
      <c r="A118" s="2" t="inlineStr">
        <is>
          <t>A51524032</t>
        </is>
      </c>
      <c r="B118" s="4" t="n">
        <v>930.02</v>
      </c>
      <c r="C118" s="3" t="n">
        <v>46017</v>
      </c>
      <c r="D118" s="3" t="n">
        <v>46107</v>
      </c>
      <c r="E118" s="2" t="n">
        <v>90</v>
      </c>
      <c r="F118" s="2" t="n">
        <v>4.35</v>
      </c>
      <c r="G118" s="2" t="n">
        <v>1.58</v>
      </c>
      <c r="H118" s="4" t="n">
        <v>14.69</v>
      </c>
      <c r="I118" s="4" t="n">
        <v>10.11</v>
      </c>
      <c r="J118" s="2" t="n">
        <v>60</v>
      </c>
      <c r="K118" s="4" t="n">
        <v>8.73</v>
      </c>
      <c r="L118" s="4" t="n">
        <v>5.92</v>
      </c>
      <c r="M118" s="4">
        <f>B118*(G118/100)*(J118/100)</f>
        <v/>
      </c>
      <c r="N118" s="4">
        <f>B118*(F118/360/100)*E118*(J118/100)</f>
        <v/>
      </c>
      <c r="O118" s="4">
        <f>K118-M118+L118-N118</f>
        <v/>
      </c>
    </row>
    <row r="119">
      <c r="A119" s="2" t="inlineStr">
        <is>
          <t>B36924857</t>
        </is>
      </c>
      <c r="B119" s="4" t="n">
        <v>235.29</v>
      </c>
      <c r="C119" s="3" t="n">
        <v>46008</v>
      </c>
      <c r="D119" s="3" t="n">
        <v>46044</v>
      </c>
      <c r="E119" s="2" t="n">
        <v>36</v>
      </c>
      <c r="F119" s="2" t="n">
        <v>3.84</v>
      </c>
      <c r="G119" s="2" t="n">
        <v>1.78</v>
      </c>
      <c r="H119" s="4" t="n">
        <v>4.19</v>
      </c>
      <c r="I119" s="4" t="n">
        <v>0.9</v>
      </c>
      <c r="J119" s="2" t="n">
        <v>50</v>
      </c>
      <c r="K119" s="4" t="n">
        <v>2.27</v>
      </c>
      <c r="L119" s="4" t="n">
        <v>0.58</v>
      </c>
      <c r="M119" s="4">
        <f>B119*(G119/100)*(J119/100)</f>
        <v/>
      </c>
      <c r="N119" s="4">
        <f>B119*(F119/360/100)*E119*(J119/100)</f>
        <v/>
      </c>
      <c r="O119" s="4">
        <f>K119-M119+L119-N119</f>
        <v/>
      </c>
    </row>
    <row r="120">
      <c r="A120" s="2" t="inlineStr">
        <is>
          <t>B36924857</t>
        </is>
      </c>
      <c r="B120" s="4" t="n">
        <v>341.59</v>
      </c>
      <c r="C120" s="3" t="n">
        <v>45995</v>
      </c>
      <c r="D120" s="3" t="n">
        <v>46064</v>
      </c>
      <c r="E120" s="2" t="n">
        <v>69</v>
      </c>
      <c r="F120" s="2" t="n">
        <v>4.34</v>
      </c>
      <c r="G120" s="2" t="n">
        <v>1.91</v>
      </c>
      <c r="H120" s="4" t="n">
        <v>6.52</v>
      </c>
      <c r="I120" s="4" t="n">
        <v>2.84</v>
      </c>
      <c r="J120" s="2" t="n">
        <v>60</v>
      </c>
      <c r="K120" s="4" t="n">
        <v>3.78</v>
      </c>
      <c r="L120" s="4" t="n">
        <v>1.51</v>
      </c>
      <c r="M120" s="4">
        <f>B120*(G120/100)*(J120/100)</f>
        <v/>
      </c>
      <c r="N120" s="4">
        <f>B120*(F120/360/100)*E120*(J120/100)</f>
        <v/>
      </c>
      <c r="O120" s="4">
        <f>K120-M120+L120-N120</f>
        <v/>
      </c>
    </row>
    <row r="121">
      <c r="A121" s="2" t="inlineStr">
        <is>
          <t>A07188920</t>
        </is>
      </c>
      <c r="B121" s="4" t="n">
        <v>2171.94</v>
      </c>
      <c r="C121" s="3" t="n">
        <v>46006</v>
      </c>
      <c r="D121" s="3" t="n">
        <v>46047</v>
      </c>
      <c r="E121" s="2" t="n">
        <v>41</v>
      </c>
      <c r="F121" s="2" t="n">
        <v>3.9</v>
      </c>
      <c r="G121" s="2" t="n">
        <v>0.57</v>
      </c>
      <c r="H121" s="4" t="n">
        <v>12.38</v>
      </c>
      <c r="I121" s="4" t="n">
        <v>9.65</v>
      </c>
      <c r="J121" s="2" t="n">
        <v>40</v>
      </c>
      <c r="K121" s="4" t="n">
        <v>4.72</v>
      </c>
      <c r="L121" s="4" t="n">
        <v>3.91</v>
      </c>
      <c r="M121" s="4">
        <f>B121*(G121/100)*(J121/100)</f>
        <v/>
      </c>
      <c r="N121" s="4">
        <f>B121*(F121/360/100)*E121*(J121/100)</f>
        <v/>
      </c>
      <c r="O121" s="4">
        <f>K121-M121+L121-N121</f>
        <v/>
      </c>
    </row>
    <row r="122">
      <c r="A122" s="2" t="inlineStr">
        <is>
          <t>A07188920</t>
        </is>
      </c>
      <c r="B122" s="4" t="n">
        <v>5357.03</v>
      </c>
      <c r="C122" s="3" t="n">
        <v>46017</v>
      </c>
      <c r="D122" s="3" t="n">
        <v>46101</v>
      </c>
      <c r="E122" s="2" t="n">
        <v>84</v>
      </c>
      <c r="F122" s="2" t="n">
        <v>6.25</v>
      </c>
      <c r="G122" s="2" t="n">
        <v>1.52</v>
      </c>
      <c r="H122" s="4" t="n">
        <v>81.43000000000001</v>
      </c>
      <c r="I122" s="4" t="n">
        <v>78.12</v>
      </c>
      <c r="J122" s="2" t="n">
        <v>40</v>
      </c>
      <c r="K122" s="4" t="n">
        <v>32.38</v>
      </c>
      <c r="L122" s="4" t="n">
        <v>31.54</v>
      </c>
      <c r="M122" s="4">
        <f>B122*(G122/100)*(J122/100)</f>
        <v/>
      </c>
      <c r="N122" s="4">
        <f>B122*(F122/360/100)*E122*(J122/100)</f>
        <v/>
      </c>
      <c r="O122" s="4">
        <f>K122-M122+L122-N122</f>
        <v/>
      </c>
    </row>
    <row r="123">
      <c r="A123" s="2" t="inlineStr">
        <is>
          <t>A87245777</t>
        </is>
      </c>
      <c r="B123" s="4" t="n">
        <v>620.3200000000001</v>
      </c>
      <c r="C123" s="3" t="n">
        <v>45997</v>
      </c>
      <c r="D123" s="3" t="n">
        <v>46048</v>
      </c>
      <c r="E123" s="2" t="n">
        <v>51</v>
      </c>
      <c r="F123" s="2" t="n">
        <v>4.3</v>
      </c>
      <c r="G123" s="2" t="n">
        <v>1.82</v>
      </c>
      <c r="H123" s="4" t="n">
        <v>11.29</v>
      </c>
      <c r="I123" s="4" t="n">
        <v>3.78</v>
      </c>
      <c r="J123" s="2" t="n">
        <v>70</v>
      </c>
      <c r="K123" s="4" t="n">
        <v>8.08</v>
      </c>
      <c r="L123" s="4" t="n">
        <v>2.8</v>
      </c>
      <c r="M123" s="4">
        <f>B123*(G123/100)*(J123/100)</f>
        <v/>
      </c>
      <c r="N123" s="4">
        <f>B123*(F123/360/100)*E123*(J123/100)</f>
        <v/>
      </c>
      <c r="O123" s="4">
        <f>K123-M123+L123-N123</f>
        <v/>
      </c>
    </row>
    <row r="124">
      <c r="A124" s="2" t="inlineStr">
        <is>
          <t>A87245777</t>
        </is>
      </c>
      <c r="B124" s="4" t="n">
        <v>9438.459999999999</v>
      </c>
      <c r="C124" s="3" t="n">
        <v>45992</v>
      </c>
      <c r="D124" s="3" t="n">
        <v>46049</v>
      </c>
      <c r="E124" s="2" t="n">
        <v>57</v>
      </c>
      <c r="F124" s="2" t="n">
        <v>5.39</v>
      </c>
      <c r="G124" s="2" t="n">
        <v>0.63</v>
      </c>
      <c r="H124" s="4" t="n">
        <v>59.46</v>
      </c>
      <c r="I124" s="4" t="n">
        <v>80.55</v>
      </c>
      <c r="J124" s="2" t="n">
        <v>50</v>
      </c>
      <c r="K124" s="4" t="n">
        <v>29.49</v>
      </c>
      <c r="L124" s="4" t="n">
        <v>40.57</v>
      </c>
      <c r="M124" s="4">
        <f>B124*(G124/100)*(J124/100)</f>
        <v/>
      </c>
      <c r="N124" s="4">
        <f>B124*(F124/360/100)*E124*(J124/100)</f>
        <v/>
      </c>
      <c r="O124" s="4">
        <f>K124-M124+L124-N124</f>
        <v/>
      </c>
    </row>
    <row r="125">
      <c r="A125" s="2" t="inlineStr">
        <is>
          <t>A97710527</t>
        </is>
      </c>
      <c r="B125" s="4" t="n">
        <v>2980.36</v>
      </c>
      <c r="C125" s="3" t="n">
        <v>46009</v>
      </c>
      <c r="D125" s="3" t="n">
        <v>46079</v>
      </c>
      <c r="E125" s="2" t="n">
        <v>70</v>
      </c>
      <c r="F125" s="2" t="n">
        <v>5.16</v>
      </c>
      <c r="G125" s="2" t="n">
        <v>1.04</v>
      </c>
      <c r="H125" s="4" t="n">
        <v>31</v>
      </c>
      <c r="I125" s="4" t="n">
        <v>29.9</v>
      </c>
      <c r="J125" s="2" t="n">
        <v>70</v>
      </c>
      <c r="K125" s="4" t="n">
        <v>21.8</v>
      </c>
      <c r="L125" s="4" t="n">
        <v>21.14</v>
      </c>
      <c r="M125" s="4">
        <f>B125*(G125/100)*(J125/100)</f>
        <v/>
      </c>
      <c r="N125" s="4">
        <f>B125*(F125/360/100)*E125*(J125/100)</f>
        <v/>
      </c>
      <c r="O125" s="4">
        <f>K125-M125+L125-N125</f>
        <v/>
      </c>
    </row>
    <row r="126">
      <c r="A126" s="2" t="inlineStr">
        <is>
          <t>A97710527</t>
        </is>
      </c>
      <c r="B126" s="4" t="n">
        <v>932.98</v>
      </c>
      <c r="C126" s="3" t="n">
        <v>46003</v>
      </c>
      <c r="D126" s="3" t="n">
        <v>46093</v>
      </c>
      <c r="E126" s="2" t="n">
        <v>90</v>
      </c>
      <c r="F126" s="2" t="n">
        <v>4.99</v>
      </c>
      <c r="G126" s="2" t="n">
        <v>1.08</v>
      </c>
      <c r="H126" s="4" t="n">
        <v>10.08</v>
      </c>
      <c r="I126" s="4" t="n">
        <v>11.64</v>
      </c>
      <c r="J126" s="2" t="n">
        <v>30</v>
      </c>
      <c r="K126" s="4" t="n">
        <v>3.06</v>
      </c>
      <c r="L126" s="4" t="n">
        <v>3.21</v>
      </c>
      <c r="M126" s="4">
        <f>B126*(G126/100)*(J126/100)</f>
        <v/>
      </c>
      <c r="N126" s="4">
        <f>B126*(F126/360/100)*E126*(J126/100)</f>
        <v/>
      </c>
      <c r="O126" s="4">
        <f>K126-M126+L126-N126</f>
        <v/>
      </c>
    </row>
    <row r="127">
      <c r="A127" s="2" t="inlineStr">
        <is>
          <t>A53206019</t>
        </is>
      </c>
      <c r="B127" s="4" t="n">
        <v>399.02</v>
      </c>
      <c r="C127" s="3" t="n">
        <v>46002</v>
      </c>
      <c r="D127" s="3" t="n">
        <v>46068</v>
      </c>
      <c r="E127" s="2" t="n">
        <v>66</v>
      </c>
      <c r="F127" s="2" t="n">
        <v>4.57</v>
      </c>
      <c r="G127" s="2" t="n">
        <v>1.29</v>
      </c>
      <c r="H127" s="4" t="n">
        <v>5.15</v>
      </c>
      <c r="I127" s="4" t="n">
        <v>3.34</v>
      </c>
      <c r="J127" s="2" t="n">
        <v>50</v>
      </c>
      <c r="K127" s="4" t="n">
        <v>2.49</v>
      </c>
      <c r="L127" s="4" t="n">
        <v>1.86</v>
      </c>
      <c r="M127" s="4">
        <f>B127*(G127/100)*(J127/100)</f>
        <v/>
      </c>
      <c r="N127" s="4">
        <f>B127*(F127/360/100)*E127*(J127/100)</f>
        <v/>
      </c>
      <c r="O127" s="4">
        <f>K127-M127+L127-N127</f>
        <v/>
      </c>
    </row>
    <row r="128">
      <c r="A128" s="2" t="inlineStr">
        <is>
          <t>A53206019</t>
        </is>
      </c>
      <c r="B128" s="4" t="n">
        <v>8495.129999999999</v>
      </c>
      <c r="C128" s="3" t="n">
        <v>45998</v>
      </c>
      <c r="D128" s="3" t="n">
        <v>46039</v>
      </c>
      <c r="E128" s="2" t="n">
        <v>41</v>
      </c>
      <c r="F128" s="2" t="n">
        <v>6.67</v>
      </c>
      <c r="G128" s="2" t="n">
        <v>1.7</v>
      </c>
      <c r="H128" s="4" t="n">
        <v>144.42</v>
      </c>
      <c r="I128" s="4" t="n">
        <v>64.53</v>
      </c>
      <c r="J128" s="2" t="n">
        <v>50</v>
      </c>
      <c r="K128" s="4" t="n">
        <v>72.33</v>
      </c>
      <c r="L128" s="4" t="n">
        <v>32.38</v>
      </c>
      <c r="M128" s="4">
        <f>B128*(G128/100)*(J128/100)</f>
        <v/>
      </c>
      <c r="N128" s="4">
        <f>B128*(F128/360/100)*E128*(J128/100)</f>
        <v/>
      </c>
      <c r="O128" s="4">
        <f>K128-M128+L128-N128</f>
        <v/>
      </c>
    </row>
    <row r="129">
      <c r="A129" s="2" t="inlineStr">
        <is>
          <t>A77084567</t>
        </is>
      </c>
      <c r="B129" s="4" t="n">
        <v>182.12</v>
      </c>
      <c r="C129" s="3" t="n">
        <v>46002</v>
      </c>
      <c r="D129" s="3" t="n">
        <v>46064</v>
      </c>
      <c r="E129" s="2" t="n">
        <v>62</v>
      </c>
      <c r="F129" s="2" t="n">
        <v>4.83</v>
      </c>
      <c r="G129" s="2" t="n">
        <v>0.55</v>
      </c>
      <c r="H129" s="4" t="n">
        <v>1</v>
      </c>
      <c r="I129" s="4" t="n">
        <v>1.51</v>
      </c>
      <c r="J129" s="2" t="n">
        <v>20</v>
      </c>
      <c r="K129" s="4" t="n">
        <v>0.26</v>
      </c>
      <c r="L129" s="4" t="n">
        <v>0.01</v>
      </c>
      <c r="M129" s="4">
        <f>B129*(G129/100)*(J129/100)</f>
        <v/>
      </c>
      <c r="N129" s="4">
        <f>B129*(F129/360/100)*E129*(J129/100)</f>
        <v/>
      </c>
      <c r="O129" s="4">
        <f>K129-M129+L129-N129</f>
        <v/>
      </c>
    </row>
    <row r="130">
      <c r="A130" s="2" t="inlineStr">
        <is>
          <t>A77084567</t>
        </is>
      </c>
      <c r="B130" s="4" t="n">
        <v>682.88</v>
      </c>
      <c r="C130" s="3" t="n">
        <v>46000</v>
      </c>
      <c r="D130" s="3" t="n">
        <v>46071</v>
      </c>
      <c r="E130" s="2" t="n">
        <v>71</v>
      </c>
      <c r="F130" s="2" t="n">
        <v>6.39</v>
      </c>
      <c r="G130" s="2" t="n">
        <v>0.66</v>
      </c>
      <c r="H130" s="4" t="n">
        <v>4.51</v>
      </c>
      <c r="I130" s="4" t="n">
        <v>8.609999999999999</v>
      </c>
      <c r="J130" s="2" t="n">
        <v>70</v>
      </c>
      <c r="K130" s="4" t="n">
        <v>3.06</v>
      </c>
      <c r="L130" s="4" t="n">
        <v>5.87</v>
      </c>
      <c r="M130" s="4">
        <f>B130*(G130/100)*(J130/100)</f>
        <v/>
      </c>
      <c r="N130" s="4">
        <f>B130*(F130/360/100)*E130*(J130/100)</f>
        <v/>
      </c>
      <c r="O130" s="4">
        <f>K130-M130+L130-N130</f>
        <v/>
      </c>
    </row>
    <row r="131">
      <c r="A131" s="2" t="inlineStr">
        <is>
          <t>A77084567</t>
        </is>
      </c>
      <c r="B131" s="4" t="n">
        <v>644.6</v>
      </c>
      <c r="C131" s="3" t="n">
        <v>45995</v>
      </c>
      <c r="D131" s="3" t="n">
        <v>46070</v>
      </c>
      <c r="E131" s="2" t="n">
        <v>75</v>
      </c>
      <c r="F131" s="2" t="n">
        <v>3.57</v>
      </c>
      <c r="G131" s="2" t="n">
        <v>0.65</v>
      </c>
      <c r="H131" s="4" t="n">
        <v>4.19</v>
      </c>
      <c r="I131" s="4" t="n">
        <v>4.79</v>
      </c>
      <c r="J131" s="2" t="n">
        <v>20</v>
      </c>
      <c r="K131" s="4" t="n">
        <v>0.82</v>
      </c>
      <c r="L131" s="4" t="n">
        <v>1.15</v>
      </c>
      <c r="M131" s="4">
        <f>B131*(G131/100)*(J131/100)</f>
        <v/>
      </c>
      <c r="N131" s="4">
        <f>B131*(F131/360/100)*E131*(J131/100)</f>
        <v/>
      </c>
      <c r="O131" s="4">
        <f>K131-M131+L131-N131</f>
        <v/>
      </c>
    </row>
    <row r="132">
      <c r="A132" s="2" t="inlineStr">
        <is>
          <t>A42105204</t>
        </is>
      </c>
      <c r="B132" s="4" t="n">
        <v>578.74</v>
      </c>
      <c r="C132" s="3" t="n">
        <v>45992</v>
      </c>
      <c r="D132" s="3" t="n">
        <v>46078</v>
      </c>
      <c r="E132" s="2" t="n">
        <v>86</v>
      </c>
      <c r="F132" s="2" t="n">
        <v>3.86</v>
      </c>
      <c r="G132" s="2" t="n">
        <v>0.91</v>
      </c>
      <c r="H132" s="4" t="n">
        <v>5.27</v>
      </c>
      <c r="I132" s="4" t="n">
        <v>5.34</v>
      </c>
      <c r="J132" s="2" t="n">
        <v>40</v>
      </c>
      <c r="K132" s="4" t="n">
        <v>2.21</v>
      </c>
      <c r="L132" s="4" t="n">
        <v>2.31</v>
      </c>
      <c r="M132" s="4">
        <f>B132*(G132/100)*(J132/100)</f>
        <v/>
      </c>
      <c r="N132" s="4">
        <f>B132*(F132/360/100)*E132*(J132/100)</f>
        <v/>
      </c>
      <c r="O132" s="4">
        <f>K132-M132+L132-N132</f>
        <v/>
      </c>
    </row>
    <row r="133">
      <c r="A133" s="2" t="inlineStr">
        <is>
          <t>A42105204</t>
        </is>
      </c>
      <c r="B133" s="4" t="n">
        <v>5569.18</v>
      </c>
      <c r="C133" s="3" t="n">
        <v>46016</v>
      </c>
      <c r="D133" s="3" t="n">
        <v>46074</v>
      </c>
      <c r="E133" s="2" t="n">
        <v>58</v>
      </c>
      <c r="F133" s="2" t="n">
        <v>5.69</v>
      </c>
      <c r="G133" s="2" t="n">
        <v>1.62</v>
      </c>
      <c r="H133" s="4" t="n">
        <v>90.22</v>
      </c>
      <c r="I133" s="4" t="n">
        <v>51.05</v>
      </c>
      <c r="J133" s="2" t="n">
        <v>60</v>
      </c>
      <c r="K133" s="4" t="n">
        <v>54.07</v>
      </c>
      <c r="L133" s="4" t="n">
        <v>30.37</v>
      </c>
      <c r="M133" s="4">
        <f>B133*(G133/100)*(J133/100)</f>
        <v/>
      </c>
      <c r="N133" s="4">
        <f>B133*(F133/360/100)*E133*(J133/100)</f>
        <v/>
      </c>
      <c r="O133" s="4">
        <f>K133-M133+L133-N133</f>
        <v/>
      </c>
    </row>
    <row r="134">
      <c r="A134" s="2" t="inlineStr">
        <is>
          <t>A42105204</t>
        </is>
      </c>
      <c r="B134" s="4" t="n">
        <v>443.33</v>
      </c>
      <c r="C134" s="3" t="n">
        <v>46005</v>
      </c>
      <c r="D134" s="3" t="n">
        <v>46063</v>
      </c>
      <c r="E134" s="2" t="n">
        <v>58</v>
      </c>
      <c r="F134" s="2" t="n">
        <v>4.27</v>
      </c>
      <c r="G134" s="2" t="n">
        <v>1.8</v>
      </c>
      <c r="H134" s="4" t="n">
        <v>7.98</v>
      </c>
      <c r="I134" s="4" t="n">
        <v>3.05</v>
      </c>
      <c r="J134" s="2" t="n">
        <v>40</v>
      </c>
      <c r="K134" s="4" t="n">
        <v>3.28</v>
      </c>
      <c r="L134" s="4" t="n">
        <v>1.31</v>
      </c>
      <c r="M134" s="4">
        <f>B134*(G134/100)*(J134/100)</f>
        <v/>
      </c>
      <c r="N134" s="4">
        <f>B134*(F134/360/100)*E134*(J134/100)</f>
        <v/>
      </c>
      <c r="O134" s="4">
        <f>K134-M134+L134-N134</f>
        <v/>
      </c>
    </row>
    <row r="135">
      <c r="A135" s="2" t="inlineStr">
        <is>
          <t>B73231713</t>
        </is>
      </c>
      <c r="B135" s="4" t="n">
        <v>7995.14</v>
      </c>
      <c r="C135" s="3" t="n">
        <v>46003</v>
      </c>
      <c r="D135" s="3" t="n">
        <v>46042</v>
      </c>
      <c r="E135" s="2" t="n">
        <v>39</v>
      </c>
      <c r="F135" s="2" t="n">
        <v>6.41</v>
      </c>
      <c r="G135" s="2" t="n">
        <v>0.82</v>
      </c>
      <c r="H135" s="4" t="n">
        <v>65.56</v>
      </c>
      <c r="I135" s="4" t="n">
        <v>55.52</v>
      </c>
      <c r="J135" s="2" t="n">
        <v>40</v>
      </c>
      <c r="K135" s="4" t="n">
        <v>26.27</v>
      </c>
      <c r="L135" s="4" t="n">
        <v>21.91</v>
      </c>
      <c r="M135" s="4">
        <f>B135*(G135/100)*(J135/100)</f>
        <v/>
      </c>
      <c r="N135" s="4">
        <f>B135*(F135/360/100)*E135*(J135/100)</f>
        <v/>
      </c>
      <c r="O135" s="4">
        <f>K135-M135+L135-N135</f>
        <v/>
      </c>
    </row>
    <row r="136">
      <c r="A136" s="2" t="inlineStr">
        <is>
          <t>B73231713</t>
        </is>
      </c>
      <c r="B136" s="4" t="n">
        <v>286.8</v>
      </c>
      <c r="C136" s="3" t="n">
        <v>45992</v>
      </c>
      <c r="D136" s="3" t="n">
        <v>46023</v>
      </c>
      <c r="E136" s="2" t="n">
        <v>31</v>
      </c>
      <c r="F136" s="2" t="n">
        <v>6.53</v>
      </c>
      <c r="G136" s="2" t="n">
        <v>1.01</v>
      </c>
      <c r="H136" s="4" t="n">
        <v>2.9</v>
      </c>
      <c r="I136" s="4" t="n">
        <v>1.61</v>
      </c>
      <c r="J136" s="2" t="n">
        <v>60</v>
      </c>
      <c r="K136" s="4" t="n">
        <v>1.97</v>
      </c>
      <c r="L136" s="4" t="n">
        <v>1.09</v>
      </c>
      <c r="M136" s="4">
        <f>B136*(G136/100)*(J136/100)</f>
        <v/>
      </c>
      <c r="N136" s="4">
        <f>B136*(F136/360/100)*E136*(J136/100)</f>
        <v/>
      </c>
      <c r="O136" s="4">
        <f>K136-M136+L136-N136</f>
        <v/>
      </c>
    </row>
    <row r="137">
      <c r="A137" s="2" t="inlineStr">
        <is>
          <t>A79689218</t>
        </is>
      </c>
      <c r="B137" s="4" t="n">
        <v>942.86</v>
      </c>
      <c r="C137" s="3" t="n">
        <v>46004</v>
      </c>
      <c r="D137" s="3" t="n">
        <v>46092</v>
      </c>
      <c r="E137" s="2" t="n">
        <v>88</v>
      </c>
      <c r="F137" s="2" t="n">
        <v>4.57</v>
      </c>
      <c r="G137" s="2" t="n">
        <v>1.46</v>
      </c>
      <c r="H137" s="4" t="n">
        <v>13.77</v>
      </c>
      <c r="I137" s="4" t="n">
        <v>10.53</v>
      </c>
      <c r="J137" s="2" t="n">
        <v>60</v>
      </c>
      <c r="K137" s="4" t="n">
        <v>8.06</v>
      </c>
      <c r="L137" s="4" t="n">
        <v>6.38</v>
      </c>
      <c r="M137" s="4">
        <f>B137*(G137/100)*(J137/100)</f>
        <v/>
      </c>
      <c r="N137" s="4">
        <f>B137*(F137/360/100)*E137*(J137/100)</f>
        <v/>
      </c>
      <c r="O137" s="4">
        <f>K137-M137+L137-N137</f>
        <v/>
      </c>
    </row>
    <row r="138">
      <c r="A138" s="2" t="inlineStr">
        <is>
          <t>A79689218</t>
        </is>
      </c>
      <c r="B138" s="4" t="n">
        <v>8257.27</v>
      </c>
      <c r="C138" s="3" t="n">
        <v>45996</v>
      </c>
      <c r="D138" s="3" t="n">
        <v>46057</v>
      </c>
      <c r="E138" s="2" t="n">
        <v>61</v>
      </c>
      <c r="F138" s="2" t="n">
        <v>5.62</v>
      </c>
      <c r="G138" s="2" t="n">
        <v>1.68</v>
      </c>
      <c r="H138" s="4" t="n">
        <v>138.72</v>
      </c>
      <c r="I138" s="4" t="n">
        <v>78.63</v>
      </c>
      <c r="J138" s="2" t="n">
        <v>50</v>
      </c>
      <c r="K138" s="4" t="n">
        <v>69.3</v>
      </c>
      <c r="L138" s="4" t="n">
        <v>39.28</v>
      </c>
      <c r="M138" s="4">
        <f>B138*(G138/100)*(J138/100)</f>
        <v/>
      </c>
      <c r="N138" s="4">
        <f>B138*(F138/360/100)*E138*(J138/100)</f>
        <v/>
      </c>
      <c r="O138" s="4">
        <f>K138-M138+L138-N138</f>
        <v/>
      </c>
    </row>
    <row r="139">
      <c r="A139" s="2" t="inlineStr">
        <is>
          <t>A79689218</t>
        </is>
      </c>
      <c r="B139" s="4" t="n">
        <v>580.89</v>
      </c>
      <c r="C139" s="3" t="n">
        <v>46019</v>
      </c>
      <c r="D139" s="3" t="n">
        <v>46062</v>
      </c>
      <c r="E139" s="2" t="n">
        <v>43</v>
      </c>
      <c r="F139" s="2" t="n">
        <v>3.35</v>
      </c>
      <c r="G139" s="2" t="n">
        <v>1.26</v>
      </c>
      <c r="H139" s="4" t="n">
        <v>7.32</v>
      </c>
      <c r="I139" s="4" t="n">
        <v>2.32</v>
      </c>
      <c r="J139" s="2" t="n">
        <v>30</v>
      </c>
      <c r="K139" s="4" t="n">
        <v>2.37</v>
      </c>
      <c r="L139" s="4" t="n">
        <v>0.43</v>
      </c>
      <c r="M139" s="4">
        <f>B139*(G139/100)*(J139/100)</f>
        <v/>
      </c>
      <c r="N139" s="4">
        <f>B139*(F139/360/100)*E139*(J139/100)</f>
        <v/>
      </c>
      <c r="O139" s="4">
        <f>K139-M139+L139-N139</f>
        <v/>
      </c>
    </row>
    <row r="140">
      <c r="A140" s="2" t="inlineStr">
        <is>
          <t>A92050707</t>
        </is>
      </c>
      <c r="B140" s="4" t="n">
        <v>286.55</v>
      </c>
      <c r="C140" s="3" t="n">
        <v>46019</v>
      </c>
      <c r="D140" s="3" t="n">
        <v>46093</v>
      </c>
      <c r="E140" s="2" t="n">
        <v>74</v>
      </c>
      <c r="F140" s="2" t="n">
        <v>4.71</v>
      </c>
      <c r="G140" s="2" t="n">
        <v>0.98</v>
      </c>
      <c r="H140" s="4" t="n">
        <v>2.81</v>
      </c>
      <c r="I140" s="4" t="n">
        <v>2.77</v>
      </c>
      <c r="J140" s="2" t="n">
        <v>70</v>
      </c>
      <c r="K140" s="4" t="n">
        <v>1.71</v>
      </c>
      <c r="L140" s="4" t="n">
        <v>1.95</v>
      </c>
      <c r="M140" s="4">
        <f>B140*(G140/100)*(J140/100)</f>
        <v/>
      </c>
      <c r="N140" s="4">
        <f>B140*(F140/360/100)*E140*(J140/100)</f>
        <v/>
      </c>
      <c r="O140" s="4">
        <f>K140-M140+L140-N140</f>
        <v/>
      </c>
    </row>
    <row r="141">
      <c r="A141" s="2" t="inlineStr">
        <is>
          <t>A92050707</t>
        </is>
      </c>
      <c r="B141" s="4" t="n">
        <v>519.8099999999999</v>
      </c>
      <c r="C141" s="3" t="n">
        <v>46007</v>
      </c>
      <c r="D141" s="3" t="n">
        <v>46061</v>
      </c>
      <c r="E141" s="2" t="n">
        <v>54</v>
      </c>
      <c r="F141" s="2" t="n">
        <v>3.98</v>
      </c>
      <c r="G141" s="2" t="n">
        <v>0.84</v>
      </c>
      <c r="H141" s="4" t="n">
        <v>4.37</v>
      </c>
      <c r="I141" s="4" t="n">
        <v>3.1</v>
      </c>
      <c r="J141" s="2" t="n">
        <v>30</v>
      </c>
      <c r="K141" s="4" t="n">
        <v>1.55</v>
      </c>
      <c r="L141" s="4" t="n">
        <v>0.65</v>
      </c>
      <c r="M141" s="4">
        <f>B141*(G141/100)*(J141/100)</f>
        <v/>
      </c>
      <c r="N141" s="4">
        <f>B141*(F141/360/100)*E141*(J141/100)</f>
        <v/>
      </c>
      <c r="O141" s="4">
        <f>K141-M141+L141-N141</f>
        <v/>
      </c>
    </row>
    <row r="142">
      <c r="A142" s="2" t="inlineStr">
        <is>
          <t>B76475692</t>
        </is>
      </c>
      <c r="B142" s="4" t="n">
        <v>6531.79</v>
      </c>
      <c r="C142" s="3" t="n">
        <v>46016</v>
      </c>
      <c r="D142" s="3" t="n">
        <v>46061</v>
      </c>
      <c r="E142" s="2" t="n">
        <v>45</v>
      </c>
      <c r="F142" s="2" t="n">
        <v>4.97</v>
      </c>
      <c r="G142" s="2" t="n">
        <v>1.62</v>
      </c>
      <c r="H142" s="4" t="n">
        <v>105.81</v>
      </c>
      <c r="I142" s="4" t="n">
        <v>40.58</v>
      </c>
      <c r="J142" s="2" t="n">
        <v>70</v>
      </c>
      <c r="K142" s="4" t="n">
        <v>73.95999999999999</v>
      </c>
      <c r="L142" s="4" t="n">
        <v>28.22</v>
      </c>
      <c r="M142" s="4">
        <f>B142*(G142/100)*(J142/100)</f>
        <v/>
      </c>
      <c r="N142" s="4">
        <f>B142*(F142/360/100)*E142*(J142/100)</f>
        <v/>
      </c>
      <c r="O142" s="4">
        <f>K142-M142+L142-N142</f>
        <v/>
      </c>
    </row>
    <row r="143">
      <c r="A143" s="2" t="inlineStr">
        <is>
          <t>B76475692</t>
        </is>
      </c>
      <c r="B143" s="4" t="n">
        <v>6669.37</v>
      </c>
      <c r="C143" s="3" t="n">
        <v>46002</v>
      </c>
      <c r="D143" s="3" t="n">
        <v>46048</v>
      </c>
      <c r="E143" s="2" t="n">
        <v>46</v>
      </c>
      <c r="F143" s="2" t="n">
        <v>5.42</v>
      </c>
      <c r="G143" s="2" t="n">
        <v>1.87</v>
      </c>
      <c r="H143" s="4" t="n">
        <v>124.72</v>
      </c>
      <c r="I143" s="4" t="n">
        <v>46.19</v>
      </c>
      <c r="J143" s="2" t="n">
        <v>60</v>
      </c>
      <c r="K143" s="4" t="n">
        <v>74.69</v>
      </c>
      <c r="L143" s="4" t="n">
        <v>27.77</v>
      </c>
      <c r="M143" s="4">
        <f>B143*(G143/100)*(J143/100)</f>
        <v/>
      </c>
      <c r="N143" s="4">
        <f>B143*(F143/360/100)*E143*(J143/100)</f>
        <v/>
      </c>
      <c r="O143" s="4">
        <f>K143-M143+L143-N143</f>
        <v/>
      </c>
    </row>
    <row r="144">
      <c r="A144" s="2" t="inlineStr">
        <is>
          <t>A34113981</t>
        </is>
      </c>
      <c r="B144" s="4" t="n">
        <v>958.51</v>
      </c>
      <c r="C144" s="3" t="n">
        <v>46004</v>
      </c>
      <c r="D144" s="3" t="n">
        <v>46067</v>
      </c>
      <c r="E144" s="2" t="n">
        <v>63</v>
      </c>
      <c r="F144" s="2" t="n">
        <v>4.19</v>
      </c>
      <c r="G144" s="2" t="n">
        <v>0.68</v>
      </c>
      <c r="H144" s="4" t="n">
        <v>6.52</v>
      </c>
      <c r="I144" s="4" t="n">
        <v>7.03</v>
      </c>
      <c r="J144" s="2" t="n">
        <v>40</v>
      </c>
      <c r="K144" s="4" t="n">
        <v>2.78</v>
      </c>
      <c r="L144" s="4" t="n">
        <v>2.61</v>
      </c>
      <c r="M144" s="4">
        <f>B144*(G144/100)*(J144/100)</f>
        <v/>
      </c>
      <c r="N144" s="4">
        <f>B144*(F144/360/100)*E144*(J144/100)</f>
        <v/>
      </c>
      <c r="O144" s="4">
        <f>K144-M144+L144-N144</f>
        <v/>
      </c>
    </row>
    <row r="145">
      <c r="A145" s="2" t="inlineStr">
        <is>
          <t>A34113981</t>
        </is>
      </c>
      <c r="B145" s="4" t="n">
        <v>948.58</v>
      </c>
      <c r="C145" s="3" t="n">
        <v>46014</v>
      </c>
      <c r="D145" s="3" t="n">
        <v>46070</v>
      </c>
      <c r="E145" s="2" t="n">
        <v>56</v>
      </c>
      <c r="F145" s="2" t="n">
        <v>4.03</v>
      </c>
      <c r="G145" s="2" t="n">
        <v>1.5</v>
      </c>
      <c r="H145" s="4" t="n">
        <v>14.23</v>
      </c>
      <c r="I145" s="4" t="n">
        <v>5.95</v>
      </c>
      <c r="J145" s="2" t="n">
        <v>40</v>
      </c>
      <c r="K145" s="4" t="n">
        <v>5.78</v>
      </c>
      <c r="L145" s="4" t="n">
        <v>2.57</v>
      </c>
      <c r="M145" s="4">
        <f>B145*(G145/100)*(J145/100)</f>
        <v/>
      </c>
      <c r="N145" s="4">
        <f>B145*(F145/360/100)*E145*(J145/100)</f>
        <v/>
      </c>
      <c r="O145" s="4">
        <f>K145-M145+L145-N145</f>
        <v/>
      </c>
    </row>
    <row r="146">
      <c r="A146" s="2" t="inlineStr">
        <is>
          <t>A34113981</t>
        </is>
      </c>
      <c r="B146" s="4" t="n">
        <v>9075.530000000001</v>
      </c>
      <c r="C146" s="3" t="n">
        <v>45993</v>
      </c>
      <c r="D146" s="3" t="n">
        <v>46063</v>
      </c>
      <c r="E146" s="2" t="n">
        <v>70</v>
      </c>
      <c r="F146" s="2" t="n">
        <v>4.55</v>
      </c>
      <c r="G146" s="2" t="n">
        <v>0.75</v>
      </c>
      <c r="H146" s="4" t="n">
        <v>68.06999999999999</v>
      </c>
      <c r="I146" s="4" t="n">
        <v>80.29000000000001</v>
      </c>
      <c r="J146" s="2" t="n">
        <v>70</v>
      </c>
      <c r="K146" s="4" t="n">
        <v>47.82</v>
      </c>
      <c r="L146" s="4" t="n">
        <v>56</v>
      </c>
      <c r="M146" s="4">
        <f>B146*(G146/100)*(J146/100)</f>
        <v/>
      </c>
      <c r="N146" s="4">
        <f>B146*(F146/360/100)*E146*(J146/100)</f>
        <v/>
      </c>
      <c r="O146" s="4">
        <f>K146-M146+L146-N146</f>
        <v/>
      </c>
    </row>
    <row r="147">
      <c r="A147" s="2" t="inlineStr">
        <is>
          <t>A28635458</t>
        </is>
      </c>
      <c r="B147" s="4" t="n">
        <v>910.97</v>
      </c>
      <c r="C147" s="3" t="n">
        <v>46019</v>
      </c>
      <c r="D147" s="3" t="n">
        <v>46065</v>
      </c>
      <c r="E147" s="2" t="n">
        <v>46</v>
      </c>
      <c r="F147" s="2" t="n">
        <v>6.44</v>
      </c>
      <c r="G147" s="2" t="n">
        <v>0.85</v>
      </c>
      <c r="H147" s="4" t="n">
        <v>7.74</v>
      </c>
      <c r="I147" s="4" t="n">
        <v>7.5</v>
      </c>
      <c r="J147" s="2" t="n">
        <v>40</v>
      </c>
      <c r="K147" s="4" t="n">
        <v>2.98</v>
      </c>
      <c r="L147" s="4" t="n">
        <v>3.18</v>
      </c>
      <c r="M147" s="4">
        <f>B147*(G147/100)*(J147/100)</f>
        <v/>
      </c>
      <c r="N147" s="4">
        <f>B147*(F147/360/100)*E147*(J147/100)</f>
        <v/>
      </c>
      <c r="O147" s="4">
        <f>K147-M147+L147-N147</f>
        <v/>
      </c>
    </row>
    <row r="148">
      <c r="A148" s="2" t="inlineStr">
        <is>
          <t>A28635458</t>
        </is>
      </c>
      <c r="B148" s="4" t="n">
        <v>645.72</v>
      </c>
      <c r="C148" s="3" t="n">
        <v>46018</v>
      </c>
      <c r="D148" s="3" t="n">
        <v>46071</v>
      </c>
      <c r="E148" s="2" t="n">
        <v>53</v>
      </c>
      <c r="F148" s="2" t="n">
        <v>4.84</v>
      </c>
      <c r="G148" s="2" t="n">
        <v>1.67</v>
      </c>
      <c r="H148" s="4" t="n">
        <v>10.78</v>
      </c>
      <c r="I148" s="4" t="n">
        <v>4.6</v>
      </c>
      <c r="J148" s="2" t="n">
        <v>70</v>
      </c>
      <c r="K148" s="4" t="n">
        <v>7.4</v>
      </c>
      <c r="L148" s="4" t="n">
        <v>2.99</v>
      </c>
      <c r="M148" s="4">
        <f>B148*(G148/100)*(J148/100)</f>
        <v/>
      </c>
      <c r="N148" s="4">
        <f>B148*(F148/360/100)*E148*(J148/100)</f>
        <v/>
      </c>
      <c r="O148" s="4">
        <f>K148-M148+L148-N148</f>
        <v/>
      </c>
    </row>
    <row r="149">
      <c r="A149" s="2" t="inlineStr">
        <is>
          <t>A28635458</t>
        </is>
      </c>
      <c r="B149" s="4" t="n">
        <v>831.86</v>
      </c>
      <c r="C149" s="3" t="n">
        <v>46007</v>
      </c>
      <c r="D149" s="3" t="n">
        <v>46075</v>
      </c>
      <c r="E149" s="2" t="n">
        <v>68</v>
      </c>
      <c r="F149" s="2" t="n">
        <v>5.65</v>
      </c>
      <c r="G149" s="2" t="n">
        <v>1.91</v>
      </c>
      <c r="H149" s="4" t="n">
        <v>15.89</v>
      </c>
      <c r="I149" s="4" t="n">
        <v>8.880000000000001</v>
      </c>
      <c r="J149" s="2" t="n">
        <v>40</v>
      </c>
      <c r="K149" s="4" t="n">
        <v>6.63</v>
      </c>
      <c r="L149" s="4" t="n">
        <v>3.33</v>
      </c>
      <c r="M149" s="4">
        <f>B149*(G149/100)*(J149/100)</f>
        <v/>
      </c>
      <c r="N149" s="4">
        <f>B149*(F149/360/100)*E149*(J149/100)</f>
        <v/>
      </c>
      <c r="O149" s="4">
        <f>K149-M149+L149-N149</f>
        <v/>
      </c>
    </row>
    <row r="150">
      <c r="A150" s="2" t="inlineStr">
        <is>
          <t>B22209928</t>
        </is>
      </c>
      <c r="B150" s="4" t="n">
        <v>226.05</v>
      </c>
      <c r="C150" s="3" t="n">
        <v>46012</v>
      </c>
      <c r="D150" s="3" t="n">
        <v>46071</v>
      </c>
      <c r="E150" s="2" t="n">
        <v>59</v>
      </c>
      <c r="F150" s="2" t="n">
        <v>5.85</v>
      </c>
      <c r="G150" s="2" t="n">
        <v>1.43</v>
      </c>
      <c r="H150" s="4" t="n">
        <v>3.23</v>
      </c>
      <c r="I150" s="4" t="n">
        <v>2.17</v>
      </c>
      <c r="J150" s="2" t="n">
        <v>50</v>
      </c>
      <c r="K150" s="4" t="n">
        <v>1.84</v>
      </c>
      <c r="L150" s="4" t="n">
        <v>0.97</v>
      </c>
      <c r="M150" s="4">
        <f>B150*(G150/100)*(J150/100)</f>
        <v/>
      </c>
      <c r="N150" s="4">
        <f>B150*(F150/360/100)*E150*(J150/100)</f>
        <v/>
      </c>
      <c r="O150" s="4">
        <f>K150-M150+L150-N150</f>
        <v/>
      </c>
    </row>
    <row r="151">
      <c r="A151" s="2" t="inlineStr">
        <is>
          <t>B22209928</t>
        </is>
      </c>
      <c r="B151" s="4" t="n">
        <v>548.95</v>
      </c>
      <c r="C151" s="3" t="n">
        <v>45999</v>
      </c>
      <c r="D151" s="3" t="n">
        <v>46056</v>
      </c>
      <c r="E151" s="2" t="n">
        <v>57</v>
      </c>
      <c r="F151" s="2" t="n">
        <v>5.97</v>
      </c>
      <c r="G151" s="2" t="n">
        <v>1.98</v>
      </c>
      <c r="H151" s="4" t="n">
        <v>10.87</v>
      </c>
      <c r="I151" s="4" t="n">
        <v>5.19</v>
      </c>
      <c r="J151" s="2" t="n">
        <v>30</v>
      </c>
      <c r="K151" s="4" t="n">
        <v>3.49</v>
      </c>
      <c r="L151" s="4" t="n">
        <v>1.68</v>
      </c>
      <c r="M151" s="4">
        <f>B151*(G151/100)*(J151/100)</f>
        <v/>
      </c>
      <c r="N151" s="4">
        <f>B151*(F151/360/100)*E151*(J151/100)</f>
        <v/>
      </c>
      <c r="O151" s="4">
        <f>K151-M151+L151-N151</f>
        <v/>
      </c>
    </row>
    <row r="152">
      <c r="A152" s="2" t="inlineStr">
        <is>
          <t>B22209928</t>
        </is>
      </c>
      <c r="B152" s="4" t="n">
        <v>6266.82</v>
      </c>
      <c r="C152" s="3" t="n">
        <v>45993</v>
      </c>
      <c r="D152" s="3" t="n">
        <v>46041</v>
      </c>
      <c r="E152" s="2" t="n">
        <v>48</v>
      </c>
      <c r="F152" s="2" t="n">
        <v>5.37</v>
      </c>
      <c r="G152" s="2" t="n">
        <v>1.55</v>
      </c>
      <c r="H152" s="4" t="n">
        <v>97.14</v>
      </c>
      <c r="I152" s="4" t="n">
        <v>44.87</v>
      </c>
      <c r="J152" s="2" t="n">
        <v>60</v>
      </c>
      <c r="K152" s="4" t="n">
        <v>58.36</v>
      </c>
      <c r="L152" s="4" t="n">
        <v>26.66</v>
      </c>
      <c r="M152" s="4">
        <f>B152*(G152/100)*(J152/100)</f>
        <v/>
      </c>
      <c r="N152" s="4">
        <f>B152*(F152/360/100)*E152*(J152/100)</f>
        <v/>
      </c>
      <c r="O152" s="4">
        <f>K152-M152+L152-N152</f>
        <v/>
      </c>
    </row>
    <row r="153">
      <c r="A153" s="2" t="inlineStr">
        <is>
          <t>B99439940</t>
        </is>
      </c>
      <c r="B153" s="4" t="n">
        <v>9541.84</v>
      </c>
      <c r="C153" s="3" t="n">
        <v>45999</v>
      </c>
      <c r="D153" s="3" t="n">
        <v>46045</v>
      </c>
      <c r="E153" s="2" t="n">
        <v>46</v>
      </c>
      <c r="F153" s="2" t="n">
        <v>5.55</v>
      </c>
      <c r="G153" s="2" t="n">
        <v>1.6</v>
      </c>
      <c r="H153" s="4" t="n">
        <v>152.67</v>
      </c>
      <c r="I153" s="4" t="n">
        <v>67.67</v>
      </c>
      <c r="J153" s="2" t="n">
        <v>50</v>
      </c>
      <c r="K153" s="4" t="n">
        <v>76.19</v>
      </c>
      <c r="L153" s="4" t="n">
        <v>33.9</v>
      </c>
      <c r="M153" s="4">
        <f>B153*(G153/100)*(J153/100)</f>
        <v/>
      </c>
      <c r="N153" s="4">
        <f>B153*(F153/360/100)*E153*(J153/100)</f>
        <v/>
      </c>
      <c r="O153" s="4">
        <f>K153-M153+L153-N153</f>
        <v/>
      </c>
    </row>
    <row r="154">
      <c r="A154" s="2" t="inlineStr">
        <is>
          <t>B99439940</t>
        </is>
      </c>
      <c r="B154" s="4" t="n">
        <v>811.54</v>
      </c>
      <c r="C154" s="3" t="n">
        <v>46015</v>
      </c>
      <c r="D154" s="3" t="n">
        <v>46103</v>
      </c>
      <c r="E154" s="2" t="n">
        <v>88</v>
      </c>
      <c r="F154" s="2" t="n">
        <v>4.6</v>
      </c>
      <c r="G154" s="2" t="n">
        <v>1.59</v>
      </c>
      <c r="H154" s="4" t="n">
        <v>12.9</v>
      </c>
      <c r="I154" s="4" t="n">
        <v>9.130000000000001</v>
      </c>
      <c r="J154" s="2" t="n">
        <v>40</v>
      </c>
      <c r="K154" s="4" t="n">
        <v>5.44</v>
      </c>
      <c r="L154" s="4" t="n">
        <v>3.57</v>
      </c>
      <c r="M154" s="4">
        <f>B154*(G154/100)*(J154/100)</f>
        <v/>
      </c>
      <c r="N154" s="4">
        <f>B154*(F154/360/100)*E154*(J154/100)</f>
        <v/>
      </c>
      <c r="O154" s="4">
        <f>K154-M154+L154-N154</f>
        <v/>
      </c>
    </row>
    <row r="155">
      <c r="A155" s="2" t="inlineStr">
        <is>
          <t>B99439940</t>
        </is>
      </c>
      <c r="B155" s="4" t="n">
        <v>6444.95</v>
      </c>
      <c r="C155" s="3" t="n">
        <v>45992</v>
      </c>
      <c r="D155" s="3" t="n">
        <v>46075</v>
      </c>
      <c r="E155" s="2" t="n">
        <v>83</v>
      </c>
      <c r="F155" s="2" t="n">
        <v>4.97</v>
      </c>
      <c r="G155" s="2" t="n">
        <v>0.86</v>
      </c>
      <c r="H155" s="4" t="n">
        <v>55.43</v>
      </c>
      <c r="I155" s="4" t="n">
        <v>73.84999999999999</v>
      </c>
      <c r="J155" s="2" t="n">
        <v>20</v>
      </c>
      <c r="K155" s="4" t="n">
        <v>10.87</v>
      </c>
      <c r="L155" s="4" t="n">
        <v>14.99</v>
      </c>
      <c r="M155" s="4">
        <f>B155*(G155/100)*(J155/100)</f>
        <v/>
      </c>
      <c r="N155" s="4">
        <f>B155*(F155/360/100)*E155*(J155/100)</f>
        <v/>
      </c>
      <c r="O155" s="4">
        <f>K155-M155+L155-N155</f>
        <v/>
      </c>
    </row>
    <row r="156">
      <c r="A156" s="2" t="inlineStr">
        <is>
          <t>B70553437</t>
        </is>
      </c>
      <c r="B156" s="4" t="n">
        <v>3446.39</v>
      </c>
      <c r="C156" s="3" t="n">
        <v>45998</v>
      </c>
      <c r="D156" s="3" t="n">
        <v>46058</v>
      </c>
      <c r="E156" s="2" t="n">
        <v>60</v>
      </c>
      <c r="F156" s="2" t="n">
        <v>3.35</v>
      </c>
      <c r="G156" s="2" t="n">
        <v>1.3</v>
      </c>
      <c r="H156" s="4" t="n">
        <v>44.8</v>
      </c>
      <c r="I156" s="4" t="n">
        <v>19.24</v>
      </c>
      <c r="J156" s="2" t="n">
        <v>20</v>
      </c>
      <c r="K156" s="4" t="n">
        <v>8.85</v>
      </c>
      <c r="L156" s="4" t="n">
        <v>3.72</v>
      </c>
      <c r="M156" s="4">
        <f>B156*(G156/100)*(J156/100)</f>
        <v/>
      </c>
      <c r="N156" s="4">
        <f>B156*(F156/360/100)*E156*(J156/100)</f>
        <v/>
      </c>
      <c r="O156" s="4">
        <f>K156-M156+L156-N156</f>
        <v/>
      </c>
    </row>
    <row r="157">
      <c r="A157" s="2" t="inlineStr">
        <is>
          <t>B70553437</t>
        </is>
      </c>
      <c r="B157" s="4" t="n">
        <v>583.25</v>
      </c>
      <c r="C157" s="3" t="n">
        <v>46003</v>
      </c>
      <c r="D157" s="3" t="n">
        <v>46079</v>
      </c>
      <c r="E157" s="2" t="n">
        <v>76</v>
      </c>
      <c r="F157" s="2" t="n">
        <v>4.68</v>
      </c>
      <c r="G157" s="2" t="n">
        <v>0.64</v>
      </c>
      <c r="H157" s="4" t="n">
        <v>3.73</v>
      </c>
      <c r="I157" s="4" t="n">
        <v>5.76</v>
      </c>
      <c r="J157" s="2" t="n">
        <v>60</v>
      </c>
      <c r="K157" s="4" t="n">
        <v>2.02</v>
      </c>
      <c r="L157" s="4" t="n">
        <v>3.42</v>
      </c>
      <c r="M157" s="4">
        <f>B157*(G157/100)*(J157/100)</f>
        <v/>
      </c>
      <c r="N157" s="4">
        <f>B157*(F157/360/100)*E157*(J157/100)</f>
        <v/>
      </c>
      <c r="O157" s="4">
        <f>K157-M157+L157-N157</f>
        <v/>
      </c>
    </row>
    <row r="158">
      <c r="A158" s="2" t="inlineStr">
        <is>
          <t>B70553437</t>
        </is>
      </c>
      <c r="B158" s="4" t="n">
        <v>752</v>
      </c>
      <c r="C158" s="3" t="n">
        <v>45997</v>
      </c>
      <c r="D158" s="3" t="n">
        <v>46086</v>
      </c>
      <c r="E158" s="2" t="n">
        <v>89</v>
      </c>
      <c r="F158" s="2" t="n">
        <v>6.39</v>
      </c>
      <c r="G158" s="2" t="n">
        <v>1.81</v>
      </c>
      <c r="H158" s="4" t="n">
        <v>13.61</v>
      </c>
      <c r="I158" s="4" t="n">
        <v>11.88</v>
      </c>
      <c r="J158" s="2" t="n">
        <v>40</v>
      </c>
      <c r="K158" s="4" t="n">
        <v>5.49</v>
      </c>
      <c r="L158" s="4" t="n">
        <v>4.5</v>
      </c>
      <c r="M158" s="4">
        <f>B158*(G158/100)*(J158/100)</f>
        <v/>
      </c>
      <c r="N158" s="4">
        <f>B158*(F158/360/100)*E158*(J158/100)</f>
        <v/>
      </c>
      <c r="O158" s="4">
        <f>K158-M158+L158-N158</f>
        <v/>
      </c>
    </row>
    <row r="159">
      <c r="A159" s="2" t="inlineStr">
        <is>
          <t>B56677060</t>
        </is>
      </c>
      <c r="B159" s="4" t="n">
        <v>269.01</v>
      </c>
      <c r="C159" s="3" t="n">
        <v>46005</v>
      </c>
      <c r="D159" s="3" t="n">
        <v>46038</v>
      </c>
      <c r="E159" s="2" t="n">
        <v>33</v>
      </c>
      <c r="F159" s="2" t="n">
        <v>3.75</v>
      </c>
      <c r="G159" s="2" t="n">
        <v>1.2</v>
      </c>
      <c r="H159" s="4" t="n">
        <v>3.23</v>
      </c>
      <c r="I159" s="4" t="n">
        <v>0.92</v>
      </c>
      <c r="J159" s="2" t="n">
        <v>50</v>
      </c>
      <c r="K159" s="4" t="n">
        <v>1.74</v>
      </c>
      <c r="L159" s="4" t="n">
        <v>0.22</v>
      </c>
      <c r="M159" s="4">
        <f>B159*(G159/100)*(J159/100)</f>
        <v/>
      </c>
      <c r="N159" s="4">
        <f>B159*(F159/360/100)*E159*(J159/100)</f>
        <v/>
      </c>
      <c r="O159" s="4">
        <f>K159-M159+L159-N159</f>
        <v/>
      </c>
    </row>
    <row r="160">
      <c r="A160" s="2" t="inlineStr">
        <is>
          <t>B56677060</t>
        </is>
      </c>
      <c r="B160" s="4" t="n">
        <v>6783.14</v>
      </c>
      <c r="C160" s="3" t="n">
        <v>45995</v>
      </c>
      <c r="D160" s="3" t="n">
        <v>46065</v>
      </c>
      <c r="E160" s="2" t="n">
        <v>70</v>
      </c>
      <c r="F160" s="2" t="n">
        <v>5.08</v>
      </c>
      <c r="G160" s="2" t="n">
        <v>1.13</v>
      </c>
      <c r="H160" s="4" t="n">
        <v>76.65000000000001</v>
      </c>
      <c r="I160" s="4" t="n">
        <v>67</v>
      </c>
      <c r="J160" s="2" t="n">
        <v>40</v>
      </c>
      <c r="K160" s="4" t="n">
        <v>30.44</v>
      </c>
      <c r="L160" s="4" t="n">
        <v>26.93</v>
      </c>
      <c r="M160" s="4">
        <f>B160*(G160/100)*(J160/100)</f>
        <v/>
      </c>
      <c r="N160" s="4">
        <f>B160*(F160/360/100)*E160*(J160/100)</f>
        <v/>
      </c>
      <c r="O160" s="4">
        <f>K160-M160+L160-N160</f>
        <v/>
      </c>
    </row>
    <row r="161">
      <c r="A161" s="2" t="inlineStr">
        <is>
          <t>B56677060</t>
        </is>
      </c>
      <c r="B161" s="4" t="n">
        <v>6576.42</v>
      </c>
      <c r="C161" s="3" t="n">
        <v>46018</v>
      </c>
      <c r="D161" s="3" t="n">
        <v>46096</v>
      </c>
      <c r="E161" s="2" t="n">
        <v>78</v>
      </c>
      <c r="F161" s="2" t="n">
        <v>3.56</v>
      </c>
      <c r="G161" s="2" t="n">
        <v>1.72</v>
      </c>
      <c r="H161" s="4" t="n">
        <v>113.11</v>
      </c>
      <c r="I161" s="4" t="n">
        <v>50.73</v>
      </c>
      <c r="J161" s="2" t="n">
        <v>50</v>
      </c>
      <c r="K161" s="4" t="n">
        <v>56.34</v>
      </c>
      <c r="L161" s="4" t="n">
        <v>25.58</v>
      </c>
      <c r="M161" s="4">
        <f>B161*(G161/100)*(J161/100)</f>
        <v/>
      </c>
      <c r="N161" s="4">
        <f>B161*(F161/360/100)*E161*(J161/100)</f>
        <v/>
      </c>
      <c r="O161" s="4">
        <f>K161-M161+L161-N161</f>
        <v/>
      </c>
    </row>
    <row r="162">
      <c r="A162" s="2" t="inlineStr">
        <is>
          <t>A21430616</t>
        </is>
      </c>
      <c r="B162" s="4" t="n">
        <v>367.17</v>
      </c>
      <c r="C162" s="3" t="n">
        <v>46010</v>
      </c>
      <c r="D162" s="3" t="n">
        <v>46063</v>
      </c>
      <c r="E162" s="2" t="n">
        <v>53</v>
      </c>
      <c r="F162" s="2" t="n">
        <v>4.99</v>
      </c>
      <c r="G162" s="2" t="n">
        <v>1.69</v>
      </c>
      <c r="H162" s="4" t="n">
        <v>6.21</v>
      </c>
      <c r="I162" s="4" t="n">
        <v>2.7</v>
      </c>
      <c r="J162" s="2" t="n">
        <v>30</v>
      </c>
      <c r="K162" s="4" t="n">
        <v>1.91</v>
      </c>
      <c r="L162" s="4" t="n">
        <v>0.6899999999999999</v>
      </c>
      <c r="M162" s="4">
        <f>B162*(G162/100)*(J162/100)</f>
        <v/>
      </c>
      <c r="N162" s="4">
        <f>B162*(F162/360/100)*E162*(J162/100)</f>
        <v/>
      </c>
      <c r="O162" s="4">
        <f>K162-M162+L162-N162</f>
        <v/>
      </c>
    </row>
    <row r="163">
      <c r="A163" s="2" t="inlineStr">
        <is>
          <t>A21430616</t>
        </is>
      </c>
      <c r="B163" s="4" t="n">
        <v>900.7</v>
      </c>
      <c r="C163" s="3" t="n">
        <v>46019</v>
      </c>
      <c r="D163" s="3" t="n">
        <v>46100</v>
      </c>
      <c r="E163" s="2" t="n">
        <v>81</v>
      </c>
      <c r="F163" s="2" t="n">
        <v>5.2</v>
      </c>
      <c r="G163" s="2" t="n">
        <v>0.77</v>
      </c>
      <c r="H163" s="4" t="n">
        <v>6.94</v>
      </c>
      <c r="I163" s="4" t="n">
        <v>10.54</v>
      </c>
      <c r="J163" s="2" t="n">
        <v>70</v>
      </c>
      <c r="K163" s="4" t="n">
        <v>4.95</v>
      </c>
      <c r="L163" s="4" t="n">
        <v>7.63</v>
      </c>
      <c r="M163" s="4">
        <f>B163*(G163/100)*(J163/100)</f>
        <v/>
      </c>
      <c r="N163" s="4">
        <f>B163*(F163/360/100)*E163*(J163/100)</f>
        <v/>
      </c>
      <c r="O163" s="4">
        <f>K163-M163+L163-N163</f>
        <v/>
      </c>
    </row>
    <row r="164">
      <c r="A164" s="2" t="inlineStr">
        <is>
          <t>B98792677</t>
        </is>
      </c>
      <c r="B164" s="4" t="n">
        <v>2223.7</v>
      </c>
      <c r="C164" s="3" t="n">
        <v>46001</v>
      </c>
      <c r="D164" s="3" t="n">
        <v>46080</v>
      </c>
      <c r="E164" s="2" t="n">
        <v>79</v>
      </c>
      <c r="F164" s="2" t="n">
        <v>5.65</v>
      </c>
      <c r="G164" s="2" t="n">
        <v>1.83</v>
      </c>
      <c r="H164" s="4" t="n">
        <v>40.69</v>
      </c>
      <c r="I164" s="4" t="n">
        <v>27.57</v>
      </c>
      <c r="J164" s="2" t="n">
        <v>20</v>
      </c>
      <c r="K164" s="4" t="n">
        <v>8.390000000000001</v>
      </c>
      <c r="L164" s="4" t="n">
        <v>5.26</v>
      </c>
      <c r="M164" s="4">
        <f>B164*(G164/100)*(J164/100)</f>
        <v/>
      </c>
      <c r="N164" s="4">
        <f>B164*(F164/360/100)*E164*(J164/100)</f>
        <v/>
      </c>
      <c r="O164" s="4">
        <f>K164-M164+L164-N164</f>
        <v/>
      </c>
    </row>
    <row r="165">
      <c r="A165" s="2" t="inlineStr">
        <is>
          <t>B98792677</t>
        </is>
      </c>
      <c r="B165" s="4" t="n">
        <v>218.68</v>
      </c>
      <c r="C165" s="3" t="n">
        <v>46010</v>
      </c>
      <c r="D165" s="3" t="n">
        <v>46045</v>
      </c>
      <c r="E165" s="2" t="n">
        <v>35</v>
      </c>
      <c r="F165" s="2" t="n">
        <v>4.23</v>
      </c>
      <c r="G165" s="2" t="n">
        <v>1.24</v>
      </c>
      <c r="H165" s="4" t="n">
        <v>2.71</v>
      </c>
      <c r="I165" s="4" t="n">
        <v>0.9</v>
      </c>
      <c r="J165" s="2" t="n">
        <v>40</v>
      </c>
      <c r="K165" s="4" t="n">
        <v>1.05</v>
      </c>
      <c r="L165" s="4" t="n">
        <v>0.61</v>
      </c>
      <c r="M165" s="4">
        <f>B165*(G165/100)*(J165/100)</f>
        <v/>
      </c>
      <c r="N165" s="4">
        <f>B165*(F165/360/100)*E165*(J165/100)</f>
        <v/>
      </c>
      <c r="O165" s="4">
        <f>K165-M165+L165-N165</f>
        <v/>
      </c>
    </row>
    <row r="166">
      <c r="A166" s="2" t="inlineStr">
        <is>
          <t>B98792677</t>
        </is>
      </c>
      <c r="B166" s="4" t="n">
        <v>5358.27</v>
      </c>
      <c r="C166" s="3" t="n">
        <v>46001</v>
      </c>
      <c r="D166" s="3" t="n">
        <v>46055</v>
      </c>
      <c r="E166" s="2" t="n">
        <v>54</v>
      </c>
      <c r="F166" s="2" t="n">
        <v>5.34</v>
      </c>
      <c r="G166" s="2" t="n">
        <v>1.8</v>
      </c>
      <c r="H166" s="4" t="n">
        <v>96.45</v>
      </c>
      <c r="I166" s="4" t="n">
        <v>42.92</v>
      </c>
      <c r="J166" s="2" t="n">
        <v>70</v>
      </c>
      <c r="K166" s="4" t="n">
        <v>67.8</v>
      </c>
      <c r="L166" s="4" t="n">
        <v>29.95</v>
      </c>
      <c r="M166" s="4">
        <f>B166*(G166/100)*(J166/100)</f>
        <v/>
      </c>
      <c r="N166" s="4">
        <f>B166*(F166/360/100)*E166*(J166/100)</f>
        <v/>
      </c>
      <c r="O166" s="4">
        <f>K166-M166+L166-N166</f>
        <v/>
      </c>
    </row>
    <row r="167">
      <c r="A167" s="2" t="inlineStr">
        <is>
          <t>A04874614</t>
        </is>
      </c>
      <c r="B167" s="4" t="n">
        <v>697.5700000000001</v>
      </c>
      <c r="C167" s="3" t="n">
        <v>46008</v>
      </c>
      <c r="D167" s="3" t="n">
        <v>46039</v>
      </c>
      <c r="E167" s="2" t="n">
        <v>31</v>
      </c>
      <c r="F167" s="2" t="n">
        <v>3.93</v>
      </c>
      <c r="G167" s="2" t="n">
        <v>1.72</v>
      </c>
      <c r="H167" s="4" t="n">
        <v>12</v>
      </c>
      <c r="I167" s="4" t="n">
        <v>2.36</v>
      </c>
      <c r="J167" s="2" t="n">
        <v>30</v>
      </c>
      <c r="K167" s="4" t="n">
        <v>3.84</v>
      </c>
      <c r="L167" s="4" t="n">
        <v>0.64</v>
      </c>
      <c r="M167" s="4">
        <f>B167*(G167/100)*(J167/100)</f>
        <v/>
      </c>
      <c r="N167" s="4">
        <f>B167*(F167/360/100)*E167*(J167/100)</f>
        <v/>
      </c>
      <c r="O167" s="4">
        <f>K167-M167+L167-N167</f>
        <v/>
      </c>
    </row>
    <row r="168">
      <c r="A168" s="2" t="inlineStr">
        <is>
          <t>A04874614</t>
        </is>
      </c>
      <c r="B168" s="4" t="n">
        <v>6126.66</v>
      </c>
      <c r="C168" s="3" t="n">
        <v>46019</v>
      </c>
      <c r="D168" s="3" t="n">
        <v>46077</v>
      </c>
      <c r="E168" s="2" t="n">
        <v>58</v>
      </c>
      <c r="F168" s="2" t="n">
        <v>3.96</v>
      </c>
      <c r="G168" s="2" t="n">
        <v>1.14</v>
      </c>
      <c r="H168" s="4" t="n">
        <v>69.84</v>
      </c>
      <c r="I168" s="4" t="n">
        <v>39.09</v>
      </c>
      <c r="J168" s="2" t="n">
        <v>70</v>
      </c>
      <c r="K168" s="4" t="n">
        <v>49.14</v>
      </c>
      <c r="L168" s="4" t="n">
        <v>27.32</v>
      </c>
      <c r="M168" s="4">
        <f>B168*(G168/100)*(J168/100)</f>
        <v/>
      </c>
      <c r="N168" s="4">
        <f>B168*(F168/360/100)*E168*(J168/100)</f>
        <v/>
      </c>
      <c r="O168" s="4">
        <f>K168-M168+L168-N168</f>
        <v/>
      </c>
    </row>
    <row r="169">
      <c r="A169" s="2" t="inlineStr">
        <is>
          <t>B75393804</t>
        </is>
      </c>
      <c r="B169" s="4" t="n">
        <v>107.05</v>
      </c>
      <c r="C169" s="3" t="n">
        <v>45998</v>
      </c>
      <c r="D169" s="3" t="n">
        <v>46037</v>
      </c>
      <c r="E169" s="2" t="n">
        <v>39</v>
      </c>
      <c r="F169" s="2" t="n">
        <v>5.32</v>
      </c>
      <c r="G169" s="2" t="n">
        <v>0.67</v>
      </c>
      <c r="H169" s="4" t="n">
        <v>0.72</v>
      </c>
      <c r="I169" s="4" t="n">
        <v>0.62</v>
      </c>
      <c r="J169" s="2" t="n">
        <v>30</v>
      </c>
      <c r="K169" s="4" t="n">
        <v>0.04</v>
      </c>
      <c r="L169" s="4" t="n">
        <v>0.08</v>
      </c>
      <c r="M169" s="4">
        <f>B169*(G169/100)*(J169/100)</f>
        <v/>
      </c>
      <c r="N169" s="4">
        <f>B169*(F169/360/100)*E169*(J169/100)</f>
        <v/>
      </c>
      <c r="O169" s="4">
        <f>K169-M169+L169-N169</f>
        <v/>
      </c>
    </row>
    <row r="170">
      <c r="A170" s="2" t="inlineStr">
        <is>
          <t>B75393804</t>
        </is>
      </c>
      <c r="B170" s="4" t="n">
        <v>2227.28</v>
      </c>
      <c r="C170" s="3" t="n">
        <v>45998</v>
      </c>
      <c r="D170" s="3" t="n">
        <v>46041</v>
      </c>
      <c r="E170" s="2" t="n">
        <v>43</v>
      </c>
      <c r="F170" s="2" t="n">
        <v>5.39</v>
      </c>
      <c r="G170" s="2" t="n">
        <v>1.58</v>
      </c>
      <c r="H170" s="4" t="n">
        <v>35.19</v>
      </c>
      <c r="I170" s="4" t="n">
        <v>14.34</v>
      </c>
      <c r="J170" s="2" t="n">
        <v>40</v>
      </c>
      <c r="K170" s="4" t="n">
        <v>14.18</v>
      </c>
      <c r="L170" s="4" t="n">
        <v>5.92</v>
      </c>
      <c r="M170" s="4">
        <f>B170*(G170/100)*(J170/100)</f>
        <v/>
      </c>
      <c r="N170" s="4">
        <f>B170*(F170/360/100)*E170*(J170/100)</f>
        <v/>
      </c>
      <c r="O170" s="4">
        <f>K170-M170+L170-N170</f>
        <v/>
      </c>
    </row>
    <row r="171">
      <c r="A171" s="2" t="inlineStr">
        <is>
          <t>B75393804</t>
        </is>
      </c>
      <c r="B171" s="4" t="n">
        <v>9116.58</v>
      </c>
      <c r="C171" s="3" t="n">
        <v>46006</v>
      </c>
      <c r="D171" s="3" t="n">
        <v>46077</v>
      </c>
      <c r="E171" s="2" t="n">
        <v>71</v>
      </c>
      <c r="F171" s="2" t="n">
        <v>6.49</v>
      </c>
      <c r="G171" s="2" t="n">
        <v>0.63</v>
      </c>
      <c r="H171" s="4" t="n">
        <v>57.43</v>
      </c>
      <c r="I171" s="4" t="n">
        <v>116.69</v>
      </c>
      <c r="J171" s="2" t="n">
        <v>50</v>
      </c>
      <c r="K171" s="4" t="n">
        <v>28.99</v>
      </c>
      <c r="L171" s="4" t="n">
        <v>58.08</v>
      </c>
      <c r="M171" s="4">
        <f>B171*(G171/100)*(J171/100)</f>
        <v/>
      </c>
      <c r="N171" s="4">
        <f>B171*(F171/360/100)*E171*(J171/100)</f>
        <v/>
      </c>
      <c r="O171" s="4">
        <f>K171-M171+L171-N171</f>
        <v/>
      </c>
    </row>
    <row r="172">
      <c r="A172" s="2" t="inlineStr">
        <is>
          <t>B09636380</t>
        </is>
      </c>
      <c r="B172" s="4" t="n">
        <v>865.98</v>
      </c>
      <c r="C172" s="3" t="n">
        <v>45996</v>
      </c>
      <c r="D172" s="3" t="n">
        <v>46056</v>
      </c>
      <c r="E172" s="2" t="n">
        <v>60</v>
      </c>
      <c r="F172" s="2" t="n">
        <v>3.85</v>
      </c>
      <c r="G172" s="2" t="n">
        <v>0.75</v>
      </c>
      <c r="H172" s="4" t="n">
        <v>6.49</v>
      </c>
      <c r="I172" s="4" t="n">
        <v>5.56</v>
      </c>
      <c r="J172" s="2" t="n">
        <v>40</v>
      </c>
      <c r="K172" s="4" t="n">
        <v>2.88</v>
      </c>
      <c r="L172" s="4" t="n">
        <v>1.97</v>
      </c>
      <c r="M172" s="4">
        <f>B172*(G172/100)*(J172/100)</f>
        <v/>
      </c>
      <c r="N172" s="4">
        <f>B172*(F172/360/100)*E172*(J172/100)</f>
        <v/>
      </c>
      <c r="O172" s="4">
        <f>K172-M172+L172-N172</f>
        <v/>
      </c>
    </row>
    <row r="173">
      <c r="A173" s="2" t="inlineStr">
        <is>
          <t>B09636380</t>
        </is>
      </c>
      <c r="B173" s="4" t="n">
        <v>728.38</v>
      </c>
      <c r="C173" s="3" t="n">
        <v>46017</v>
      </c>
      <c r="D173" s="3" t="n">
        <v>46085</v>
      </c>
      <c r="E173" s="2" t="n">
        <v>68</v>
      </c>
      <c r="F173" s="2" t="n">
        <v>6.44</v>
      </c>
      <c r="G173" s="2" t="n">
        <v>1.01</v>
      </c>
      <c r="H173" s="4" t="n">
        <v>7.36</v>
      </c>
      <c r="I173" s="4" t="n">
        <v>8.859999999999999</v>
      </c>
      <c r="J173" s="2" t="n">
        <v>20</v>
      </c>
      <c r="K173" s="4" t="n">
        <v>1.53</v>
      </c>
      <c r="L173" s="4" t="n">
        <v>1.9</v>
      </c>
      <c r="M173" s="4">
        <f>B173*(G173/100)*(J173/100)</f>
        <v/>
      </c>
      <c r="N173" s="4">
        <f>B173*(F173/360/100)*E173*(J173/100)</f>
        <v/>
      </c>
      <c r="O173" s="4">
        <f>K173-M173+L173-N173</f>
        <v/>
      </c>
    </row>
    <row r="174">
      <c r="A174" s="2" t="inlineStr">
        <is>
          <t>B09636380</t>
        </is>
      </c>
      <c r="B174" s="4" t="n">
        <v>1154.6</v>
      </c>
      <c r="C174" s="3" t="n">
        <v>46011</v>
      </c>
      <c r="D174" s="3" t="n">
        <v>46069</v>
      </c>
      <c r="E174" s="2" t="n">
        <v>58</v>
      </c>
      <c r="F174" s="2" t="n">
        <v>4.88</v>
      </c>
      <c r="G174" s="2" t="n">
        <v>1.66</v>
      </c>
      <c r="H174" s="4" t="n">
        <v>19.17</v>
      </c>
      <c r="I174" s="4" t="n">
        <v>9.08</v>
      </c>
      <c r="J174" s="2" t="n">
        <v>60</v>
      </c>
      <c r="K174" s="4" t="n">
        <v>11.54</v>
      </c>
      <c r="L174" s="4" t="n">
        <v>5.19</v>
      </c>
      <c r="M174" s="4">
        <f>B174*(G174/100)*(J174/100)</f>
        <v/>
      </c>
      <c r="N174" s="4">
        <f>B174*(F174/360/100)*E174*(J174/100)</f>
        <v/>
      </c>
      <c r="O174" s="4">
        <f>K174-M174+L174-N174</f>
        <v/>
      </c>
    </row>
    <row r="175">
      <c r="A175" s="2" t="inlineStr">
        <is>
          <t>B20204624</t>
        </is>
      </c>
      <c r="B175" s="4" t="n">
        <v>143.39</v>
      </c>
      <c r="C175" s="3" t="n">
        <v>46014</v>
      </c>
      <c r="D175" s="3" t="n">
        <v>46052</v>
      </c>
      <c r="E175" s="2" t="n">
        <v>38</v>
      </c>
      <c r="F175" s="2" t="n">
        <v>5.26</v>
      </c>
      <c r="G175" s="2" t="n">
        <v>1.98</v>
      </c>
      <c r="H175" s="4" t="n">
        <v>2.84</v>
      </c>
      <c r="I175" s="4" t="n">
        <v>0.8</v>
      </c>
      <c r="J175" s="2" t="n">
        <v>70</v>
      </c>
      <c r="K175" s="4" t="n">
        <v>1.82</v>
      </c>
      <c r="L175" s="4" t="n">
        <v>0.58</v>
      </c>
      <c r="M175" s="4">
        <f>B175*(G175/100)*(J175/100)</f>
        <v/>
      </c>
      <c r="N175" s="4">
        <f>B175*(F175/360/100)*E175*(J175/100)</f>
        <v/>
      </c>
      <c r="O175" s="4">
        <f>K175-M175+L175-N175</f>
        <v/>
      </c>
    </row>
    <row r="176">
      <c r="A176" s="2" t="inlineStr">
        <is>
          <t>B20204624</t>
        </is>
      </c>
      <c r="B176" s="4" t="n">
        <v>124.99</v>
      </c>
      <c r="C176" s="3" t="n">
        <v>46008</v>
      </c>
      <c r="D176" s="3" t="n">
        <v>46080</v>
      </c>
      <c r="E176" s="2" t="n">
        <v>72</v>
      </c>
      <c r="F176" s="2" t="n">
        <v>5.49</v>
      </c>
      <c r="G176" s="2" t="n">
        <v>1.43</v>
      </c>
      <c r="H176" s="4" t="n">
        <v>1.79</v>
      </c>
      <c r="I176" s="4" t="n">
        <v>1.37</v>
      </c>
      <c r="J176" s="2" t="n">
        <v>70</v>
      </c>
      <c r="K176" s="4" t="n">
        <v>1.45</v>
      </c>
      <c r="L176" s="4" t="n">
        <v>0.8</v>
      </c>
      <c r="M176" s="4">
        <f>B176*(G176/100)*(J176/100)</f>
        <v/>
      </c>
      <c r="N176" s="4">
        <f>B176*(F176/360/100)*E176*(J176/100)</f>
        <v/>
      </c>
      <c r="O176" s="4">
        <f>K176-M176+L176-N176</f>
        <v/>
      </c>
    </row>
    <row r="177">
      <c r="A177" s="2" t="inlineStr">
        <is>
          <t>A79905621</t>
        </is>
      </c>
      <c r="B177" s="4" t="n">
        <v>9050.030000000001</v>
      </c>
      <c r="C177" s="3" t="n">
        <v>46015</v>
      </c>
      <c r="D177" s="3" t="n">
        <v>46090</v>
      </c>
      <c r="E177" s="2" t="n">
        <v>75</v>
      </c>
      <c r="F177" s="2" t="n">
        <v>5.58</v>
      </c>
      <c r="G177" s="2" t="n">
        <v>0.64</v>
      </c>
      <c r="H177" s="4" t="n">
        <v>57.92</v>
      </c>
      <c r="I177" s="4" t="n">
        <v>105.21</v>
      </c>
      <c r="J177" s="2" t="n">
        <v>70</v>
      </c>
      <c r="K177" s="4" t="n">
        <v>40.46</v>
      </c>
      <c r="L177" s="4" t="n">
        <v>73.94</v>
      </c>
      <c r="M177" s="4">
        <f>B177*(G177/100)*(J177/100)</f>
        <v/>
      </c>
      <c r="N177" s="4">
        <f>B177*(F177/360/100)*E177*(J177/100)</f>
        <v/>
      </c>
      <c r="O177" s="4">
        <f>K177-M177+L177-N177</f>
        <v/>
      </c>
    </row>
    <row r="178">
      <c r="A178" s="2" t="inlineStr">
        <is>
          <t>A79905621</t>
        </is>
      </c>
      <c r="B178" s="4" t="n">
        <v>4185.52</v>
      </c>
      <c r="C178" s="3" t="n">
        <v>46008</v>
      </c>
      <c r="D178" s="3" t="n">
        <v>46065</v>
      </c>
      <c r="E178" s="2" t="n">
        <v>57</v>
      </c>
      <c r="F178" s="2" t="n">
        <v>6.34</v>
      </c>
      <c r="G178" s="2" t="n">
        <v>0.99</v>
      </c>
      <c r="H178" s="4" t="n">
        <v>41.44</v>
      </c>
      <c r="I178" s="4" t="n">
        <v>42.02</v>
      </c>
      <c r="J178" s="2" t="n">
        <v>50</v>
      </c>
      <c r="K178" s="4" t="n">
        <v>20.98</v>
      </c>
      <c r="L178" s="4" t="n">
        <v>21.13</v>
      </c>
      <c r="M178" s="4">
        <f>B178*(G178/100)*(J178/100)</f>
        <v/>
      </c>
      <c r="N178" s="4">
        <f>B178*(F178/360/100)*E178*(J178/100)</f>
        <v/>
      </c>
      <c r="O178" s="4">
        <f>K178-M178+L178-N178</f>
        <v/>
      </c>
    </row>
    <row r="179">
      <c r="A179" s="2" t="inlineStr">
        <is>
          <t>A79905621</t>
        </is>
      </c>
      <c r="B179" s="4" t="n">
        <v>571.95</v>
      </c>
      <c r="C179" s="3" t="n">
        <v>46001</v>
      </c>
      <c r="D179" s="3" t="n">
        <v>46083</v>
      </c>
      <c r="E179" s="2" t="n">
        <v>82</v>
      </c>
      <c r="F179" s="2" t="n">
        <v>6.37</v>
      </c>
      <c r="G179" s="2" t="n">
        <v>0.55</v>
      </c>
      <c r="H179" s="4" t="n">
        <v>3.15</v>
      </c>
      <c r="I179" s="4" t="n">
        <v>8.300000000000001</v>
      </c>
      <c r="J179" s="2" t="n">
        <v>60</v>
      </c>
      <c r="K179" s="4" t="n">
        <v>2.17</v>
      </c>
      <c r="L179" s="4" t="n">
        <v>4.69</v>
      </c>
      <c r="M179" s="4">
        <f>B179*(G179/100)*(J179/100)</f>
        <v/>
      </c>
      <c r="N179" s="4">
        <f>B179*(F179/360/100)*E179*(J179/100)</f>
        <v/>
      </c>
      <c r="O179" s="4">
        <f>K179-M179+L179-N179</f>
        <v/>
      </c>
    </row>
    <row r="180">
      <c r="A180" s="2" t="inlineStr">
        <is>
          <t>B82511950</t>
        </is>
      </c>
      <c r="B180" s="4" t="n">
        <v>907.6799999999999</v>
      </c>
      <c r="C180" s="3" t="n">
        <v>46002</v>
      </c>
      <c r="D180" s="3" t="n">
        <v>46069</v>
      </c>
      <c r="E180" s="2" t="n">
        <v>67</v>
      </c>
      <c r="F180" s="2" t="n">
        <v>5.12</v>
      </c>
      <c r="G180" s="2" t="n">
        <v>1.81</v>
      </c>
      <c r="H180" s="4" t="n">
        <v>16.43</v>
      </c>
      <c r="I180" s="4" t="n">
        <v>8.65</v>
      </c>
      <c r="J180" s="2" t="n">
        <v>70</v>
      </c>
      <c r="K180" s="4" t="n">
        <v>11.39</v>
      </c>
      <c r="L180" s="4" t="n">
        <v>5.77</v>
      </c>
      <c r="M180" s="4">
        <f>B180*(G180/100)*(J180/100)</f>
        <v/>
      </c>
      <c r="N180" s="4">
        <f>B180*(F180/360/100)*E180*(J180/100)</f>
        <v/>
      </c>
      <c r="O180" s="4">
        <f>K180-M180+L180-N180</f>
        <v/>
      </c>
    </row>
    <row r="181">
      <c r="A181" s="2" t="inlineStr">
        <is>
          <t>B82511950</t>
        </is>
      </c>
      <c r="B181" s="4" t="n">
        <v>8973.549999999999</v>
      </c>
      <c r="C181" s="3" t="n">
        <v>46017</v>
      </c>
      <c r="D181" s="3" t="n">
        <v>46057</v>
      </c>
      <c r="E181" s="2" t="n">
        <v>40</v>
      </c>
      <c r="F181" s="2" t="n">
        <v>3.87</v>
      </c>
      <c r="G181" s="2" t="n">
        <v>1.29</v>
      </c>
      <c r="H181" s="4" t="n">
        <v>115.76</v>
      </c>
      <c r="I181" s="4" t="n">
        <v>38.59</v>
      </c>
      <c r="J181" s="2" t="n">
        <v>40</v>
      </c>
      <c r="K181" s="4" t="n">
        <v>46.42</v>
      </c>
      <c r="L181" s="4" t="n">
        <v>15.71</v>
      </c>
      <c r="M181" s="4">
        <f>B181*(G181/100)*(J181/100)</f>
        <v/>
      </c>
      <c r="N181" s="4">
        <f>B181*(F181/360/100)*E181*(J181/100)</f>
        <v/>
      </c>
      <c r="O181" s="4">
        <f>K181-M181+L181-N181</f>
        <v/>
      </c>
    </row>
    <row r="182">
      <c r="A182" s="2" t="inlineStr">
        <is>
          <t>B82511950</t>
        </is>
      </c>
      <c r="B182" s="4" t="n">
        <v>8548.34</v>
      </c>
      <c r="C182" s="3" t="n">
        <v>45997</v>
      </c>
      <c r="D182" s="3" t="n">
        <v>46032</v>
      </c>
      <c r="E182" s="2" t="n">
        <v>35</v>
      </c>
      <c r="F182" s="2" t="n">
        <v>5.42</v>
      </c>
      <c r="G182" s="2" t="n">
        <v>1.99</v>
      </c>
      <c r="H182" s="4" t="n">
        <v>170.11</v>
      </c>
      <c r="I182" s="4" t="n">
        <v>45.05</v>
      </c>
      <c r="J182" s="2" t="n">
        <v>40</v>
      </c>
      <c r="K182" s="4" t="n">
        <v>67.87</v>
      </c>
      <c r="L182" s="4" t="n">
        <v>18.24</v>
      </c>
      <c r="M182" s="4">
        <f>B182*(G182/100)*(J182/100)</f>
        <v/>
      </c>
      <c r="N182" s="4">
        <f>B182*(F182/360/100)*E182*(J182/100)</f>
        <v/>
      </c>
      <c r="O182" s="4">
        <f>K182-M182+L182-N182</f>
        <v/>
      </c>
    </row>
    <row r="183">
      <c r="A183" s="2" t="inlineStr">
        <is>
          <t>A27535634</t>
        </is>
      </c>
      <c r="B183" s="4" t="n">
        <v>427.81</v>
      </c>
      <c r="C183" s="3" t="n">
        <v>46006</v>
      </c>
      <c r="D183" s="3" t="n">
        <v>46069</v>
      </c>
      <c r="E183" s="2" t="n">
        <v>63</v>
      </c>
      <c r="F183" s="2" t="n">
        <v>5.93</v>
      </c>
      <c r="G183" s="2" t="n">
        <v>0.55</v>
      </c>
      <c r="H183" s="4" t="n">
        <v>2.35</v>
      </c>
      <c r="I183" s="4" t="n">
        <v>4.44</v>
      </c>
      <c r="J183" s="2" t="n">
        <v>70</v>
      </c>
      <c r="K183" s="4" t="n">
        <v>1.46</v>
      </c>
      <c r="L183" s="4" t="n">
        <v>2.88</v>
      </c>
      <c r="M183" s="4">
        <f>B183*(G183/100)*(J183/100)</f>
        <v/>
      </c>
      <c r="N183" s="4">
        <f>B183*(F183/360/100)*E183*(J183/100)</f>
        <v/>
      </c>
      <c r="O183" s="4">
        <f>K183-M183+L183-N183</f>
        <v/>
      </c>
    </row>
    <row r="184">
      <c r="A184" s="2" t="inlineStr">
        <is>
          <t>A27535634</t>
        </is>
      </c>
      <c r="B184" s="4" t="n">
        <v>368.78</v>
      </c>
      <c r="C184" s="3" t="n">
        <v>45993</v>
      </c>
      <c r="D184" s="3" t="n">
        <v>46031</v>
      </c>
      <c r="E184" s="2" t="n">
        <v>38</v>
      </c>
      <c r="F184" s="2" t="n">
        <v>4.62</v>
      </c>
      <c r="G184" s="2" t="n">
        <v>1.22</v>
      </c>
      <c r="H184" s="4" t="n">
        <v>4.5</v>
      </c>
      <c r="I184" s="4" t="n">
        <v>1.8</v>
      </c>
      <c r="J184" s="2" t="n">
        <v>60</v>
      </c>
      <c r="K184" s="4" t="n">
        <v>2.53</v>
      </c>
      <c r="L184" s="4" t="n">
        <v>0.82</v>
      </c>
      <c r="M184" s="4">
        <f>B184*(G184/100)*(J184/100)</f>
        <v/>
      </c>
      <c r="N184" s="4">
        <f>B184*(F184/360/100)*E184*(J184/100)</f>
        <v/>
      </c>
      <c r="O184" s="4">
        <f>K184-M184+L184-N184</f>
        <v/>
      </c>
    </row>
    <row r="185">
      <c r="A185" s="2" t="inlineStr">
        <is>
          <t>A73225557</t>
        </is>
      </c>
      <c r="B185" s="4" t="n">
        <v>244.2</v>
      </c>
      <c r="C185" s="3" t="n">
        <v>46019</v>
      </c>
      <c r="D185" s="3" t="n">
        <v>46064</v>
      </c>
      <c r="E185" s="2" t="n">
        <v>45</v>
      </c>
      <c r="F185" s="2" t="n">
        <v>5.86</v>
      </c>
      <c r="G185" s="2" t="n">
        <v>1.97</v>
      </c>
      <c r="H185" s="4" t="n">
        <v>4.81</v>
      </c>
      <c r="I185" s="4" t="n">
        <v>1.79</v>
      </c>
      <c r="J185" s="2" t="n">
        <v>30</v>
      </c>
      <c r="K185" s="4" t="n">
        <v>1.56</v>
      </c>
      <c r="L185" s="4" t="n">
        <v>0.82</v>
      </c>
      <c r="M185" s="4">
        <f>B185*(G185/100)*(J185/100)</f>
        <v/>
      </c>
      <c r="N185" s="4">
        <f>B185*(F185/360/100)*E185*(J185/100)</f>
        <v/>
      </c>
      <c r="O185" s="4">
        <f>K185-M185+L185-N185</f>
        <v/>
      </c>
    </row>
    <row r="186">
      <c r="A186" s="2" t="inlineStr">
        <is>
          <t>A73225557</t>
        </is>
      </c>
      <c r="B186" s="4" t="n">
        <v>188.67</v>
      </c>
      <c r="C186" s="3" t="n">
        <v>46013</v>
      </c>
      <c r="D186" s="3" t="n">
        <v>46064</v>
      </c>
      <c r="E186" s="2" t="n">
        <v>51</v>
      </c>
      <c r="F186" s="2" t="n">
        <v>4.42</v>
      </c>
      <c r="G186" s="2" t="n">
        <v>1.72</v>
      </c>
      <c r="H186" s="4" t="n">
        <v>3.25</v>
      </c>
      <c r="I186" s="4" t="n">
        <v>1.18</v>
      </c>
      <c r="J186" s="2" t="n">
        <v>40</v>
      </c>
      <c r="K186" s="4" t="n">
        <v>1.49</v>
      </c>
      <c r="L186" s="4" t="n">
        <v>0.51</v>
      </c>
      <c r="M186" s="4">
        <f>B186*(G186/100)*(J186/100)</f>
        <v/>
      </c>
      <c r="N186" s="4">
        <f>B186*(F186/360/100)*E186*(J186/100)</f>
        <v/>
      </c>
      <c r="O186" s="4">
        <f>K186-M186+L186-N186</f>
        <v/>
      </c>
    </row>
    <row r="187">
      <c r="A187" s="2" t="inlineStr">
        <is>
          <t>A73225557</t>
        </is>
      </c>
      <c r="B187" s="4" t="n">
        <v>885.99</v>
      </c>
      <c r="C187" s="3" t="n">
        <v>46016</v>
      </c>
      <c r="D187" s="3" t="n">
        <v>46068</v>
      </c>
      <c r="E187" s="2" t="n">
        <v>52</v>
      </c>
      <c r="F187" s="2" t="n">
        <v>4.24</v>
      </c>
      <c r="G187" s="2" t="n">
        <v>1.94</v>
      </c>
      <c r="H187" s="4" t="n">
        <v>17.19</v>
      </c>
      <c r="I187" s="4" t="n">
        <v>5.43</v>
      </c>
      <c r="J187" s="2" t="n">
        <v>60</v>
      </c>
      <c r="K187" s="4" t="n">
        <v>10.38</v>
      </c>
      <c r="L187" s="4" t="n">
        <v>3.31</v>
      </c>
      <c r="M187" s="4">
        <f>B187*(G187/100)*(J187/100)</f>
        <v/>
      </c>
      <c r="N187" s="4">
        <f>B187*(F187/360/100)*E187*(J187/100)</f>
        <v/>
      </c>
      <c r="O187" s="4">
        <f>K187-M187+L187-N187</f>
        <v/>
      </c>
    </row>
    <row r="188">
      <c r="A188" s="2" t="inlineStr">
        <is>
          <t>B04195747</t>
        </is>
      </c>
      <c r="B188" s="4" t="n">
        <v>570.74</v>
      </c>
      <c r="C188" s="3" t="n">
        <v>46002</v>
      </c>
      <c r="D188" s="3" t="n">
        <v>46039</v>
      </c>
      <c r="E188" s="2" t="n">
        <v>37</v>
      </c>
      <c r="F188" s="2" t="n">
        <v>3.51</v>
      </c>
      <c r="G188" s="2" t="n">
        <v>1.59</v>
      </c>
      <c r="H188" s="4" t="n">
        <v>9.07</v>
      </c>
      <c r="I188" s="4" t="n">
        <v>2.06</v>
      </c>
      <c r="J188" s="2" t="n">
        <v>70</v>
      </c>
      <c r="K188" s="4" t="n">
        <v>6.26</v>
      </c>
      <c r="L188" s="4" t="n">
        <v>1.31</v>
      </c>
      <c r="M188" s="4">
        <f>B188*(G188/100)*(J188/100)</f>
        <v/>
      </c>
      <c r="N188" s="4">
        <f>B188*(F188/360/100)*E188*(J188/100)</f>
        <v/>
      </c>
      <c r="O188" s="4">
        <f>K188-M188+L188-N188</f>
        <v/>
      </c>
    </row>
    <row r="189">
      <c r="A189" s="2" t="inlineStr">
        <is>
          <t>B04195747</t>
        </is>
      </c>
      <c r="B189" s="4" t="n">
        <v>194.88</v>
      </c>
      <c r="C189" s="3" t="n">
        <v>46017</v>
      </c>
      <c r="D189" s="3" t="n">
        <v>46092</v>
      </c>
      <c r="E189" s="2" t="n">
        <v>75</v>
      </c>
      <c r="F189" s="2" t="n">
        <v>4.46</v>
      </c>
      <c r="G189" s="2" t="n">
        <v>1.94</v>
      </c>
      <c r="H189" s="4" t="n">
        <v>3.78</v>
      </c>
      <c r="I189" s="4" t="n">
        <v>1.81</v>
      </c>
      <c r="J189" s="2" t="n">
        <v>70</v>
      </c>
      <c r="K189" s="4" t="n">
        <v>2.82</v>
      </c>
      <c r="L189" s="4" t="n">
        <v>0.98</v>
      </c>
      <c r="M189" s="4">
        <f>B189*(G189/100)*(J189/100)</f>
        <v/>
      </c>
      <c r="N189" s="4">
        <f>B189*(F189/360/100)*E189*(J189/100)</f>
        <v/>
      </c>
      <c r="O189" s="4">
        <f>K189-M189+L189-N189</f>
        <v/>
      </c>
    </row>
    <row r="190">
      <c r="A190" s="2" t="inlineStr">
        <is>
          <t>B04195747</t>
        </is>
      </c>
      <c r="B190" s="4" t="n">
        <v>575.28</v>
      </c>
      <c r="C190" s="3" t="n">
        <v>46015</v>
      </c>
      <c r="D190" s="3" t="n">
        <v>46055</v>
      </c>
      <c r="E190" s="2" t="n">
        <v>40</v>
      </c>
      <c r="F190" s="2" t="n">
        <v>4.89</v>
      </c>
      <c r="G190" s="2" t="n">
        <v>1.59</v>
      </c>
      <c r="H190" s="4" t="n">
        <v>9.15</v>
      </c>
      <c r="I190" s="4" t="n">
        <v>3.13</v>
      </c>
      <c r="J190" s="2" t="n">
        <v>40</v>
      </c>
      <c r="K190" s="4" t="n">
        <v>3.79</v>
      </c>
      <c r="L190" s="4" t="n">
        <v>1.23</v>
      </c>
      <c r="M190" s="4">
        <f>B190*(G190/100)*(J190/100)</f>
        <v/>
      </c>
      <c r="N190" s="4">
        <f>B190*(F190/360/100)*E190*(J190/100)</f>
        <v/>
      </c>
      <c r="O190" s="4">
        <f>K190-M190+L190-N190</f>
        <v/>
      </c>
    </row>
    <row r="191">
      <c r="A191" s="2" t="inlineStr">
        <is>
          <t>B43551609</t>
        </is>
      </c>
      <c r="B191" s="4" t="n">
        <v>867.16</v>
      </c>
      <c r="C191" s="3" t="n">
        <v>45993</v>
      </c>
      <c r="D191" s="3" t="n">
        <v>46063</v>
      </c>
      <c r="E191" s="2" t="n">
        <v>70</v>
      </c>
      <c r="F191" s="2" t="n">
        <v>4.6</v>
      </c>
      <c r="G191" s="2" t="n">
        <v>1.83</v>
      </c>
      <c r="H191" s="4" t="n">
        <v>15.87</v>
      </c>
      <c r="I191" s="4" t="n">
        <v>7.76</v>
      </c>
      <c r="J191" s="2" t="n">
        <v>70</v>
      </c>
      <c r="K191" s="4" t="n">
        <v>11.4</v>
      </c>
      <c r="L191" s="4" t="n">
        <v>5.67</v>
      </c>
      <c r="M191" s="4">
        <f>B191*(G191/100)*(J191/100)</f>
        <v/>
      </c>
      <c r="N191" s="4">
        <f>B191*(F191/360/100)*E191*(J191/100)</f>
        <v/>
      </c>
      <c r="O191" s="4">
        <f>K191-M191+L191-N191</f>
        <v/>
      </c>
    </row>
    <row r="192">
      <c r="A192" s="2" t="inlineStr">
        <is>
          <t>B43551609</t>
        </is>
      </c>
      <c r="B192" s="4" t="n">
        <v>3598.04</v>
      </c>
      <c r="C192" s="3" t="n">
        <v>46018</v>
      </c>
      <c r="D192" s="3" t="n">
        <v>46104</v>
      </c>
      <c r="E192" s="2" t="n">
        <v>86</v>
      </c>
      <c r="F192" s="2" t="n">
        <v>4.94</v>
      </c>
      <c r="G192" s="2" t="n">
        <v>1.81</v>
      </c>
      <c r="H192" s="4" t="n">
        <v>65.12</v>
      </c>
      <c r="I192" s="4" t="n">
        <v>42.46</v>
      </c>
      <c r="J192" s="2" t="n">
        <v>30</v>
      </c>
      <c r="K192" s="4" t="n">
        <v>19.65</v>
      </c>
      <c r="L192" s="4" t="n">
        <v>12.95</v>
      </c>
      <c r="M192" s="4">
        <f>B192*(G192/100)*(J192/100)</f>
        <v/>
      </c>
      <c r="N192" s="4">
        <f>B192*(F192/360/100)*E192*(J192/100)</f>
        <v/>
      </c>
      <c r="O192" s="4">
        <f>K192-M192+L192-N192</f>
        <v/>
      </c>
    </row>
    <row r="193">
      <c r="A193" s="2" t="inlineStr">
        <is>
          <t>A14545317</t>
        </is>
      </c>
      <c r="B193" s="4" t="n">
        <v>610.62</v>
      </c>
      <c r="C193" s="3" t="n">
        <v>46017</v>
      </c>
      <c r="D193" s="3" t="n">
        <v>46083</v>
      </c>
      <c r="E193" s="2" t="n">
        <v>66</v>
      </c>
      <c r="F193" s="2" t="n">
        <v>6.03</v>
      </c>
      <c r="G193" s="2" t="n">
        <v>0.63</v>
      </c>
      <c r="H193" s="4" t="n">
        <v>3.85</v>
      </c>
      <c r="I193" s="4" t="n">
        <v>6.75</v>
      </c>
      <c r="J193" s="2" t="n">
        <v>40</v>
      </c>
      <c r="K193" s="4" t="n">
        <v>1.29</v>
      </c>
      <c r="L193" s="4" t="n">
        <v>2.51</v>
      </c>
      <c r="M193" s="4">
        <f>B193*(G193/100)*(J193/100)</f>
        <v/>
      </c>
      <c r="N193" s="4">
        <f>B193*(F193/360/100)*E193*(J193/100)</f>
        <v/>
      </c>
      <c r="O193" s="4">
        <f>K193-M193+L193-N193</f>
        <v/>
      </c>
    </row>
    <row r="194">
      <c r="A194" s="2" t="inlineStr">
        <is>
          <t>A14545317</t>
        </is>
      </c>
      <c r="B194" s="4" t="n">
        <v>7943.7</v>
      </c>
      <c r="C194" s="3" t="n">
        <v>45994</v>
      </c>
      <c r="D194" s="3" t="n">
        <v>46041</v>
      </c>
      <c r="E194" s="2" t="n">
        <v>47</v>
      </c>
      <c r="F194" s="2" t="n">
        <v>3.57</v>
      </c>
      <c r="G194" s="2" t="n">
        <v>1.48</v>
      </c>
      <c r="H194" s="4" t="n">
        <v>117.57</v>
      </c>
      <c r="I194" s="4" t="n">
        <v>37.02</v>
      </c>
      <c r="J194" s="2" t="n">
        <v>30</v>
      </c>
      <c r="K194" s="4" t="n">
        <v>35.08</v>
      </c>
      <c r="L194" s="4" t="n">
        <v>10.88</v>
      </c>
      <c r="M194" s="4">
        <f>B194*(G194/100)*(J194/100)</f>
        <v/>
      </c>
      <c r="N194" s="4">
        <f>B194*(F194/360/100)*E194*(J194/100)</f>
        <v/>
      </c>
      <c r="O194" s="4">
        <f>K194-M194+L194-N194</f>
        <v/>
      </c>
    </row>
    <row r="195">
      <c r="A195" s="2" t="inlineStr">
        <is>
          <t>A33058693</t>
        </is>
      </c>
      <c r="B195" s="4" t="n">
        <v>4814.46</v>
      </c>
      <c r="C195" s="3" t="n">
        <v>45993</v>
      </c>
      <c r="D195" s="3" t="n">
        <v>46057</v>
      </c>
      <c r="E195" s="2" t="n">
        <v>64</v>
      </c>
      <c r="F195" s="2" t="n">
        <v>4.03</v>
      </c>
      <c r="G195" s="2" t="n">
        <v>1.75</v>
      </c>
      <c r="H195" s="4" t="n">
        <v>84.25</v>
      </c>
      <c r="I195" s="4" t="n">
        <v>34.49</v>
      </c>
      <c r="J195" s="2" t="n">
        <v>50</v>
      </c>
      <c r="K195" s="4" t="n">
        <v>42.32</v>
      </c>
      <c r="L195" s="4" t="n">
        <v>17.23</v>
      </c>
      <c r="M195" s="4">
        <f>B195*(G195/100)*(J195/100)</f>
        <v/>
      </c>
      <c r="N195" s="4">
        <f>B195*(F195/360/100)*E195*(J195/100)</f>
        <v/>
      </c>
      <c r="O195" s="4">
        <f>K195-M195+L195-N195</f>
        <v/>
      </c>
    </row>
    <row r="196">
      <c r="A196" s="2" t="inlineStr">
        <is>
          <t>A33058693</t>
        </is>
      </c>
      <c r="B196" s="4" t="n">
        <v>5599.21</v>
      </c>
      <c r="C196" s="3" t="n">
        <v>46005</v>
      </c>
      <c r="D196" s="3" t="n">
        <v>46078</v>
      </c>
      <c r="E196" s="2" t="n">
        <v>73</v>
      </c>
      <c r="F196" s="2" t="n">
        <v>3.7</v>
      </c>
      <c r="G196" s="2" t="n">
        <v>0.62</v>
      </c>
      <c r="H196" s="4" t="n">
        <v>34.72</v>
      </c>
      <c r="I196" s="4" t="n">
        <v>42.01</v>
      </c>
      <c r="J196" s="2" t="n">
        <v>60</v>
      </c>
      <c r="K196" s="4" t="n">
        <v>20.78</v>
      </c>
      <c r="L196" s="4" t="n">
        <v>25.18</v>
      </c>
      <c r="M196" s="4">
        <f>B196*(G196/100)*(J196/100)</f>
        <v/>
      </c>
      <c r="N196" s="4">
        <f>B196*(F196/360/100)*E196*(J196/100)</f>
        <v/>
      </c>
      <c r="O196" s="4">
        <f>K196-M196+L196-N196</f>
        <v/>
      </c>
    </row>
    <row r="197">
      <c r="A197" s="2" t="inlineStr">
        <is>
          <t>A33058693</t>
        </is>
      </c>
      <c r="B197" s="4" t="n">
        <v>4554.48</v>
      </c>
      <c r="C197" s="3" t="n">
        <v>45995</v>
      </c>
      <c r="D197" s="3" t="n">
        <v>46084</v>
      </c>
      <c r="E197" s="2" t="n">
        <v>89</v>
      </c>
      <c r="F197" s="2" t="n">
        <v>3.86</v>
      </c>
      <c r="G197" s="2" t="n">
        <v>1.57</v>
      </c>
      <c r="H197" s="4" t="n">
        <v>71.51000000000001</v>
      </c>
      <c r="I197" s="4" t="n">
        <v>43.46</v>
      </c>
      <c r="J197" s="2" t="n">
        <v>50</v>
      </c>
      <c r="K197" s="4" t="n">
        <v>35.55</v>
      </c>
      <c r="L197" s="4" t="n">
        <v>21.58</v>
      </c>
      <c r="M197" s="4">
        <f>B197*(G197/100)*(J197/100)</f>
        <v/>
      </c>
      <c r="N197" s="4">
        <f>B197*(F197/360/100)*E197*(J197/100)</f>
        <v/>
      </c>
      <c r="O197" s="4">
        <f>K197-M197+L197-N197</f>
        <v/>
      </c>
    </row>
    <row r="198">
      <c r="A198" s="2" t="inlineStr">
        <is>
          <t>A34745644</t>
        </is>
      </c>
      <c r="B198" s="4" t="n">
        <v>536.63</v>
      </c>
      <c r="C198" s="3" t="n">
        <v>46003</v>
      </c>
      <c r="D198" s="3" t="n">
        <v>46071</v>
      </c>
      <c r="E198" s="2" t="n">
        <v>68</v>
      </c>
      <c r="F198" s="2" t="n">
        <v>3.58</v>
      </c>
      <c r="G198" s="2" t="n">
        <v>1.2</v>
      </c>
      <c r="H198" s="4" t="n">
        <v>6.44</v>
      </c>
      <c r="I198" s="4" t="n">
        <v>3.63</v>
      </c>
      <c r="J198" s="2" t="n">
        <v>50</v>
      </c>
      <c r="K198" s="4" t="n">
        <v>3.49</v>
      </c>
      <c r="L198" s="4" t="n">
        <v>1.78</v>
      </c>
      <c r="M198" s="4">
        <f>B198*(G198/100)*(J198/100)</f>
        <v/>
      </c>
      <c r="N198" s="4">
        <f>B198*(F198/360/100)*E198*(J198/100)</f>
        <v/>
      </c>
      <c r="O198" s="4">
        <f>K198-M198+L198-N198</f>
        <v/>
      </c>
    </row>
    <row r="199">
      <c r="A199" s="2" t="inlineStr">
        <is>
          <t>A34745644</t>
        </is>
      </c>
      <c r="B199" s="4" t="n">
        <v>206.23</v>
      </c>
      <c r="C199" s="3" t="n">
        <v>45997</v>
      </c>
      <c r="D199" s="3" t="n">
        <v>46029</v>
      </c>
      <c r="E199" s="2" t="n">
        <v>32</v>
      </c>
      <c r="F199" s="2" t="n">
        <v>5.44</v>
      </c>
      <c r="G199" s="2" t="n">
        <v>0.97</v>
      </c>
      <c r="H199" s="4" t="n">
        <v>2</v>
      </c>
      <c r="I199" s="4" t="n">
        <v>1</v>
      </c>
      <c r="J199" s="2" t="n">
        <v>70</v>
      </c>
      <c r="K199" s="4" t="n">
        <v>1.43</v>
      </c>
      <c r="L199" s="4" t="n">
        <v>0.84</v>
      </c>
      <c r="M199" s="4">
        <f>B199*(G199/100)*(J199/100)</f>
        <v/>
      </c>
      <c r="N199" s="4">
        <f>B199*(F199/360/100)*E199*(J199/100)</f>
        <v/>
      </c>
      <c r="O199" s="4">
        <f>K199-M199+L199-N199</f>
        <v/>
      </c>
    </row>
    <row r="200">
      <c r="A200" s="2" t="inlineStr">
        <is>
          <t>A34745644</t>
        </is>
      </c>
      <c r="B200" s="4" t="n">
        <v>853.46</v>
      </c>
      <c r="C200" s="3" t="n">
        <v>46006</v>
      </c>
      <c r="D200" s="3" t="n">
        <v>46085</v>
      </c>
      <c r="E200" s="2" t="n">
        <v>79</v>
      </c>
      <c r="F200" s="2" t="n">
        <v>4.8</v>
      </c>
      <c r="G200" s="2" t="n">
        <v>1.46</v>
      </c>
      <c r="H200" s="4" t="n">
        <v>12.46</v>
      </c>
      <c r="I200" s="4" t="n">
        <v>8.99</v>
      </c>
      <c r="J200" s="2" t="n">
        <v>20</v>
      </c>
      <c r="K200" s="4" t="n">
        <v>2.23</v>
      </c>
      <c r="L200" s="4" t="n">
        <v>2.09</v>
      </c>
      <c r="M200" s="4">
        <f>B200*(G200/100)*(J200/100)</f>
        <v/>
      </c>
      <c r="N200" s="4">
        <f>B200*(F200/360/100)*E200*(J200/100)</f>
        <v/>
      </c>
      <c r="O200" s="4">
        <f>K200-M200+L200-N200</f>
        <v/>
      </c>
    </row>
    <row r="201">
      <c r="A201" s="2" t="inlineStr">
        <is>
          <t>B66756052</t>
        </is>
      </c>
      <c r="B201" s="4" t="n">
        <v>985.85</v>
      </c>
      <c r="C201" s="3" t="n">
        <v>45994</v>
      </c>
      <c r="D201" s="3" t="n">
        <v>46025</v>
      </c>
      <c r="E201" s="2" t="n">
        <v>31</v>
      </c>
      <c r="F201" s="2" t="n">
        <v>4.14</v>
      </c>
      <c r="G201" s="2" t="n">
        <v>1.34</v>
      </c>
      <c r="H201" s="4" t="n">
        <v>13.21</v>
      </c>
      <c r="I201" s="4" t="n">
        <v>3.51</v>
      </c>
      <c r="J201" s="2" t="n">
        <v>50</v>
      </c>
      <c r="K201" s="4" t="n">
        <v>6.59</v>
      </c>
      <c r="L201" s="4" t="n">
        <v>1.72</v>
      </c>
      <c r="M201" s="4">
        <f>B201*(G201/100)*(J201/100)</f>
        <v/>
      </c>
      <c r="N201" s="4">
        <f>B201*(F201/360/100)*E201*(J201/100)</f>
        <v/>
      </c>
      <c r="O201" s="4">
        <f>K201-M201+L201-N201</f>
        <v/>
      </c>
    </row>
    <row r="202">
      <c r="A202" s="2" t="inlineStr">
        <is>
          <t>B66756052</t>
        </is>
      </c>
      <c r="B202" s="4" t="n">
        <v>3142.02</v>
      </c>
      <c r="C202" s="3" t="n">
        <v>46014</v>
      </c>
      <c r="D202" s="3" t="n">
        <v>46055</v>
      </c>
      <c r="E202" s="2" t="n">
        <v>41</v>
      </c>
      <c r="F202" s="2" t="n">
        <v>4.27</v>
      </c>
      <c r="G202" s="2" t="n">
        <v>0.82</v>
      </c>
      <c r="H202" s="4" t="n">
        <v>25.76</v>
      </c>
      <c r="I202" s="4" t="n">
        <v>15.28</v>
      </c>
      <c r="J202" s="2" t="n">
        <v>70</v>
      </c>
      <c r="K202" s="4" t="n">
        <v>18.25</v>
      </c>
      <c r="L202" s="4" t="n">
        <v>10.95</v>
      </c>
      <c r="M202" s="4">
        <f>B202*(G202/100)*(J202/100)</f>
        <v/>
      </c>
      <c r="N202" s="4">
        <f>B202*(F202/360/100)*E202*(J202/100)</f>
        <v/>
      </c>
      <c r="O202" s="4">
        <f>K202-M202+L202-N202</f>
        <v/>
      </c>
    </row>
    <row r="203">
      <c r="A203" s="2" t="inlineStr">
        <is>
          <t>B64207507</t>
        </is>
      </c>
      <c r="B203" s="4" t="n">
        <v>693.47</v>
      </c>
      <c r="C203" s="3" t="n">
        <v>46019</v>
      </c>
      <c r="D203" s="3" t="n">
        <v>46079</v>
      </c>
      <c r="E203" s="2" t="n">
        <v>60</v>
      </c>
      <c r="F203" s="2" t="n">
        <v>4.22</v>
      </c>
      <c r="G203" s="2" t="n">
        <v>0.82</v>
      </c>
      <c r="H203" s="4" t="n">
        <v>5.69</v>
      </c>
      <c r="I203" s="4" t="n">
        <v>4.88</v>
      </c>
      <c r="J203" s="2" t="n">
        <v>70</v>
      </c>
      <c r="K203" s="4" t="n">
        <v>4.2</v>
      </c>
      <c r="L203" s="4" t="n">
        <v>3.5</v>
      </c>
      <c r="M203" s="4">
        <f>B203*(G203/100)*(J203/100)</f>
        <v/>
      </c>
      <c r="N203" s="4">
        <f>B203*(F203/360/100)*E203*(J203/100)</f>
        <v/>
      </c>
      <c r="O203" s="4">
        <f>K203-M203+L203-N203</f>
        <v/>
      </c>
    </row>
    <row r="204">
      <c r="A204" s="2" t="inlineStr">
        <is>
          <t>B64207507</t>
        </is>
      </c>
      <c r="B204" s="4" t="n">
        <v>703.8</v>
      </c>
      <c r="C204" s="3" t="n">
        <v>45993</v>
      </c>
      <c r="D204" s="3" t="n">
        <v>46078</v>
      </c>
      <c r="E204" s="2" t="n">
        <v>85</v>
      </c>
      <c r="F204" s="2" t="n">
        <v>3.76</v>
      </c>
      <c r="G204" s="2" t="n">
        <v>1.55</v>
      </c>
      <c r="H204" s="4" t="n">
        <v>10.91</v>
      </c>
      <c r="I204" s="4" t="n">
        <v>6.25</v>
      </c>
      <c r="J204" s="2" t="n">
        <v>40</v>
      </c>
      <c r="K204" s="4" t="n">
        <v>4.15</v>
      </c>
      <c r="L204" s="4" t="n">
        <v>2.79</v>
      </c>
      <c r="M204" s="4">
        <f>B204*(G204/100)*(J204/100)</f>
        <v/>
      </c>
      <c r="N204" s="4">
        <f>B204*(F204/360/100)*E204*(J204/100)</f>
        <v/>
      </c>
      <c r="O204" s="4">
        <f>K204-M204+L204-N204</f>
        <v/>
      </c>
    </row>
    <row r="205">
      <c r="A205" s="2" t="inlineStr">
        <is>
          <t>B64207507</t>
        </is>
      </c>
      <c r="B205" s="4" t="n">
        <v>4622.83</v>
      </c>
      <c r="C205" s="3" t="n">
        <v>46001</v>
      </c>
      <c r="D205" s="3" t="n">
        <v>46068</v>
      </c>
      <c r="E205" s="2" t="n">
        <v>67</v>
      </c>
      <c r="F205" s="2" t="n">
        <v>6.54</v>
      </c>
      <c r="G205" s="2" t="n">
        <v>1.03</v>
      </c>
      <c r="H205" s="4" t="n">
        <v>47.62</v>
      </c>
      <c r="I205" s="4" t="n">
        <v>56.27</v>
      </c>
      <c r="J205" s="2" t="n">
        <v>40</v>
      </c>
      <c r="K205" s="4" t="n">
        <v>19.1</v>
      </c>
      <c r="L205" s="4" t="n">
        <v>22.57</v>
      </c>
      <c r="M205" s="4">
        <f>B205*(G205/100)*(J205/100)</f>
        <v/>
      </c>
      <c r="N205" s="4">
        <f>B205*(F205/360/100)*E205*(J205/100)</f>
        <v/>
      </c>
      <c r="O205" s="4">
        <f>K205-M205+L205-N205</f>
        <v/>
      </c>
    </row>
    <row r="206">
      <c r="A206" s="2" t="inlineStr">
        <is>
          <t>B05467051</t>
        </is>
      </c>
      <c r="B206" s="4" t="n">
        <v>2895.86</v>
      </c>
      <c r="C206" s="3" t="n">
        <v>45998</v>
      </c>
      <c r="D206" s="3" t="n">
        <v>46060</v>
      </c>
      <c r="E206" s="2" t="n">
        <v>62</v>
      </c>
      <c r="F206" s="2" t="n">
        <v>5.4</v>
      </c>
      <c r="G206" s="2" t="n">
        <v>1.47</v>
      </c>
      <c r="H206" s="4" t="n">
        <v>42.57</v>
      </c>
      <c r="I206" s="4" t="n">
        <v>26.93</v>
      </c>
      <c r="J206" s="2" t="n">
        <v>30</v>
      </c>
      <c r="K206" s="4" t="n">
        <v>12.7</v>
      </c>
      <c r="L206" s="4" t="n">
        <v>8.23</v>
      </c>
      <c r="M206" s="4">
        <f>B206*(G206/100)*(J206/100)</f>
        <v/>
      </c>
      <c r="N206" s="4">
        <f>B206*(F206/360/100)*E206*(J206/100)</f>
        <v/>
      </c>
      <c r="O206" s="4">
        <f>K206-M206+L206-N206</f>
        <v/>
      </c>
    </row>
    <row r="207">
      <c r="A207" s="2" t="inlineStr">
        <is>
          <t>B05467051</t>
        </is>
      </c>
      <c r="B207" s="4" t="n">
        <v>901.13</v>
      </c>
      <c r="C207" s="3" t="n">
        <v>46002</v>
      </c>
      <c r="D207" s="3" t="n">
        <v>46048</v>
      </c>
      <c r="E207" s="2" t="n">
        <v>46</v>
      </c>
      <c r="F207" s="2" t="n">
        <v>5.44</v>
      </c>
      <c r="G207" s="2" t="n">
        <v>1.84</v>
      </c>
      <c r="H207" s="4" t="n">
        <v>16.58</v>
      </c>
      <c r="I207" s="4" t="n">
        <v>6.26</v>
      </c>
      <c r="J207" s="2" t="n">
        <v>30</v>
      </c>
      <c r="K207" s="4" t="n">
        <v>4.69</v>
      </c>
      <c r="L207" s="4" t="n">
        <v>2.05</v>
      </c>
      <c r="M207" s="4">
        <f>B207*(G207/100)*(J207/100)</f>
        <v/>
      </c>
      <c r="N207" s="4">
        <f>B207*(F207/360/100)*E207*(J207/100)</f>
        <v/>
      </c>
      <c r="O207" s="4">
        <f>K207-M207+L207-N207</f>
        <v/>
      </c>
    </row>
    <row r="208">
      <c r="A208" s="2" t="inlineStr">
        <is>
          <t>A34840080</t>
        </is>
      </c>
      <c r="B208" s="4" t="n">
        <v>4009.12</v>
      </c>
      <c r="C208" s="3" t="n">
        <v>46009</v>
      </c>
      <c r="D208" s="3" t="n">
        <v>46056</v>
      </c>
      <c r="E208" s="2" t="n">
        <v>47</v>
      </c>
      <c r="F208" s="2" t="n">
        <v>3.96</v>
      </c>
      <c r="G208" s="2" t="n">
        <v>1.08</v>
      </c>
      <c r="H208" s="4" t="n">
        <v>43.3</v>
      </c>
      <c r="I208" s="4" t="n">
        <v>20.73</v>
      </c>
      <c r="J208" s="2" t="n">
        <v>60</v>
      </c>
      <c r="K208" s="4" t="n">
        <v>25.95</v>
      </c>
      <c r="L208" s="4" t="n">
        <v>12.18</v>
      </c>
      <c r="M208" s="4">
        <f>B208*(G208/100)*(J208/100)</f>
        <v/>
      </c>
      <c r="N208" s="4">
        <f>B208*(F208/360/100)*E208*(J208/100)</f>
        <v/>
      </c>
      <c r="O208" s="4">
        <f>K208-M208+L208-N208</f>
        <v/>
      </c>
    </row>
    <row r="209">
      <c r="A209" s="2" t="inlineStr">
        <is>
          <t>A34840080</t>
        </is>
      </c>
      <c r="B209" s="4" t="n">
        <v>8271.700000000001</v>
      </c>
      <c r="C209" s="3" t="n">
        <v>46009</v>
      </c>
      <c r="D209" s="3" t="n">
        <v>46040</v>
      </c>
      <c r="E209" s="2" t="n">
        <v>31</v>
      </c>
      <c r="F209" s="2" t="n">
        <v>5.64</v>
      </c>
      <c r="G209" s="2" t="n">
        <v>0.68</v>
      </c>
      <c r="H209" s="4" t="n">
        <v>56.25</v>
      </c>
      <c r="I209" s="4" t="n">
        <v>40.17</v>
      </c>
      <c r="J209" s="2" t="n">
        <v>30</v>
      </c>
      <c r="K209" s="4" t="n">
        <v>17.12</v>
      </c>
      <c r="L209" s="4" t="n">
        <v>11.89</v>
      </c>
      <c r="M209" s="4">
        <f>B209*(G209/100)*(J209/100)</f>
        <v/>
      </c>
      <c r="N209" s="4">
        <f>B209*(F209/360/100)*E209*(J209/100)</f>
        <v/>
      </c>
      <c r="O209" s="4">
        <f>K209-M209+L209-N209</f>
        <v/>
      </c>
    </row>
    <row r="210">
      <c r="A210" s="2" t="inlineStr">
        <is>
          <t>A34840080</t>
        </is>
      </c>
      <c r="B210" s="4" t="n">
        <v>6749.35</v>
      </c>
      <c r="C210" s="3" t="n">
        <v>46008</v>
      </c>
      <c r="D210" s="3" t="n">
        <v>46091</v>
      </c>
      <c r="E210" s="2" t="n">
        <v>83</v>
      </c>
      <c r="F210" s="2" t="n">
        <v>4.82</v>
      </c>
      <c r="G210" s="2" t="n">
        <v>1.42</v>
      </c>
      <c r="H210" s="4" t="n">
        <v>95.84</v>
      </c>
      <c r="I210" s="4" t="n">
        <v>75</v>
      </c>
      <c r="J210" s="2" t="n">
        <v>40</v>
      </c>
      <c r="K210" s="4" t="n">
        <v>38.55</v>
      </c>
      <c r="L210" s="4" t="n">
        <v>30.09</v>
      </c>
      <c r="M210" s="4">
        <f>B210*(G210/100)*(J210/100)</f>
        <v/>
      </c>
      <c r="N210" s="4">
        <f>B210*(F210/360/100)*E210*(J210/100)</f>
        <v/>
      </c>
      <c r="O210" s="4">
        <f>K210-M210+L210-N210</f>
        <v/>
      </c>
    </row>
    <row r="211">
      <c r="A211" s="2" t="inlineStr">
        <is>
          <t>B73219548</t>
        </is>
      </c>
      <c r="B211" s="4" t="n">
        <v>919.74</v>
      </c>
      <c r="C211" s="3" t="n">
        <v>46003</v>
      </c>
      <c r="D211" s="3" t="n">
        <v>46039</v>
      </c>
      <c r="E211" s="2" t="n">
        <v>36</v>
      </c>
      <c r="F211" s="2" t="n">
        <v>4.8</v>
      </c>
      <c r="G211" s="2" t="n">
        <v>1.57</v>
      </c>
      <c r="H211" s="4" t="n">
        <v>14.44</v>
      </c>
      <c r="I211" s="4" t="n">
        <v>4.41</v>
      </c>
      <c r="J211" s="2" t="n">
        <v>70</v>
      </c>
      <c r="K211" s="4" t="n">
        <v>10.09</v>
      </c>
      <c r="L211" s="4" t="n">
        <v>3.37</v>
      </c>
      <c r="M211" s="4">
        <f>B211*(G211/100)*(J211/100)</f>
        <v/>
      </c>
      <c r="N211" s="4">
        <f>B211*(F211/360/100)*E211*(J211/100)</f>
        <v/>
      </c>
      <c r="O211" s="4">
        <f>K211-M211+L211-N211</f>
        <v/>
      </c>
    </row>
    <row r="212">
      <c r="A212" s="2" t="inlineStr">
        <is>
          <t>B73219548</t>
        </is>
      </c>
      <c r="B212" s="4" t="n">
        <v>464.61</v>
      </c>
      <c r="C212" s="3" t="n">
        <v>45998</v>
      </c>
      <c r="D212" s="3" t="n">
        <v>46062</v>
      </c>
      <c r="E212" s="2" t="n">
        <v>64</v>
      </c>
      <c r="F212" s="2" t="n">
        <v>4.31</v>
      </c>
      <c r="G212" s="2" t="n">
        <v>0.84</v>
      </c>
      <c r="H212" s="4" t="n">
        <v>3.9</v>
      </c>
      <c r="I212" s="4" t="n">
        <v>3.56</v>
      </c>
      <c r="J212" s="2" t="n">
        <v>30</v>
      </c>
      <c r="K212" s="4" t="n">
        <v>1.39</v>
      </c>
      <c r="L212" s="4" t="n">
        <v>1.2</v>
      </c>
      <c r="M212" s="4">
        <f>B212*(G212/100)*(J212/100)</f>
        <v/>
      </c>
      <c r="N212" s="4">
        <f>B212*(F212/360/100)*E212*(J212/100)</f>
        <v/>
      </c>
      <c r="O212" s="4">
        <f>K212-M212+L212-N212</f>
        <v/>
      </c>
    </row>
    <row r="213">
      <c r="A213" s="2" t="inlineStr">
        <is>
          <t>B73219548</t>
        </is>
      </c>
      <c r="B213" s="4" t="n">
        <v>808.62</v>
      </c>
      <c r="C213" s="3" t="n">
        <v>45993</v>
      </c>
      <c r="D213" s="3" t="n">
        <v>46054</v>
      </c>
      <c r="E213" s="2" t="n">
        <v>61</v>
      </c>
      <c r="F213" s="2" t="n">
        <v>4.26</v>
      </c>
      <c r="G213" s="2" t="n">
        <v>1.23</v>
      </c>
      <c r="H213" s="4" t="n">
        <v>9.949999999999999</v>
      </c>
      <c r="I213" s="4" t="n">
        <v>5.84</v>
      </c>
      <c r="J213" s="2" t="n">
        <v>40</v>
      </c>
      <c r="K213" s="4" t="n">
        <v>4.13</v>
      </c>
      <c r="L213" s="4" t="n">
        <v>2.24</v>
      </c>
      <c r="M213" s="4">
        <f>B213*(G213/100)*(J213/100)</f>
        <v/>
      </c>
      <c r="N213" s="4">
        <f>B213*(F213/360/100)*E213*(J213/100)</f>
        <v/>
      </c>
      <c r="O213" s="4">
        <f>K213-M213+L213-N213</f>
        <v/>
      </c>
    </row>
    <row r="214">
      <c r="A214" s="2" t="inlineStr">
        <is>
          <t>A16005805</t>
        </is>
      </c>
      <c r="B214" s="4" t="n">
        <v>527.21</v>
      </c>
      <c r="C214" s="3" t="n">
        <v>46004</v>
      </c>
      <c r="D214" s="3" t="n">
        <v>46079</v>
      </c>
      <c r="E214" s="2" t="n">
        <v>75</v>
      </c>
      <c r="F214" s="2" t="n">
        <v>6.2</v>
      </c>
      <c r="G214" s="2" t="n">
        <v>1.69</v>
      </c>
      <c r="H214" s="4" t="n">
        <v>8.91</v>
      </c>
      <c r="I214" s="4" t="n">
        <v>6.81</v>
      </c>
      <c r="J214" s="2" t="n">
        <v>30</v>
      </c>
      <c r="K214" s="4" t="n">
        <v>2.9</v>
      </c>
      <c r="L214" s="4" t="n">
        <v>2.24</v>
      </c>
      <c r="M214" s="4">
        <f>B214*(G214/100)*(J214/100)</f>
        <v/>
      </c>
      <c r="N214" s="4">
        <f>B214*(F214/360/100)*E214*(J214/100)</f>
        <v/>
      </c>
      <c r="O214" s="4">
        <f>K214-M214+L214-N214</f>
        <v/>
      </c>
    </row>
    <row r="215">
      <c r="A215" s="2" t="inlineStr">
        <is>
          <t>A16005805</t>
        </is>
      </c>
      <c r="B215" s="4" t="n">
        <v>923.98</v>
      </c>
      <c r="C215" s="3" t="n">
        <v>46014</v>
      </c>
      <c r="D215" s="3" t="n">
        <v>46064</v>
      </c>
      <c r="E215" s="2" t="n">
        <v>50</v>
      </c>
      <c r="F215" s="2" t="n">
        <v>4.53</v>
      </c>
      <c r="G215" s="2" t="n">
        <v>1.61</v>
      </c>
      <c r="H215" s="4" t="n">
        <v>14.88</v>
      </c>
      <c r="I215" s="4" t="n">
        <v>5.81</v>
      </c>
      <c r="J215" s="2" t="n">
        <v>40</v>
      </c>
      <c r="K215" s="4" t="n">
        <v>5.76</v>
      </c>
      <c r="L215" s="4" t="n">
        <v>2.46</v>
      </c>
      <c r="M215" s="4">
        <f>B215*(G215/100)*(J215/100)</f>
        <v/>
      </c>
      <c r="N215" s="4">
        <f>B215*(F215/360/100)*E215*(J215/100)</f>
        <v/>
      </c>
      <c r="O215" s="4">
        <f>K215-M215+L215-N215</f>
        <v/>
      </c>
    </row>
    <row r="216">
      <c r="A216" s="2" t="inlineStr">
        <is>
          <t>B62122231</t>
        </is>
      </c>
      <c r="B216" s="4" t="n">
        <v>6883.13</v>
      </c>
      <c r="C216" s="3" t="n">
        <v>45995</v>
      </c>
      <c r="D216" s="3" t="n">
        <v>46071</v>
      </c>
      <c r="E216" s="2" t="n">
        <v>76</v>
      </c>
      <c r="F216" s="2" t="n">
        <v>4.1</v>
      </c>
      <c r="G216" s="2" t="n">
        <v>1.78</v>
      </c>
      <c r="H216" s="4" t="n">
        <v>122.52</v>
      </c>
      <c r="I216" s="4" t="n">
        <v>59.58</v>
      </c>
      <c r="J216" s="2" t="n">
        <v>50</v>
      </c>
      <c r="K216" s="4" t="n">
        <v>60.98</v>
      </c>
      <c r="L216" s="4" t="n">
        <v>29.6</v>
      </c>
      <c r="M216" s="4">
        <f>B216*(G216/100)*(J216/100)</f>
        <v/>
      </c>
      <c r="N216" s="4">
        <f>B216*(F216/360/100)*E216*(J216/100)</f>
        <v/>
      </c>
      <c r="O216" s="4">
        <f>K216-M216+L216-N216</f>
        <v/>
      </c>
    </row>
    <row r="217">
      <c r="A217" s="2" t="inlineStr">
        <is>
          <t>B62122231</t>
        </is>
      </c>
      <c r="B217" s="4" t="n">
        <v>951.13</v>
      </c>
      <c r="C217" s="3" t="n">
        <v>46011</v>
      </c>
      <c r="D217" s="3" t="n">
        <v>46088</v>
      </c>
      <c r="E217" s="2" t="n">
        <v>77</v>
      </c>
      <c r="F217" s="2" t="n">
        <v>3.81</v>
      </c>
      <c r="G217" s="2" t="n">
        <v>0.82</v>
      </c>
      <c r="H217" s="4" t="n">
        <v>7.8</v>
      </c>
      <c r="I217" s="4" t="n">
        <v>7.75</v>
      </c>
      <c r="J217" s="2" t="n">
        <v>70</v>
      </c>
      <c r="K217" s="4" t="n">
        <v>5.4</v>
      </c>
      <c r="L217" s="4" t="n">
        <v>5.36</v>
      </c>
      <c r="M217" s="4">
        <f>B217*(G217/100)*(J217/100)</f>
        <v/>
      </c>
      <c r="N217" s="4">
        <f>B217*(F217/360/100)*E217*(J217/100)</f>
        <v/>
      </c>
      <c r="O217" s="4">
        <f>K217-M217+L217-N217</f>
        <v/>
      </c>
    </row>
    <row r="218">
      <c r="A218" s="2" t="inlineStr">
        <is>
          <t>A97519892</t>
        </is>
      </c>
      <c r="B218" s="4" t="n">
        <v>728.53</v>
      </c>
      <c r="C218" s="3" t="n">
        <v>46012</v>
      </c>
      <c r="D218" s="3" t="n">
        <v>46067</v>
      </c>
      <c r="E218" s="2" t="n">
        <v>55</v>
      </c>
      <c r="F218" s="2" t="n">
        <v>4.08</v>
      </c>
      <c r="G218" s="2" t="n">
        <v>1.5</v>
      </c>
      <c r="H218" s="4" t="n">
        <v>10.93</v>
      </c>
      <c r="I218" s="4" t="n">
        <v>4.54</v>
      </c>
      <c r="J218" s="2" t="n">
        <v>60</v>
      </c>
      <c r="K218" s="4" t="n">
        <v>6.67</v>
      </c>
      <c r="L218" s="4" t="n">
        <v>2.91</v>
      </c>
      <c r="M218" s="4">
        <f>B218*(G218/100)*(J218/100)</f>
        <v/>
      </c>
      <c r="N218" s="4">
        <f>B218*(F218/360/100)*E218*(J218/100)</f>
        <v/>
      </c>
      <c r="O218" s="4">
        <f>K218-M218+L218-N218</f>
        <v/>
      </c>
    </row>
    <row r="219">
      <c r="A219" s="2" t="inlineStr">
        <is>
          <t>A97519892</t>
        </is>
      </c>
      <c r="B219" s="4" t="n">
        <v>169.49</v>
      </c>
      <c r="C219" s="3" t="n">
        <v>46008</v>
      </c>
      <c r="D219" s="3" t="n">
        <v>46042</v>
      </c>
      <c r="E219" s="2" t="n">
        <v>34</v>
      </c>
      <c r="F219" s="2" t="n">
        <v>4.2</v>
      </c>
      <c r="G219" s="2" t="n">
        <v>1.8</v>
      </c>
      <c r="H219" s="4" t="n">
        <v>3.05</v>
      </c>
      <c r="I219" s="4" t="n">
        <v>0.67</v>
      </c>
      <c r="J219" s="2" t="n">
        <v>60</v>
      </c>
      <c r="K219" s="4" t="n">
        <v>1.59</v>
      </c>
      <c r="L219" s="4" t="n">
        <v>0.6</v>
      </c>
      <c r="M219" s="4">
        <f>B219*(G219/100)*(J219/100)</f>
        <v/>
      </c>
      <c r="N219" s="4">
        <f>B219*(F219/360/100)*E219*(J219/100)</f>
        <v/>
      </c>
      <c r="O219" s="4">
        <f>K219-M219+L219-N219</f>
        <v/>
      </c>
    </row>
    <row r="220">
      <c r="A220" s="2" t="inlineStr">
        <is>
          <t>A58137369</t>
        </is>
      </c>
      <c r="B220" s="4" t="n">
        <v>221.35</v>
      </c>
      <c r="C220" s="3" t="n">
        <v>46008</v>
      </c>
      <c r="D220" s="3" t="n">
        <v>46049</v>
      </c>
      <c r="E220" s="2" t="n">
        <v>41</v>
      </c>
      <c r="F220" s="2" t="n">
        <v>5.47</v>
      </c>
      <c r="G220" s="2" t="n">
        <v>1.94</v>
      </c>
      <c r="H220" s="4" t="n">
        <v>4.29</v>
      </c>
      <c r="I220" s="4" t="n">
        <v>1.38</v>
      </c>
      <c r="J220" s="2" t="n">
        <v>20</v>
      </c>
      <c r="K220" s="4" t="n">
        <v>0.79</v>
      </c>
      <c r="L220" s="4" t="n">
        <v>0.03</v>
      </c>
      <c r="M220" s="4">
        <f>B220*(G220/100)*(J220/100)</f>
        <v/>
      </c>
      <c r="N220" s="4">
        <f>B220*(F220/360/100)*E220*(J220/100)</f>
        <v/>
      </c>
      <c r="O220" s="4">
        <f>K220-M220+L220-N220</f>
        <v/>
      </c>
    </row>
    <row r="221">
      <c r="A221" s="2" t="inlineStr">
        <is>
          <t>A58137369</t>
        </is>
      </c>
      <c r="B221" s="4" t="n">
        <v>568.21</v>
      </c>
      <c r="C221" s="3" t="n">
        <v>46006</v>
      </c>
      <c r="D221" s="3" t="n">
        <v>46076</v>
      </c>
      <c r="E221" s="2" t="n">
        <v>70</v>
      </c>
      <c r="F221" s="2" t="n">
        <v>4.57</v>
      </c>
      <c r="G221" s="2" t="n">
        <v>1.61</v>
      </c>
      <c r="H221" s="4" t="n">
        <v>9.15</v>
      </c>
      <c r="I221" s="4" t="n">
        <v>5.05</v>
      </c>
      <c r="J221" s="2" t="n">
        <v>50</v>
      </c>
      <c r="K221" s="4" t="n">
        <v>4.46</v>
      </c>
      <c r="L221" s="4" t="n">
        <v>2.64</v>
      </c>
      <c r="M221" s="4">
        <f>B221*(G221/100)*(J221/100)</f>
        <v/>
      </c>
      <c r="N221" s="4">
        <f>B221*(F221/360/100)*E221*(J221/100)</f>
        <v/>
      </c>
      <c r="O221" s="4">
        <f>K221-M221+L221-N221</f>
        <v/>
      </c>
    </row>
    <row r="222">
      <c r="A222" s="2" t="inlineStr">
        <is>
          <t>B01059735</t>
        </is>
      </c>
      <c r="B222" s="4" t="n">
        <v>470.34</v>
      </c>
      <c r="C222" s="3" t="n">
        <v>45997</v>
      </c>
      <c r="D222" s="3" t="n">
        <v>46030</v>
      </c>
      <c r="E222" s="2" t="n">
        <v>33</v>
      </c>
      <c r="F222" s="2" t="n">
        <v>3.66</v>
      </c>
      <c r="G222" s="2" t="n">
        <v>1.15</v>
      </c>
      <c r="H222" s="4" t="n">
        <v>5.41</v>
      </c>
      <c r="I222" s="4" t="n">
        <v>1.58</v>
      </c>
      <c r="J222" s="2" t="n">
        <v>60</v>
      </c>
      <c r="K222" s="4" t="n">
        <v>3.12</v>
      </c>
      <c r="L222" s="4" t="n">
        <v>0.74</v>
      </c>
      <c r="M222" s="4">
        <f>B222*(G222/100)*(J222/100)</f>
        <v/>
      </c>
      <c r="N222" s="4">
        <f>B222*(F222/360/100)*E222*(J222/100)</f>
        <v/>
      </c>
      <c r="O222" s="4">
        <f>K222-M222+L222-N222</f>
        <v/>
      </c>
    </row>
    <row r="223">
      <c r="A223" s="2" t="inlineStr">
        <is>
          <t>B01059735</t>
        </is>
      </c>
      <c r="B223" s="4" t="n">
        <v>479.75</v>
      </c>
      <c r="C223" s="3" t="n">
        <v>46013</v>
      </c>
      <c r="D223" s="3" t="n">
        <v>46102</v>
      </c>
      <c r="E223" s="2" t="n">
        <v>89</v>
      </c>
      <c r="F223" s="2" t="n">
        <v>5.23</v>
      </c>
      <c r="G223" s="2" t="n">
        <v>1.72</v>
      </c>
      <c r="H223" s="4" t="n">
        <v>8.25</v>
      </c>
      <c r="I223" s="4" t="n">
        <v>6.2</v>
      </c>
      <c r="J223" s="2" t="n">
        <v>60</v>
      </c>
      <c r="K223" s="4" t="n">
        <v>5.19</v>
      </c>
      <c r="L223" s="4" t="n">
        <v>3.92</v>
      </c>
      <c r="M223" s="4">
        <f>B223*(G223/100)*(J223/100)</f>
        <v/>
      </c>
      <c r="N223" s="4">
        <f>B223*(F223/360/100)*E223*(J223/100)</f>
        <v/>
      </c>
      <c r="O223" s="4">
        <f>K223-M223+L223-N223</f>
        <v/>
      </c>
    </row>
    <row r="224">
      <c r="A224" s="2" t="inlineStr">
        <is>
          <t>A77356952</t>
        </is>
      </c>
      <c r="B224" s="4" t="n">
        <v>2781.56</v>
      </c>
      <c r="C224" s="3" t="n">
        <v>46003</v>
      </c>
      <c r="D224" s="3" t="n">
        <v>46088</v>
      </c>
      <c r="E224" s="2" t="n">
        <v>85</v>
      </c>
      <c r="F224" s="2" t="n">
        <v>6.18</v>
      </c>
      <c r="G224" s="2" t="n">
        <v>1.03</v>
      </c>
      <c r="H224" s="4" t="n">
        <v>28.65</v>
      </c>
      <c r="I224" s="4" t="n">
        <v>40.59</v>
      </c>
      <c r="J224" s="2" t="n">
        <v>20</v>
      </c>
      <c r="K224" s="4" t="n">
        <v>5.57</v>
      </c>
      <c r="L224" s="4" t="n">
        <v>8.23</v>
      </c>
      <c r="M224" s="4">
        <f>B224*(G224/100)*(J224/100)</f>
        <v/>
      </c>
      <c r="N224" s="4">
        <f>B224*(F224/360/100)*E224*(J224/100)</f>
        <v/>
      </c>
      <c r="O224" s="4">
        <f>K224-M224+L224-N224</f>
        <v/>
      </c>
    </row>
    <row r="225">
      <c r="A225" s="2" t="inlineStr">
        <is>
          <t>A77356952</t>
        </is>
      </c>
      <c r="B225" s="4" t="n">
        <v>880.39</v>
      </c>
      <c r="C225" s="3" t="n">
        <v>46013</v>
      </c>
      <c r="D225" s="3" t="n">
        <v>46073</v>
      </c>
      <c r="E225" s="2" t="n">
        <v>60</v>
      </c>
      <c r="F225" s="2" t="n">
        <v>5.43</v>
      </c>
      <c r="G225" s="2" t="n">
        <v>0.68</v>
      </c>
      <c r="H225" s="4" t="n">
        <v>5.99</v>
      </c>
      <c r="I225" s="4" t="n">
        <v>7.97</v>
      </c>
      <c r="J225" s="2" t="n">
        <v>20</v>
      </c>
      <c r="K225" s="4" t="n">
        <v>0.97</v>
      </c>
      <c r="L225" s="4" t="n">
        <v>1.35</v>
      </c>
      <c r="M225" s="4">
        <f>B225*(G225/100)*(J225/100)</f>
        <v/>
      </c>
      <c r="N225" s="4">
        <f>B225*(F225/360/100)*E225*(J225/100)</f>
        <v/>
      </c>
      <c r="O225" s="4">
        <f>K225-M225+L225-N225</f>
        <v/>
      </c>
    </row>
    <row r="226">
      <c r="A226" s="5" t="inlineStr">
        <is>
          <t>Total</t>
        </is>
      </c>
      <c r="B226" s="6">
        <f>SUBTOTAL(109,B2:B225)</f>
        <v/>
      </c>
      <c r="H226" s="6">
        <f>SUBTOTAL(109,H2:H225)</f>
        <v/>
      </c>
      <c r="I226" s="6">
        <f>SUBTOTAL(109,I2:I225)</f>
        <v/>
      </c>
      <c r="K226" s="6">
        <f>SUBTOTAL(109,K2:K225)</f>
        <v/>
      </c>
      <c r="L226" s="6">
        <f>SUBTOTAL(109,L2:L225)</f>
        <v/>
      </c>
      <c r="M226" s="6">
        <f>SUBTOTAL(109,M2:M225)</f>
        <v/>
      </c>
      <c r="N226" s="6">
        <f>SUBTOTAL(109,N2:N225)</f>
        <v/>
      </c>
      <c r="O226" s="6">
        <f>SUBTOTAL(109,O2:O225)</f>
        <v/>
      </c>
    </row>
  </sheetData>
  <printOptions gridLines="1"/>
  <pageMargins left="0.25" right="0.25" top="0.3" bottom="0.3" header="0.1" footer="0.1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2026-09-16T22:20:27Z</dcterms:created>
  <dcterms:modified xsi:type="dcterms:W3CDTF">2026-09-16T22:20:27Z</dcterms:modified>
</cp:coreProperties>
</file>